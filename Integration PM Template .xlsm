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tables/table1.xml" ContentType="application/vnd.openxmlformats-officedocument.spreadsheetml.table+xml"/>
  <Override PartName="/xl/comments22.xml" ContentType="application/vnd.openxmlformats-officedocument.spreadsheetml.comments+xml"/>
  <Override PartName="/xl/tables/table2.xml" ContentType="application/vnd.openxmlformats-officedocument.spreadsheetml.table+xml"/>
  <Override PartName="/xl/comments2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ccasolutionsgroupllc.sharepoint.com/Shared Documents/Racca Solutions Group/Operations/RSG Tools/RSG Integration Templates and Tools/"/>
    </mc:Choice>
  </mc:AlternateContent>
  <xr:revisionPtr revIDLastSave="44" documentId="8_{F689D250-D36C-434E-9233-5C56E6B88F40}" xr6:coauthVersionLast="45" xr6:coauthVersionMax="45" xr10:uidLastSave="{8C22F52E-2A44-4088-8121-3BD9A9F8AEAB}"/>
  <bookViews>
    <workbookView xWindow="28680" yWindow="-120" windowWidth="29040" windowHeight="15990" tabRatio="959" activeTab="1" xr2:uid="{00000000-000D-0000-FFFF-FFFF00000000}"/>
  </bookViews>
  <sheets>
    <sheet name="Instructions" sheetId="34" r:id="rId1"/>
    <sheet name="Cover Page" sheetId="57" r:id="rId2"/>
    <sheet name="Resources" sheetId="2" r:id="rId3"/>
    <sheet name="Cost Savings" sheetId="44" r:id="rId4"/>
    <sheet name="RACI-S" sheetId="56" r:id="rId5"/>
    <sheet name="Day 0 Compliance" sheetId="58" r:id="rId6"/>
    <sheet name="Transaction" sheetId="45" r:id="rId7"/>
    <sheet name="Change Management" sheetId="59" r:id="rId8"/>
    <sheet name="Communications" sheetId="7" r:id="rId9"/>
    <sheet name="Sales and Marketing" sheetId="60" r:id="rId10"/>
    <sheet name="Marketing" sheetId="41" r:id="rId11"/>
    <sheet name="Sales" sheetId="54" r:id="rId12"/>
    <sheet name="Supply Chain.Procurement" sheetId="55" r:id="rId13"/>
    <sheet name="Operations" sheetId="61" r:id="rId14"/>
    <sheet name="Finance" sheetId="6" r:id="rId15"/>
    <sheet name="Insurance and Property" sheetId="39" r:id="rId16"/>
    <sheet name="Legal" sheetId="40" r:id="rId17"/>
    <sheet name="Tax" sheetId="43" r:id="rId18"/>
    <sheet name="IT" sheetId="52" r:id="rId19"/>
    <sheet name="HR" sheetId="53" r:id="rId20"/>
    <sheet name="HSE" sheetId="30" r:id="rId21"/>
    <sheet name="Compliance" sheetId="50" r:id="rId22"/>
    <sheet name="Issue Log" sheetId="16" r:id="rId23"/>
    <sheet name="Feedback" sheetId="17" r:id="rId24"/>
    <sheet name="As-Is Org. Chart" sheetId="62" r:id="rId25"/>
  </sheets>
  <functionGroups builtInGroupCount="19"/>
  <definedNames>
    <definedName name="_xlnm._FilterDatabase" localSheetId="7" hidden="1">'Change Management'!$A$8:$K$55</definedName>
    <definedName name="_xlnm._FilterDatabase" localSheetId="5" hidden="1">'Day 0 Compliance'!$A$8:$WVT$19</definedName>
    <definedName name="_xlnm._FilterDatabase" localSheetId="13" hidden="1">Operations!$A$8:$K$127</definedName>
    <definedName name="_xlnm._FilterDatabase" localSheetId="9" hidden="1">'Sales and Marketing'!$A$8:$K$88</definedName>
    <definedName name="IQ_ADDIN" hidden="1">"AUTO"</definedName>
    <definedName name="_xlnm.Print_Area" localSheetId="0">Instructions!$A$1:$AS$45</definedName>
    <definedName name="_xlnm.Print_Area" localSheetId="4">'RACI-S'!$A$1:$P$51</definedName>
    <definedName name="_xlnm.Print_Titles" localSheetId="21">Compliance!$1:$8</definedName>
    <definedName name="_xlnm.Print_Titles" localSheetId="1">'Cover Page'!$7:$9</definedName>
    <definedName name="_xlnm.Print_Titles" localSheetId="14">Finance!$1:$8</definedName>
    <definedName name="_xlnm.Print_Titles" localSheetId="19">HR!$1:$8</definedName>
    <definedName name="_xlnm.Print_Titles" localSheetId="20">HSE!$1:$8</definedName>
    <definedName name="_xlnm.Print_Titles" localSheetId="18">IT!$1:$8</definedName>
    <definedName name="_xlnm.Print_Titles" localSheetId="13">Operations!$8:$8</definedName>
    <definedName name="Z_143476AC_35A9_42A5_92A3_3361F1620E73_.wvu.PrintTitles" localSheetId="21" hidden="1">Compliance!$1:$8</definedName>
    <definedName name="Z_143476AC_35A9_42A5_92A3_3361F1620E73_.wvu.PrintTitles" localSheetId="14" hidden="1">Finance!$1:$8</definedName>
    <definedName name="Z_143476AC_35A9_42A5_92A3_3361F1620E73_.wvu.PrintTitles" localSheetId="19" hidden="1">HR!$1:$8</definedName>
    <definedName name="Z_143476AC_35A9_42A5_92A3_3361F1620E73_.wvu.PrintTitles" localSheetId="20" hidden="1">HSE!$1:$8</definedName>
    <definedName name="Z_4904B274_CD44_473E_B2DD_38FB940BBC06_.wvu.PrintTitles" localSheetId="21" hidden="1">Compliance!$1:$8</definedName>
    <definedName name="Z_4904B274_CD44_473E_B2DD_38FB940BBC06_.wvu.PrintTitles" localSheetId="14" hidden="1">Finance!$1:$8</definedName>
    <definedName name="Z_4904B274_CD44_473E_B2DD_38FB940BBC06_.wvu.PrintTitles" localSheetId="19" hidden="1">HR!$1:$8</definedName>
    <definedName name="Z_4904B274_CD44_473E_B2DD_38FB940BBC06_.wvu.PrintTitles" localSheetId="20" hidden="1">HSE!$1:$8</definedName>
    <definedName name="Z_589EAEBE_2EAF_44AD_946F_F39EBF15EDDE_.wvu.PrintTitles" localSheetId="21" hidden="1">Compliance!$1:$8</definedName>
    <definedName name="Z_589EAEBE_2EAF_44AD_946F_F39EBF15EDDE_.wvu.PrintTitles" localSheetId="14" hidden="1">Finance!$1:$8</definedName>
    <definedName name="Z_589EAEBE_2EAF_44AD_946F_F39EBF15EDDE_.wvu.PrintTitles" localSheetId="19" hidden="1">HR!$1:$8</definedName>
    <definedName name="Z_589EAEBE_2EAF_44AD_946F_F39EBF15EDDE_.wvu.PrintTitles" localSheetId="20" hidden="1">HSE!$1:$8</definedName>
    <definedName name="Z_5A8B22D0_4F69_480A_BA41_0F2757262DE9_.wvu.PrintTitles" localSheetId="21" hidden="1">Compliance!$1:$8</definedName>
    <definedName name="Z_5A8B22D0_4F69_480A_BA41_0F2757262DE9_.wvu.PrintTitles" localSheetId="14" hidden="1">Finance!$1:$8</definedName>
    <definedName name="Z_5A8B22D0_4F69_480A_BA41_0F2757262DE9_.wvu.PrintTitles" localSheetId="19" hidden="1">HR!$1:$8</definedName>
    <definedName name="Z_5A8B22D0_4F69_480A_BA41_0F2757262DE9_.wvu.PrintTitles" localSheetId="20" hidden="1">HSE!$1:$8</definedName>
    <definedName name="Z_647173FF_F385_4477_8EAB_FD4C3EC1EEF4_.wvu.PrintTitles" localSheetId="21" hidden="1">Compliance!$1:$8</definedName>
    <definedName name="Z_647173FF_F385_4477_8EAB_FD4C3EC1EEF4_.wvu.PrintTitles" localSheetId="14" hidden="1">Finance!$1:$8</definedName>
    <definedName name="Z_647173FF_F385_4477_8EAB_FD4C3EC1EEF4_.wvu.PrintTitles" localSheetId="19" hidden="1">HR!$1:$8</definedName>
    <definedName name="Z_647173FF_F385_4477_8EAB_FD4C3EC1EEF4_.wvu.PrintTitles" localSheetId="20" hidden="1">HSE!$1:$8</definedName>
    <definedName name="Z_721EB25F_3100_4931_BC4A_DC108E253A0D_.wvu.PrintTitles" localSheetId="21" hidden="1">Compliance!$1:$8</definedName>
    <definedName name="Z_721EB25F_3100_4931_BC4A_DC108E253A0D_.wvu.PrintTitles" localSheetId="14" hidden="1">Finance!$1:$8</definedName>
    <definedName name="Z_721EB25F_3100_4931_BC4A_DC108E253A0D_.wvu.PrintTitles" localSheetId="19" hidden="1">HR!$1:$8</definedName>
    <definedName name="Z_721EB25F_3100_4931_BC4A_DC108E253A0D_.wvu.PrintTitles" localSheetId="20" hidden="1">HSE!$1:$8</definedName>
    <definedName name="Z_89001A30_C7F3_4AA6_BD93_F6B0923C2906_.wvu.PrintTitles" localSheetId="21" hidden="1">Compliance!$1:$8</definedName>
    <definedName name="Z_89001A30_C7F3_4AA6_BD93_F6B0923C2906_.wvu.PrintTitles" localSheetId="14" hidden="1">Finance!$1:$8</definedName>
    <definedName name="Z_89001A30_C7F3_4AA6_BD93_F6B0923C2906_.wvu.PrintTitles" localSheetId="19" hidden="1">HR!$1:$8</definedName>
    <definedName name="Z_89001A30_C7F3_4AA6_BD93_F6B0923C2906_.wvu.PrintTitles" localSheetId="20" hidden="1">HSE!$1:$8</definedName>
    <definedName name="Z_957B204F_670E_4BA8_8C27_58589DDEE937_.wvu.PrintTitles" localSheetId="21" hidden="1">Compliance!$1:$8</definedName>
    <definedName name="Z_957B204F_670E_4BA8_8C27_58589DDEE937_.wvu.PrintTitles" localSheetId="14" hidden="1">Finance!$1:$8</definedName>
    <definedName name="Z_957B204F_670E_4BA8_8C27_58589DDEE937_.wvu.PrintTitles" localSheetId="19" hidden="1">HR!$1:$8</definedName>
    <definedName name="Z_957B204F_670E_4BA8_8C27_58589DDEE937_.wvu.PrintTitles" localSheetId="20" hidden="1">HSE!$1:$8</definedName>
    <definedName name="Z_9E4A90A8_45CB_422C_AE26_811F5B18CB78_.wvu.PrintTitles" localSheetId="21" hidden="1">Compliance!$1:$8</definedName>
    <definedName name="Z_9E4A90A8_45CB_422C_AE26_811F5B18CB78_.wvu.PrintTitles" localSheetId="14" hidden="1">Finance!$1:$8</definedName>
    <definedName name="Z_9E4A90A8_45CB_422C_AE26_811F5B18CB78_.wvu.PrintTitles" localSheetId="19" hidden="1">HR!$1:$8</definedName>
    <definedName name="Z_9E4A90A8_45CB_422C_AE26_811F5B18CB78_.wvu.PrintTitles" localSheetId="20" hidden="1">HSE!$1:$8</definedName>
    <definedName name="Z_A69F6E92_DD68_43F0_A21B_382CFCE1D4CA_.wvu.PrintTitles" localSheetId="21" hidden="1">Compliance!$1:$8</definedName>
    <definedName name="Z_A69F6E92_DD68_43F0_A21B_382CFCE1D4CA_.wvu.PrintTitles" localSheetId="14" hidden="1">Finance!$1:$8</definedName>
    <definedName name="Z_A69F6E92_DD68_43F0_A21B_382CFCE1D4CA_.wvu.PrintTitles" localSheetId="19" hidden="1">HR!$1:$8</definedName>
    <definedName name="Z_A69F6E92_DD68_43F0_A21B_382CFCE1D4CA_.wvu.PrintTitles" localSheetId="20" hidden="1">HSE!$1:$8</definedName>
    <definedName name="Z_BE4FFF77_6C6B_4411_A03E_A98F828ADB9C_.wvu.PrintTitles" localSheetId="21" hidden="1">Compliance!$1:$8</definedName>
    <definedName name="Z_BE4FFF77_6C6B_4411_A03E_A98F828ADB9C_.wvu.PrintTitles" localSheetId="14" hidden="1">Finance!$1:$8</definedName>
    <definedName name="Z_BE4FFF77_6C6B_4411_A03E_A98F828ADB9C_.wvu.PrintTitles" localSheetId="19" hidden="1">HR!$1:$8</definedName>
    <definedName name="Z_BE4FFF77_6C6B_4411_A03E_A98F828ADB9C_.wvu.PrintTitles" localSheetId="20" hidden="1">HSE!$1:$8</definedName>
    <definedName name="Z_C426EA40_7477_4ADE_808A_874E1E4DAD63_.wvu.PrintTitles" localSheetId="21" hidden="1">Compliance!$1:$8</definedName>
    <definedName name="Z_C426EA40_7477_4ADE_808A_874E1E4DAD63_.wvu.PrintTitles" localSheetId="14" hidden="1">Finance!$1:$8</definedName>
    <definedName name="Z_C426EA40_7477_4ADE_808A_874E1E4DAD63_.wvu.PrintTitles" localSheetId="19" hidden="1">HR!$1:$8</definedName>
    <definedName name="Z_C426EA40_7477_4ADE_808A_874E1E4DAD63_.wvu.PrintTitles" localSheetId="20" hidden="1">HSE!$1:$8</definedName>
    <definedName name="Z_C62938A0_FF32_491A_AE82_0EE7759E0958_.wvu.PrintTitles" localSheetId="21" hidden="1">Compliance!$1:$8</definedName>
    <definedName name="Z_C62938A0_FF32_491A_AE82_0EE7759E0958_.wvu.PrintTitles" localSheetId="14" hidden="1">Finance!$1:$8</definedName>
    <definedName name="Z_C62938A0_FF32_491A_AE82_0EE7759E0958_.wvu.PrintTitles" localSheetId="19" hidden="1">HR!$1:$8</definedName>
    <definedName name="Z_C62938A0_FF32_491A_AE82_0EE7759E0958_.wvu.PrintTitles" localSheetId="20" hidden="1">HSE!$1:$8</definedName>
    <definedName name="Z_C65FDB29_C2CA_4851_85E1_E05219758135_.wvu.PrintTitles" localSheetId="21" hidden="1">Compliance!$1:$8</definedName>
    <definedName name="Z_C65FDB29_C2CA_4851_85E1_E05219758135_.wvu.PrintTitles" localSheetId="14" hidden="1">Finance!$1:$8</definedName>
    <definedName name="Z_C65FDB29_C2CA_4851_85E1_E05219758135_.wvu.PrintTitles" localSheetId="19" hidden="1">HR!$1:$8</definedName>
    <definedName name="Z_C65FDB29_C2CA_4851_85E1_E05219758135_.wvu.PrintTitles" localSheetId="20" hidden="1">HSE!$1:$8</definedName>
    <definedName name="Z_EE37E9BB_FE0D_467D_9C89_1ECB903A8A6D_.wvu.PrintTitles" localSheetId="21" hidden="1">Compliance!$1:$8</definedName>
    <definedName name="Z_EE37E9BB_FE0D_467D_9C89_1ECB903A8A6D_.wvu.PrintTitles" localSheetId="14" hidden="1">Finance!$1:$8</definedName>
    <definedName name="Z_EE37E9BB_FE0D_467D_9C89_1ECB903A8A6D_.wvu.PrintTitles" localSheetId="19" hidden="1">HR!$1:$8</definedName>
    <definedName name="Z_EE37E9BB_FE0D_467D_9C89_1ECB903A8A6D_.wvu.PrintTitles" localSheetId="20" hidden="1">HSE!$1:$8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08" i="6" l="1"/>
  <c r="K12" i="2"/>
  <c r="I24" i="2" l="1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G24" i="2"/>
  <c r="H24" i="2" s="1"/>
  <c r="G23" i="2"/>
  <c r="G22" i="2"/>
  <c r="G21" i="2"/>
  <c r="G20" i="2"/>
  <c r="H20" i="2" s="1"/>
  <c r="G19" i="2"/>
  <c r="G18" i="2"/>
  <c r="G17" i="2"/>
  <c r="G16" i="2"/>
  <c r="G15" i="2"/>
  <c r="G14" i="2"/>
  <c r="G13" i="2"/>
  <c r="G12" i="2"/>
  <c r="G11" i="2"/>
  <c r="G10" i="2"/>
  <c r="G9" i="2"/>
  <c r="H23" i="2"/>
  <c r="H22" i="2"/>
  <c r="H21" i="2"/>
  <c r="H19" i="2"/>
  <c r="H18" i="2"/>
  <c r="H17" i="2"/>
  <c r="H16" i="2"/>
  <c r="H15" i="2"/>
  <c r="H14" i="2"/>
  <c r="H13" i="2"/>
  <c r="H12" i="2"/>
  <c r="H11" i="2"/>
  <c r="H10" i="2"/>
  <c r="H9" i="2"/>
  <c r="H8" i="2"/>
  <c r="G8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J19" i="58"/>
  <c r="J18" i="58"/>
  <c r="F19" i="58"/>
  <c r="F18" i="58"/>
  <c r="F17" i="58"/>
  <c r="F16" i="58"/>
  <c r="F15" i="58"/>
  <c r="F14" i="58"/>
  <c r="F13" i="58"/>
  <c r="F12" i="58"/>
  <c r="F11" i="58"/>
  <c r="F10" i="58"/>
  <c r="B3" i="58"/>
  <c r="B2" i="58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F13" i="45"/>
  <c r="F12" i="45"/>
  <c r="F11" i="45"/>
  <c r="F10" i="45"/>
  <c r="R29" i="57"/>
  <c r="R43" i="57"/>
  <c r="R27" i="57"/>
  <c r="R11" i="57"/>
  <c r="R25" i="57"/>
  <c r="R41" i="57"/>
  <c r="R39" i="57"/>
  <c r="R23" i="57"/>
  <c r="R37" i="57"/>
  <c r="R21" i="57"/>
  <c r="R35" i="57"/>
  <c r="R19" i="57"/>
  <c r="R17" i="57"/>
  <c r="R33" i="57"/>
  <c r="R31" i="57"/>
  <c r="R15" i="57"/>
  <c r="R13" i="57"/>
  <c r="C43" i="57" l="1"/>
  <c r="C19" i="57"/>
  <c r="G7" i="2"/>
  <c r="F7" i="2"/>
  <c r="J17" i="58"/>
  <c r="J55" i="59"/>
  <c r="J54" i="59"/>
  <c r="J53" i="59"/>
  <c r="J52" i="59"/>
  <c r="F46" i="59"/>
  <c r="F36" i="59"/>
  <c r="F55" i="59"/>
  <c r="F54" i="59"/>
  <c r="F53" i="59"/>
  <c r="F52" i="59"/>
  <c r="F51" i="59"/>
  <c r="F50" i="59"/>
  <c r="F49" i="59"/>
  <c r="F48" i="59"/>
  <c r="F47" i="59"/>
  <c r="F45" i="59"/>
  <c r="F44" i="59"/>
  <c r="F43" i="59"/>
  <c r="F42" i="59"/>
  <c r="F41" i="59"/>
  <c r="F40" i="59"/>
  <c r="F39" i="59"/>
  <c r="F38" i="59"/>
  <c r="F37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B3" i="59"/>
  <c r="B2" i="59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88" i="60"/>
  <c r="F87" i="60"/>
  <c r="F86" i="60"/>
  <c r="F85" i="60"/>
  <c r="F84" i="60"/>
  <c r="F83" i="60"/>
  <c r="F82" i="60"/>
  <c r="F81" i="60"/>
  <c r="F80" i="60"/>
  <c r="F79" i="60"/>
  <c r="F78" i="60"/>
  <c r="F77" i="60"/>
  <c r="F76" i="60"/>
  <c r="F75" i="60"/>
  <c r="F74" i="60"/>
  <c r="F73" i="60"/>
  <c r="F72" i="60"/>
  <c r="F71" i="60"/>
  <c r="F70" i="60"/>
  <c r="F69" i="60"/>
  <c r="F68" i="60"/>
  <c r="F67" i="60"/>
  <c r="F66" i="60"/>
  <c r="F65" i="60"/>
  <c r="F64" i="60"/>
  <c r="F63" i="60"/>
  <c r="F62" i="60"/>
  <c r="F61" i="60"/>
  <c r="F60" i="60"/>
  <c r="F59" i="60"/>
  <c r="F58" i="60"/>
  <c r="F57" i="60"/>
  <c r="F56" i="60"/>
  <c r="F55" i="60"/>
  <c r="F54" i="60"/>
  <c r="F53" i="60"/>
  <c r="F52" i="60"/>
  <c r="F51" i="60"/>
  <c r="F50" i="60"/>
  <c r="F49" i="60"/>
  <c r="F48" i="60"/>
  <c r="F47" i="60"/>
  <c r="F46" i="60"/>
  <c r="F45" i="60"/>
  <c r="F44" i="60"/>
  <c r="F43" i="60"/>
  <c r="F42" i="60"/>
  <c r="F41" i="60"/>
  <c r="F40" i="60"/>
  <c r="F39" i="60"/>
  <c r="F38" i="60"/>
  <c r="F37" i="60"/>
  <c r="F36" i="60"/>
  <c r="F35" i="60"/>
  <c r="F34" i="60"/>
  <c r="F33" i="60"/>
  <c r="F32" i="60"/>
  <c r="F31" i="60"/>
  <c r="F30" i="60"/>
  <c r="F29" i="60"/>
  <c r="F28" i="60"/>
  <c r="F27" i="60"/>
  <c r="F26" i="60"/>
  <c r="F25" i="60"/>
  <c r="F24" i="60"/>
  <c r="F23" i="60"/>
  <c r="F22" i="60"/>
  <c r="F21" i="60"/>
  <c r="F20" i="60"/>
  <c r="F19" i="60"/>
  <c r="F18" i="60"/>
  <c r="F17" i="60"/>
  <c r="F16" i="60"/>
  <c r="F15" i="60"/>
  <c r="F14" i="60"/>
  <c r="F13" i="60"/>
  <c r="F12" i="60"/>
  <c r="F11" i="60"/>
  <c r="F10" i="60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F13" i="41"/>
  <c r="F12" i="41"/>
  <c r="F11" i="41"/>
  <c r="F10" i="41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F13" i="54"/>
  <c r="F12" i="54"/>
  <c r="F11" i="54"/>
  <c r="F10" i="54"/>
  <c r="F127" i="61"/>
  <c r="F126" i="61"/>
  <c r="F125" i="61"/>
  <c r="F124" i="61"/>
  <c r="F123" i="61"/>
  <c r="F122" i="61"/>
  <c r="F121" i="61"/>
  <c r="F120" i="61"/>
  <c r="F119" i="61"/>
  <c r="F118" i="61"/>
  <c r="F117" i="61"/>
  <c r="F116" i="61"/>
  <c r="F115" i="61"/>
  <c r="F114" i="61"/>
  <c r="F113" i="61"/>
  <c r="F112" i="61"/>
  <c r="F111" i="61"/>
  <c r="F110" i="61"/>
  <c r="F109" i="61"/>
  <c r="F108" i="61"/>
  <c r="F107" i="61"/>
  <c r="F106" i="61"/>
  <c r="F105" i="61"/>
  <c r="F104" i="61"/>
  <c r="F103" i="61"/>
  <c r="F102" i="61"/>
  <c r="F101" i="61"/>
  <c r="F100" i="61"/>
  <c r="F99" i="61"/>
  <c r="F98" i="61"/>
  <c r="F97" i="61"/>
  <c r="F96" i="61"/>
  <c r="F95" i="61"/>
  <c r="F94" i="61"/>
  <c r="F93" i="61"/>
  <c r="F92" i="61"/>
  <c r="F91" i="61"/>
  <c r="F90" i="61"/>
  <c r="F89" i="61"/>
  <c r="F88" i="61"/>
  <c r="F87" i="61"/>
  <c r="F86" i="61"/>
  <c r="F85" i="61"/>
  <c r="F84" i="61"/>
  <c r="F83" i="61"/>
  <c r="F82" i="61"/>
  <c r="F81" i="61"/>
  <c r="F80" i="61"/>
  <c r="F79" i="61"/>
  <c r="F78" i="61"/>
  <c r="F77" i="61"/>
  <c r="F76" i="61"/>
  <c r="F75" i="61"/>
  <c r="F74" i="61"/>
  <c r="F73" i="61"/>
  <c r="F72" i="61"/>
  <c r="F71" i="61"/>
  <c r="F70" i="61"/>
  <c r="F69" i="61"/>
  <c r="F68" i="61"/>
  <c r="F67" i="61"/>
  <c r="F66" i="61"/>
  <c r="F65" i="61"/>
  <c r="F64" i="61"/>
  <c r="F63" i="61"/>
  <c r="F62" i="61"/>
  <c r="F61" i="61"/>
  <c r="F60" i="61"/>
  <c r="F59" i="61"/>
  <c r="F58" i="61"/>
  <c r="F57" i="61"/>
  <c r="F56" i="61"/>
  <c r="F55" i="61"/>
  <c r="F54" i="61"/>
  <c r="F53" i="61"/>
  <c r="F52" i="61"/>
  <c r="F51" i="61"/>
  <c r="F50" i="61"/>
  <c r="F49" i="61"/>
  <c r="F48" i="61"/>
  <c r="F47" i="61"/>
  <c r="F46" i="61"/>
  <c r="F45" i="61"/>
  <c r="F44" i="61"/>
  <c r="F43" i="61"/>
  <c r="F42" i="61"/>
  <c r="F41" i="61"/>
  <c r="F40" i="61"/>
  <c r="F39" i="61"/>
  <c r="F38" i="61"/>
  <c r="F37" i="61"/>
  <c r="F36" i="61"/>
  <c r="F35" i="61"/>
  <c r="F34" i="61"/>
  <c r="F33" i="61"/>
  <c r="F32" i="61"/>
  <c r="F31" i="61"/>
  <c r="F30" i="61"/>
  <c r="F29" i="61"/>
  <c r="F28" i="61"/>
  <c r="F27" i="61"/>
  <c r="F26" i="61"/>
  <c r="F25" i="61"/>
  <c r="F24" i="61"/>
  <c r="F23" i="61"/>
  <c r="F22" i="61"/>
  <c r="F21" i="61"/>
  <c r="F20" i="61"/>
  <c r="F19" i="61"/>
  <c r="F18" i="61"/>
  <c r="F17" i="61"/>
  <c r="F16" i="61"/>
  <c r="F15" i="61"/>
  <c r="F14" i="61"/>
  <c r="F13" i="61"/>
  <c r="F12" i="61"/>
  <c r="F11" i="61"/>
  <c r="F10" i="61"/>
  <c r="F9" i="61"/>
  <c r="F9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F13" i="55"/>
  <c r="F12" i="55"/>
  <c r="F11" i="55"/>
  <c r="F10" i="55"/>
  <c r="J75" i="61"/>
  <c r="J125" i="61"/>
  <c r="J124" i="61"/>
  <c r="J123" i="61"/>
  <c r="J122" i="61"/>
  <c r="J120" i="61"/>
  <c r="J119" i="61"/>
  <c r="J118" i="61"/>
  <c r="J117" i="61"/>
  <c r="J116" i="61"/>
  <c r="J115" i="61"/>
  <c r="J114" i="61"/>
  <c r="J113" i="61"/>
  <c r="J111" i="61"/>
  <c r="J110" i="61"/>
  <c r="J109" i="61"/>
  <c r="J108" i="61"/>
  <c r="J107" i="61"/>
  <c r="J106" i="61"/>
  <c r="J104" i="61"/>
  <c r="J103" i="61"/>
  <c r="J102" i="61"/>
  <c r="J101" i="61"/>
  <c r="J100" i="61"/>
  <c r="J99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1" i="61"/>
  <c r="J80" i="61"/>
  <c r="J79" i="61"/>
  <c r="J78" i="61"/>
  <c r="J77" i="61"/>
  <c r="J30" i="61"/>
  <c r="B3" i="61"/>
  <c r="B2" i="61"/>
  <c r="B3" i="53"/>
  <c r="B2" i="53"/>
  <c r="F40" i="30"/>
  <c r="F29" i="50"/>
  <c r="H7" i="2" l="1"/>
  <c r="J121" i="61"/>
  <c r="J112" i="61"/>
  <c r="J98" i="61"/>
  <c r="J105" i="61"/>
  <c r="J82" i="61"/>
  <c r="J76" i="61"/>
  <c r="B2" i="55"/>
  <c r="B3" i="55"/>
  <c r="F9" i="50"/>
  <c r="J16" i="61" l="1"/>
  <c r="J17" i="61"/>
  <c r="J18" i="61"/>
  <c r="J19" i="61"/>
  <c r="J127" i="61"/>
  <c r="J126" i="61" s="1"/>
  <c r="J74" i="61"/>
  <c r="J73" i="61"/>
  <c r="J72" i="61"/>
  <c r="J70" i="61"/>
  <c r="J69" i="61"/>
  <c r="J68" i="61"/>
  <c r="J67" i="61"/>
  <c r="J66" i="61"/>
  <c r="J65" i="61"/>
  <c r="J64" i="61"/>
  <c r="J63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8" i="61"/>
  <c r="J47" i="61"/>
  <c r="J46" i="61"/>
  <c r="J45" i="61"/>
  <c r="J44" i="61"/>
  <c r="J43" i="61"/>
  <c r="J42" i="61"/>
  <c r="J41" i="61"/>
  <c r="J40" i="61"/>
  <c r="J39" i="61"/>
  <c r="J37" i="61"/>
  <c r="J36" i="61"/>
  <c r="J35" i="61"/>
  <c r="J34" i="61"/>
  <c r="J33" i="61"/>
  <c r="J31" i="61"/>
  <c r="J29" i="61"/>
  <c r="J27" i="61"/>
  <c r="J26" i="61"/>
  <c r="J25" i="61"/>
  <c r="J24" i="61"/>
  <c r="J23" i="61"/>
  <c r="J22" i="61"/>
  <c r="J21" i="61"/>
  <c r="J15" i="61"/>
  <c r="J14" i="61"/>
  <c r="J12" i="61"/>
  <c r="J11" i="61"/>
  <c r="J10" i="61"/>
  <c r="B3" i="60"/>
  <c r="B2" i="60"/>
  <c r="J88" i="60"/>
  <c r="J87" i="60"/>
  <c r="J86" i="60"/>
  <c r="J85" i="60"/>
  <c r="J83" i="60"/>
  <c r="J82" i="60"/>
  <c r="J80" i="60"/>
  <c r="J79" i="60"/>
  <c r="J78" i="60"/>
  <c r="J77" i="60"/>
  <c r="J75" i="60"/>
  <c r="J74" i="60"/>
  <c r="J73" i="60"/>
  <c r="J72" i="60"/>
  <c r="J71" i="60"/>
  <c r="J69" i="60"/>
  <c r="J68" i="60"/>
  <c r="J67" i="60"/>
  <c r="J66" i="60"/>
  <c r="J65" i="60"/>
  <c r="J64" i="60"/>
  <c r="J62" i="60"/>
  <c r="J61" i="60"/>
  <c r="J60" i="60"/>
  <c r="J59" i="60"/>
  <c r="J58" i="60"/>
  <c r="J57" i="60"/>
  <c r="J56" i="60"/>
  <c r="J55" i="60"/>
  <c r="J54" i="60"/>
  <c r="J52" i="60"/>
  <c r="J51" i="60"/>
  <c r="J50" i="60"/>
  <c r="J49" i="60"/>
  <c r="J47" i="60"/>
  <c r="J46" i="60"/>
  <c r="J45" i="60"/>
  <c r="J44" i="60"/>
  <c r="J43" i="60"/>
  <c r="J42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3" i="60"/>
  <c r="J22" i="60"/>
  <c r="J21" i="60"/>
  <c r="J20" i="60"/>
  <c r="J19" i="60"/>
  <c r="J18" i="60"/>
  <c r="J17" i="60"/>
  <c r="J15" i="60"/>
  <c r="J14" i="60"/>
  <c r="J13" i="60"/>
  <c r="J12" i="60"/>
  <c r="J11" i="60"/>
  <c r="J10" i="60"/>
  <c r="F9" i="60"/>
  <c r="J51" i="59"/>
  <c r="J50" i="59"/>
  <c r="J49" i="59"/>
  <c r="J47" i="59"/>
  <c r="J46" i="59" s="1"/>
  <c r="J45" i="59"/>
  <c r="J44" i="59"/>
  <c r="J43" i="59"/>
  <c r="J42" i="59"/>
  <c r="J40" i="59"/>
  <c r="J39" i="59"/>
  <c r="J37" i="59"/>
  <c r="J36" i="59"/>
  <c r="J34" i="59"/>
  <c r="J33" i="59" s="1"/>
  <c r="J32" i="59"/>
  <c r="J31" i="59"/>
  <c r="J30" i="59"/>
  <c r="J29" i="59"/>
  <c r="J27" i="59"/>
  <c r="J26" i="59"/>
  <c r="J25" i="59"/>
  <c r="J23" i="59"/>
  <c r="J22" i="59"/>
  <c r="J21" i="59"/>
  <c r="J20" i="59"/>
  <c r="J19" i="59"/>
  <c r="J18" i="59"/>
  <c r="J16" i="59"/>
  <c r="J15" i="59"/>
  <c r="J14" i="59"/>
  <c r="J13" i="59"/>
  <c r="J12" i="59"/>
  <c r="J10" i="59"/>
  <c r="J9" i="59" s="1"/>
  <c r="F9" i="59"/>
  <c r="J16" i="58"/>
  <c r="J15" i="58" s="1"/>
  <c r="J14" i="58"/>
  <c r="J13" i="58"/>
  <c r="J11" i="58"/>
  <c r="J10" i="58"/>
  <c r="F9" i="58"/>
  <c r="J28" i="59" l="1"/>
  <c r="J9" i="58"/>
  <c r="J12" i="58"/>
  <c r="J48" i="59"/>
  <c r="J9" i="61"/>
  <c r="J71" i="61"/>
  <c r="J13" i="61"/>
  <c r="J38" i="61"/>
  <c r="J28" i="61"/>
  <c r="J49" i="61"/>
  <c r="J20" i="61"/>
  <c r="J32" i="61"/>
  <c r="J62" i="61"/>
  <c r="J36" i="60"/>
  <c r="J53" i="60"/>
  <c r="J70" i="60"/>
  <c r="J24" i="60"/>
  <c r="J16" i="60"/>
  <c r="J41" i="60"/>
  <c r="J84" i="60"/>
  <c r="J76" i="60"/>
  <c r="J63" i="60"/>
  <c r="J81" i="60"/>
  <c r="J9" i="60"/>
  <c r="J29" i="60"/>
  <c r="J48" i="60"/>
  <c r="J38" i="59"/>
  <c r="J41" i="59"/>
  <c r="J35" i="59"/>
  <c r="J11" i="59"/>
  <c r="J17" i="59"/>
  <c r="J24" i="59"/>
  <c r="D3" i="58" l="1"/>
  <c r="D3" i="61"/>
  <c r="D2" i="61"/>
  <c r="D2" i="60"/>
  <c r="D3" i="60"/>
  <c r="D3" i="59"/>
  <c r="D2" i="59"/>
  <c r="D2" i="58"/>
  <c r="D6" i="58" l="1"/>
  <c r="D7" i="58" s="1"/>
  <c r="D4" i="58" s="1"/>
  <c r="D5" i="58" s="1"/>
  <c r="E5" i="58" s="1"/>
  <c r="Q11" i="57" s="1"/>
  <c r="D6" i="61"/>
  <c r="D7" i="61" s="1"/>
  <c r="D4" i="61" s="1"/>
  <c r="D5" i="61" s="1"/>
  <c r="E5" i="61" s="1"/>
  <c r="Q25" i="57" s="1"/>
  <c r="D6" i="60"/>
  <c r="D7" i="60" s="1"/>
  <c r="D4" i="60" s="1"/>
  <c r="D5" i="60" s="1"/>
  <c r="E5" i="60" s="1"/>
  <c r="Q19" i="57" s="1"/>
  <c r="D6" i="59"/>
  <c r="D7" i="59" s="1"/>
  <c r="D4" i="59" s="1"/>
  <c r="D5" i="59" s="1"/>
  <c r="E5" i="59" s="1"/>
  <c r="Q15" i="57" s="1"/>
  <c r="E3" i="58" l="1"/>
  <c r="O11" i="57" s="1"/>
  <c r="E3" i="61"/>
  <c r="O25" i="57" s="1"/>
  <c r="E3" i="60"/>
  <c r="O19" i="57" s="1"/>
  <c r="E3" i="59"/>
  <c r="O15" i="57" s="1"/>
  <c r="C17" i="57" l="1"/>
  <c r="C31" i="57"/>
  <c r="C15" i="57"/>
  <c r="C21" i="57"/>
  <c r="C29" i="57"/>
  <c r="C33" i="57"/>
  <c r="C41" i="57"/>
  <c r="C13" i="57"/>
  <c r="C23" i="57"/>
  <c r="C27" i="57"/>
  <c r="C35" i="57"/>
  <c r="C11" i="57"/>
  <c r="C25" i="57"/>
  <c r="C37" i="57"/>
  <c r="C39" i="57"/>
  <c r="J76" i="55" l="1"/>
  <c r="J75" i="55"/>
  <c r="J74" i="55"/>
  <c r="J73" i="55"/>
  <c r="J72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6" i="55"/>
  <c r="J25" i="55"/>
  <c r="J24" i="55"/>
  <c r="J23" i="55"/>
  <c r="J21" i="55"/>
  <c r="J20" i="55"/>
  <c r="J19" i="55"/>
  <c r="J18" i="55"/>
  <c r="J17" i="55"/>
  <c r="J16" i="55"/>
  <c r="J15" i="55"/>
  <c r="J14" i="55"/>
  <c r="J12" i="55"/>
  <c r="J11" i="55"/>
  <c r="J10" i="55"/>
  <c r="J9" i="55" l="1"/>
  <c r="J13" i="55"/>
  <c r="J27" i="55"/>
  <c r="J45" i="55"/>
  <c r="J22" i="55"/>
  <c r="J71" i="55"/>
  <c r="D3" i="55" l="1"/>
  <c r="D2" i="55"/>
  <c r="D6" i="55" l="1"/>
  <c r="D7" i="55" s="1"/>
  <c r="D4" i="55" s="1"/>
  <c r="D5" i="55" s="1"/>
  <c r="E5" i="55" s="1"/>
  <c r="Q27" i="57" s="1"/>
  <c r="E3" i="55" l="1"/>
  <c r="O27" i="57" s="1"/>
  <c r="B2" i="50"/>
  <c r="J24" i="50"/>
  <c r="J21" i="41" l="1"/>
  <c r="J22" i="41"/>
  <c r="J34" i="54"/>
  <c r="J35" i="54"/>
  <c r="J36" i="54"/>
  <c r="J37" i="54"/>
  <c r="J38" i="54"/>
  <c r="J25" i="54"/>
  <c r="J26" i="54"/>
  <c r="J20" i="54"/>
  <c r="J21" i="54"/>
  <c r="J22" i="54"/>
  <c r="J23" i="54"/>
  <c r="J24" i="54"/>
  <c r="J19" i="54"/>
  <c r="J39" i="54"/>
  <c r="J40" i="54"/>
  <c r="J41" i="54"/>
  <c r="J42" i="54"/>
  <c r="J43" i="54"/>
  <c r="J44" i="54"/>
  <c r="J45" i="54"/>
  <c r="J46" i="54"/>
  <c r="J47" i="54"/>
  <c r="J48" i="54"/>
  <c r="J49" i="54"/>
  <c r="K8" i="2"/>
  <c r="J53" i="54"/>
  <c r="K15" i="2"/>
  <c r="J61" i="54"/>
  <c r="J60" i="54"/>
  <c r="J58" i="54"/>
  <c r="J57" i="54"/>
  <c r="J56" i="54"/>
  <c r="J55" i="54"/>
  <c r="J14" i="54"/>
  <c r="J13" i="54"/>
  <c r="J12" i="54"/>
  <c r="J11" i="54"/>
  <c r="J10" i="54"/>
  <c r="F9" i="54"/>
  <c r="J52" i="54"/>
  <c r="J51" i="54"/>
  <c r="J50" i="54"/>
  <c r="J33" i="54"/>
  <c r="J31" i="54"/>
  <c r="J30" i="54"/>
  <c r="J29" i="54"/>
  <c r="J28" i="54"/>
  <c r="J18" i="54"/>
  <c r="J17" i="54"/>
  <c r="J16" i="54"/>
  <c r="B3" i="54"/>
  <c r="B2" i="54"/>
  <c r="J137" i="53"/>
  <c r="F137" i="53"/>
  <c r="J136" i="53"/>
  <c r="F136" i="53"/>
  <c r="J135" i="53"/>
  <c r="F135" i="53"/>
  <c r="J134" i="53"/>
  <c r="F134" i="53"/>
  <c r="J133" i="53"/>
  <c r="F133" i="53"/>
  <c r="J132" i="53"/>
  <c r="F132" i="53"/>
  <c r="J131" i="53"/>
  <c r="F131" i="53"/>
  <c r="J130" i="53"/>
  <c r="F130" i="53"/>
  <c r="J129" i="53"/>
  <c r="F129" i="53"/>
  <c r="J128" i="53"/>
  <c r="F128" i="53"/>
  <c r="J127" i="53"/>
  <c r="F127" i="53"/>
  <c r="J126" i="53"/>
  <c r="F126" i="53"/>
  <c r="J125" i="53"/>
  <c r="F125" i="53"/>
  <c r="J124" i="53"/>
  <c r="F124" i="53"/>
  <c r="J123" i="53"/>
  <c r="F123" i="53"/>
  <c r="J122" i="53"/>
  <c r="F122" i="53"/>
  <c r="J121" i="53"/>
  <c r="F121" i="53"/>
  <c r="J120" i="53"/>
  <c r="F120" i="53"/>
  <c r="J119" i="53"/>
  <c r="F119" i="53"/>
  <c r="J118" i="53"/>
  <c r="F118" i="53"/>
  <c r="J117" i="53"/>
  <c r="J116" i="53"/>
  <c r="F117" i="53"/>
  <c r="F116" i="53"/>
  <c r="F115" i="53"/>
  <c r="J114" i="53"/>
  <c r="F114" i="53"/>
  <c r="J113" i="53"/>
  <c r="F113" i="53"/>
  <c r="J112" i="53"/>
  <c r="F112" i="53"/>
  <c r="J111" i="53"/>
  <c r="F111" i="53"/>
  <c r="J110" i="53"/>
  <c r="F110" i="53"/>
  <c r="J109" i="53"/>
  <c r="F109" i="53"/>
  <c r="F108" i="53"/>
  <c r="J107" i="53"/>
  <c r="F107" i="53"/>
  <c r="J106" i="53"/>
  <c r="F106" i="53"/>
  <c r="J105" i="53"/>
  <c r="F105" i="53"/>
  <c r="J104" i="53"/>
  <c r="F104" i="53"/>
  <c r="J103" i="53"/>
  <c r="F103" i="53"/>
  <c r="J102" i="53"/>
  <c r="J101" i="53"/>
  <c r="F102" i="53"/>
  <c r="F101" i="53"/>
  <c r="F100" i="53"/>
  <c r="J99" i="53"/>
  <c r="F99" i="53"/>
  <c r="J98" i="53"/>
  <c r="F98" i="53"/>
  <c r="J97" i="53"/>
  <c r="F97" i="53"/>
  <c r="J96" i="53"/>
  <c r="F96" i="53"/>
  <c r="J95" i="53"/>
  <c r="F95" i="53"/>
  <c r="J94" i="53"/>
  <c r="F94" i="53"/>
  <c r="J93" i="53"/>
  <c r="F93" i="53"/>
  <c r="F92" i="53"/>
  <c r="J91" i="53"/>
  <c r="F91" i="53"/>
  <c r="J90" i="53"/>
  <c r="F90" i="53"/>
  <c r="J89" i="53"/>
  <c r="F89" i="53"/>
  <c r="J88" i="53"/>
  <c r="F88" i="53"/>
  <c r="J87" i="53"/>
  <c r="J86" i="53"/>
  <c r="F87" i="53"/>
  <c r="F86" i="53"/>
  <c r="F85" i="53"/>
  <c r="J84" i="53"/>
  <c r="F84" i="53"/>
  <c r="J83" i="53"/>
  <c r="F83" i="53"/>
  <c r="J82" i="53"/>
  <c r="F82" i="53"/>
  <c r="J81" i="53"/>
  <c r="F81" i="53"/>
  <c r="J80" i="53"/>
  <c r="F80" i="53"/>
  <c r="J79" i="53"/>
  <c r="F79" i="53"/>
  <c r="J78" i="53"/>
  <c r="F78" i="53"/>
  <c r="J77" i="53"/>
  <c r="F77" i="53"/>
  <c r="J76" i="53"/>
  <c r="F76" i="53"/>
  <c r="J75" i="53"/>
  <c r="F75" i="53"/>
  <c r="F74" i="53"/>
  <c r="J73" i="53"/>
  <c r="F73" i="53"/>
  <c r="J72" i="53"/>
  <c r="F72" i="53"/>
  <c r="J71" i="53"/>
  <c r="F71" i="53"/>
  <c r="J70" i="53"/>
  <c r="F70" i="53"/>
  <c r="J69" i="53"/>
  <c r="F69" i="53"/>
  <c r="J68" i="53"/>
  <c r="F68" i="53"/>
  <c r="J67" i="53"/>
  <c r="F67" i="53"/>
  <c r="J66" i="53"/>
  <c r="F66" i="53"/>
  <c r="F65" i="53"/>
  <c r="J64" i="53"/>
  <c r="F64" i="53"/>
  <c r="J63" i="53"/>
  <c r="F63" i="53"/>
  <c r="J62" i="53"/>
  <c r="F62" i="53"/>
  <c r="J61" i="53"/>
  <c r="F61" i="53"/>
  <c r="J60" i="53"/>
  <c r="F60" i="53"/>
  <c r="J59" i="53"/>
  <c r="F59" i="53"/>
  <c r="J58" i="53"/>
  <c r="F58" i="53"/>
  <c r="J57" i="53"/>
  <c r="F57" i="53"/>
  <c r="J56" i="53"/>
  <c r="F56" i="53"/>
  <c r="J55" i="53"/>
  <c r="F55" i="53"/>
  <c r="J54" i="53"/>
  <c r="F54" i="53"/>
  <c r="J53" i="53"/>
  <c r="F53" i="53"/>
  <c r="J52" i="53"/>
  <c r="F52" i="53"/>
  <c r="J51" i="53"/>
  <c r="F51" i="53"/>
  <c r="J50" i="53"/>
  <c r="F50" i="53"/>
  <c r="J49" i="53"/>
  <c r="F49" i="53"/>
  <c r="J48" i="53"/>
  <c r="F48" i="53"/>
  <c r="J47" i="53"/>
  <c r="F47" i="53"/>
  <c r="J46" i="53"/>
  <c r="F46" i="53"/>
  <c r="F45" i="53"/>
  <c r="J44" i="53"/>
  <c r="F44" i="53"/>
  <c r="J43" i="53"/>
  <c r="F43" i="53"/>
  <c r="J42" i="53"/>
  <c r="F42" i="53"/>
  <c r="J41" i="53"/>
  <c r="F41" i="53"/>
  <c r="J40" i="53"/>
  <c r="F40" i="53"/>
  <c r="J39" i="53"/>
  <c r="F39" i="53"/>
  <c r="J38" i="53"/>
  <c r="F38" i="53"/>
  <c r="J37" i="53"/>
  <c r="F37" i="53"/>
  <c r="J36" i="53"/>
  <c r="F36" i="53"/>
  <c r="J35" i="53"/>
  <c r="F35" i="53"/>
  <c r="J34" i="53"/>
  <c r="F34" i="53"/>
  <c r="J33" i="53"/>
  <c r="F33" i="53"/>
  <c r="J32" i="53"/>
  <c r="F32" i="53"/>
  <c r="J31" i="53"/>
  <c r="F31" i="53"/>
  <c r="J30" i="53"/>
  <c r="F30" i="53"/>
  <c r="F29" i="53"/>
  <c r="J28" i="53"/>
  <c r="F28" i="53"/>
  <c r="J27" i="53"/>
  <c r="F27" i="53"/>
  <c r="J26" i="53"/>
  <c r="F26" i="53"/>
  <c r="J25" i="53"/>
  <c r="F25" i="53"/>
  <c r="J24" i="53"/>
  <c r="F24" i="53"/>
  <c r="J23" i="53"/>
  <c r="F23" i="53"/>
  <c r="J22" i="53"/>
  <c r="F22" i="53"/>
  <c r="J21" i="53"/>
  <c r="F21" i="53"/>
  <c r="J20" i="53"/>
  <c r="F20" i="53"/>
  <c r="J19" i="53"/>
  <c r="F19" i="53"/>
  <c r="J18" i="53"/>
  <c r="F18" i="53"/>
  <c r="F17" i="53"/>
  <c r="J16" i="53"/>
  <c r="F16" i="53"/>
  <c r="J15" i="53"/>
  <c r="F15" i="53"/>
  <c r="J14" i="53"/>
  <c r="F14" i="53"/>
  <c r="F13" i="53"/>
  <c r="J12" i="53"/>
  <c r="F12" i="53"/>
  <c r="J11" i="53"/>
  <c r="F11" i="53"/>
  <c r="J10" i="53"/>
  <c r="F10" i="53"/>
  <c r="F9" i="53"/>
  <c r="K126" i="52"/>
  <c r="G126" i="52"/>
  <c r="K125" i="52"/>
  <c r="G125" i="52"/>
  <c r="K124" i="52"/>
  <c r="G124" i="52"/>
  <c r="K123" i="52"/>
  <c r="G123" i="52"/>
  <c r="K122" i="52"/>
  <c r="G122" i="52"/>
  <c r="K121" i="52"/>
  <c r="G121" i="52"/>
  <c r="K120" i="52"/>
  <c r="G120" i="52"/>
  <c r="K119" i="52"/>
  <c r="G119" i="52"/>
  <c r="K118" i="52"/>
  <c r="G118" i="52"/>
  <c r="K117" i="52"/>
  <c r="G117" i="52"/>
  <c r="K116" i="52"/>
  <c r="G116" i="52"/>
  <c r="K115" i="52"/>
  <c r="G115" i="52"/>
  <c r="K114" i="52"/>
  <c r="G114" i="52"/>
  <c r="K113" i="52"/>
  <c r="G113" i="52"/>
  <c r="K112" i="52"/>
  <c r="G112" i="52"/>
  <c r="K111" i="52"/>
  <c r="G111" i="52"/>
  <c r="K110" i="52"/>
  <c r="G110" i="52"/>
  <c r="K109" i="52"/>
  <c r="G109" i="52"/>
  <c r="K108" i="52"/>
  <c r="G108" i="52"/>
  <c r="K107" i="52"/>
  <c r="G107" i="52"/>
  <c r="G106" i="52"/>
  <c r="K105" i="52"/>
  <c r="G105" i="52"/>
  <c r="K104" i="52"/>
  <c r="G104" i="52"/>
  <c r="K103" i="52"/>
  <c r="G103" i="52"/>
  <c r="K102" i="52"/>
  <c r="G102" i="52"/>
  <c r="K101" i="52"/>
  <c r="G101" i="52"/>
  <c r="K100" i="52"/>
  <c r="G100" i="52"/>
  <c r="K99" i="52"/>
  <c r="G99" i="52"/>
  <c r="G98" i="52"/>
  <c r="K97" i="52"/>
  <c r="G97" i="52"/>
  <c r="K96" i="52"/>
  <c r="G96" i="52"/>
  <c r="K95" i="52"/>
  <c r="G95" i="52"/>
  <c r="K94" i="52"/>
  <c r="G94" i="52"/>
  <c r="G93" i="52"/>
  <c r="K92" i="52"/>
  <c r="G92" i="52"/>
  <c r="K91" i="52"/>
  <c r="G91" i="52"/>
  <c r="K90" i="52"/>
  <c r="G90" i="52"/>
  <c r="K89" i="52"/>
  <c r="G89" i="52"/>
  <c r="G88" i="52"/>
  <c r="K87" i="52"/>
  <c r="G87" i="52"/>
  <c r="K86" i="52"/>
  <c r="G86" i="52"/>
  <c r="K85" i="52"/>
  <c r="G85" i="52"/>
  <c r="K84" i="52"/>
  <c r="G84" i="52"/>
  <c r="K83" i="52"/>
  <c r="G83" i="52"/>
  <c r="K82" i="52"/>
  <c r="G82" i="52"/>
  <c r="G81" i="52"/>
  <c r="K80" i="52"/>
  <c r="G80" i="52"/>
  <c r="K79" i="52"/>
  <c r="G79" i="52"/>
  <c r="K78" i="52"/>
  <c r="G78" i="52"/>
  <c r="G77" i="52"/>
  <c r="K76" i="52"/>
  <c r="G76" i="52"/>
  <c r="K75" i="52"/>
  <c r="G75" i="52"/>
  <c r="K74" i="52"/>
  <c r="G74" i="52"/>
  <c r="G73" i="52"/>
  <c r="K72" i="52"/>
  <c r="G72" i="52"/>
  <c r="K71" i="52"/>
  <c r="G71" i="52"/>
  <c r="K70" i="52"/>
  <c r="G70" i="52"/>
  <c r="K69" i="52"/>
  <c r="G69" i="52"/>
  <c r="K68" i="52"/>
  <c r="G68" i="52"/>
  <c r="G67" i="52"/>
  <c r="K66" i="52"/>
  <c r="G66" i="52"/>
  <c r="K65" i="52"/>
  <c r="G65" i="52"/>
  <c r="K64" i="52"/>
  <c r="G64" i="52"/>
  <c r="G63" i="52"/>
  <c r="K62" i="52"/>
  <c r="G62" i="52"/>
  <c r="K61" i="52"/>
  <c r="G61" i="52"/>
  <c r="K60" i="52"/>
  <c r="G60" i="52"/>
  <c r="K59" i="52"/>
  <c r="G59" i="52"/>
  <c r="K58" i="52"/>
  <c r="G58" i="52"/>
  <c r="K57" i="52"/>
  <c r="G57" i="52"/>
  <c r="K56" i="52"/>
  <c r="G56" i="52"/>
  <c r="K55" i="52"/>
  <c r="G55" i="52"/>
  <c r="K54" i="52"/>
  <c r="G54" i="52"/>
  <c r="K53" i="52"/>
  <c r="G53" i="52"/>
  <c r="K52" i="52"/>
  <c r="G52" i="52"/>
  <c r="K51" i="52"/>
  <c r="G51" i="52"/>
  <c r="K50" i="52"/>
  <c r="G50" i="52"/>
  <c r="K49" i="52"/>
  <c r="G49" i="52"/>
  <c r="K48" i="52"/>
  <c r="G48" i="52"/>
  <c r="K47" i="52"/>
  <c r="G47" i="52"/>
  <c r="K46" i="52"/>
  <c r="G46" i="52"/>
  <c r="K45" i="52"/>
  <c r="G45" i="52"/>
  <c r="G44" i="52"/>
  <c r="K43" i="52"/>
  <c r="G43" i="52"/>
  <c r="K42" i="52"/>
  <c r="G42" i="52"/>
  <c r="K41" i="52"/>
  <c r="G41" i="52"/>
  <c r="K40" i="52"/>
  <c r="G40" i="52"/>
  <c r="K39" i="52"/>
  <c r="G39" i="52"/>
  <c r="K38" i="52"/>
  <c r="G38" i="52"/>
  <c r="K37" i="52"/>
  <c r="G37" i="52"/>
  <c r="K36" i="52"/>
  <c r="G36" i="52"/>
  <c r="K35" i="52"/>
  <c r="G35" i="52"/>
  <c r="K34" i="52"/>
  <c r="G34" i="52"/>
  <c r="K33" i="52"/>
  <c r="G33" i="52"/>
  <c r="K32" i="52"/>
  <c r="G32" i="52"/>
  <c r="G31" i="52"/>
  <c r="K30" i="52"/>
  <c r="G30" i="52"/>
  <c r="K29" i="52"/>
  <c r="G29" i="52"/>
  <c r="K28" i="52"/>
  <c r="G28" i="52"/>
  <c r="K27" i="52"/>
  <c r="G27" i="52"/>
  <c r="K26" i="52"/>
  <c r="G26" i="52"/>
  <c r="K25" i="52"/>
  <c r="G25" i="52"/>
  <c r="K24" i="52"/>
  <c r="G24" i="52"/>
  <c r="G23" i="52"/>
  <c r="K22" i="52"/>
  <c r="G22" i="52"/>
  <c r="K21" i="52"/>
  <c r="G21" i="52"/>
  <c r="K20" i="52"/>
  <c r="G20" i="52"/>
  <c r="K19" i="52"/>
  <c r="G19" i="52"/>
  <c r="K18" i="52"/>
  <c r="G18" i="52"/>
  <c r="G17" i="52"/>
  <c r="K16" i="52"/>
  <c r="G16" i="52"/>
  <c r="K15" i="52"/>
  <c r="G15" i="52"/>
  <c r="K14" i="52"/>
  <c r="G14" i="52"/>
  <c r="K13" i="52"/>
  <c r="G13" i="52"/>
  <c r="K12" i="52"/>
  <c r="G12" i="52"/>
  <c r="K11" i="52"/>
  <c r="G11" i="52"/>
  <c r="K10" i="52"/>
  <c r="G10" i="52"/>
  <c r="G9" i="52"/>
  <c r="J109" i="6"/>
  <c r="F109" i="6"/>
  <c r="J107" i="6"/>
  <c r="F107" i="6"/>
  <c r="F106" i="6"/>
  <c r="J105" i="6"/>
  <c r="F105" i="6"/>
  <c r="J104" i="6"/>
  <c r="F104" i="6"/>
  <c r="J103" i="6"/>
  <c r="F103" i="6"/>
  <c r="F102" i="6"/>
  <c r="J101" i="6"/>
  <c r="F101" i="6"/>
  <c r="J100" i="6"/>
  <c r="F100" i="6"/>
  <c r="J99" i="6"/>
  <c r="F99" i="6"/>
  <c r="J98" i="6"/>
  <c r="F98" i="6"/>
  <c r="J97" i="6"/>
  <c r="F97" i="6"/>
  <c r="J96" i="6"/>
  <c r="F96" i="6"/>
  <c r="J95" i="6"/>
  <c r="F95" i="6"/>
  <c r="J94" i="6"/>
  <c r="F94" i="6"/>
  <c r="F93" i="6"/>
  <c r="J92" i="6"/>
  <c r="F92" i="6"/>
  <c r="J91" i="6"/>
  <c r="F91" i="6"/>
  <c r="J90" i="6"/>
  <c r="F90" i="6"/>
  <c r="F89" i="6"/>
  <c r="J88" i="6"/>
  <c r="F88" i="6"/>
  <c r="J87" i="6"/>
  <c r="F87" i="6"/>
  <c r="J86" i="6"/>
  <c r="F86" i="6"/>
  <c r="J85" i="6"/>
  <c r="F85" i="6"/>
  <c r="J84" i="6"/>
  <c r="F84" i="6"/>
  <c r="J83" i="6"/>
  <c r="F83" i="6"/>
  <c r="J82" i="6"/>
  <c r="F82" i="6"/>
  <c r="F81" i="6"/>
  <c r="J80" i="6"/>
  <c r="F80" i="6"/>
  <c r="J79" i="6"/>
  <c r="F79" i="6"/>
  <c r="F78" i="6"/>
  <c r="J77" i="6"/>
  <c r="F77" i="6"/>
  <c r="J76" i="6"/>
  <c r="F76" i="6"/>
  <c r="J75" i="6"/>
  <c r="F75" i="6"/>
  <c r="F74" i="6"/>
  <c r="J73" i="6"/>
  <c r="F73" i="6"/>
  <c r="J72" i="6"/>
  <c r="F72" i="6"/>
  <c r="J71" i="6"/>
  <c r="F71" i="6"/>
  <c r="J70" i="6"/>
  <c r="F70" i="6"/>
  <c r="J69" i="6"/>
  <c r="F69" i="6"/>
  <c r="J68" i="6"/>
  <c r="F68" i="6"/>
  <c r="J67" i="6"/>
  <c r="F67" i="6"/>
  <c r="F66" i="6"/>
  <c r="J65" i="6"/>
  <c r="F65" i="6"/>
  <c r="J64" i="6"/>
  <c r="F64" i="6"/>
  <c r="J63" i="6"/>
  <c r="F63" i="6"/>
  <c r="J62" i="6"/>
  <c r="F62" i="6"/>
  <c r="J61" i="6"/>
  <c r="F61" i="6"/>
  <c r="F60" i="6"/>
  <c r="J59" i="6"/>
  <c r="F59" i="6"/>
  <c r="J58" i="6"/>
  <c r="F58" i="6"/>
  <c r="J57" i="6"/>
  <c r="F57" i="6"/>
  <c r="J56" i="6"/>
  <c r="F56" i="6"/>
  <c r="J55" i="6"/>
  <c r="F55" i="6"/>
  <c r="J54" i="6"/>
  <c r="F54" i="6"/>
  <c r="J53" i="6"/>
  <c r="F53" i="6"/>
  <c r="F52" i="6"/>
  <c r="J51" i="6"/>
  <c r="F51" i="6"/>
  <c r="J50" i="6"/>
  <c r="F50" i="6"/>
  <c r="J49" i="6"/>
  <c r="F49" i="6"/>
  <c r="J48" i="6"/>
  <c r="F48" i="6"/>
  <c r="J47" i="6"/>
  <c r="F47" i="6"/>
  <c r="F46" i="6"/>
  <c r="J45" i="6"/>
  <c r="F45" i="6"/>
  <c r="J44" i="6"/>
  <c r="F44" i="6"/>
  <c r="J43" i="6"/>
  <c r="F43" i="6"/>
  <c r="F42" i="6"/>
  <c r="J41" i="6"/>
  <c r="F41" i="6"/>
  <c r="J40" i="6"/>
  <c r="F40" i="6"/>
  <c r="J39" i="6"/>
  <c r="F39" i="6"/>
  <c r="J38" i="6"/>
  <c r="F38" i="6"/>
  <c r="J37" i="6"/>
  <c r="F37" i="6"/>
  <c r="J36" i="6"/>
  <c r="F36" i="6"/>
  <c r="J35" i="6"/>
  <c r="F35" i="6"/>
  <c r="F34" i="6"/>
  <c r="J33" i="6"/>
  <c r="F33" i="6"/>
  <c r="J32" i="6"/>
  <c r="F32" i="6"/>
  <c r="J31" i="6"/>
  <c r="F31" i="6"/>
  <c r="J30" i="6"/>
  <c r="F30" i="6"/>
  <c r="J29" i="6"/>
  <c r="F29" i="6"/>
  <c r="F28" i="6"/>
  <c r="J27" i="6"/>
  <c r="F27" i="6"/>
  <c r="J26" i="6"/>
  <c r="F26" i="6"/>
  <c r="J25" i="6"/>
  <c r="F25" i="6"/>
  <c r="J24" i="6"/>
  <c r="F24" i="6"/>
  <c r="J23" i="6"/>
  <c r="F23" i="6"/>
  <c r="J22" i="6"/>
  <c r="F22" i="6"/>
  <c r="J21" i="6"/>
  <c r="F21" i="6"/>
  <c r="J20" i="6"/>
  <c r="F20" i="6"/>
  <c r="J19" i="6"/>
  <c r="F19" i="6"/>
  <c r="J18" i="6"/>
  <c r="F18" i="6"/>
  <c r="F17" i="6"/>
  <c r="J16" i="6"/>
  <c r="F16" i="6"/>
  <c r="J15" i="6"/>
  <c r="F15" i="6"/>
  <c r="J14" i="6"/>
  <c r="F14" i="6"/>
  <c r="J13" i="6"/>
  <c r="F13" i="6"/>
  <c r="J12" i="6"/>
  <c r="F12" i="6"/>
  <c r="J11" i="6"/>
  <c r="F11" i="6"/>
  <c r="J10" i="6"/>
  <c r="F10" i="6"/>
  <c r="F9" i="6"/>
  <c r="J42" i="41"/>
  <c r="J41" i="41"/>
  <c r="J40" i="41"/>
  <c r="J39" i="41"/>
  <c r="J37" i="41"/>
  <c r="J36" i="41"/>
  <c r="J35" i="41"/>
  <c r="J34" i="41"/>
  <c r="J33" i="41"/>
  <c r="J32" i="41"/>
  <c r="J30" i="41"/>
  <c r="J29" i="41"/>
  <c r="J28" i="41"/>
  <c r="J27" i="41"/>
  <c r="J25" i="41"/>
  <c r="J24" i="41"/>
  <c r="J23" i="41"/>
  <c r="J20" i="41"/>
  <c r="J19" i="41"/>
  <c r="J18" i="41"/>
  <c r="J17" i="41"/>
  <c r="J15" i="41"/>
  <c r="J14" i="41"/>
  <c r="J13" i="41"/>
  <c r="J12" i="41"/>
  <c r="J11" i="41"/>
  <c r="J10" i="41"/>
  <c r="F9" i="41"/>
  <c r="J34" i="45"/>
  <c r="J33" i="45"/>
  <c r="J32" i="45"/>
  <c r="J31" i="45"/>
  <c r="J30" i="45"/>
  <c r="J28" i="45"/>
  <c r="J27" i="45"/>
  <c r="J25" i="45"/>
  <c r="J24" i="45"/>
  <c r="J23" i="45"/>
  <c r="J22" i="45"/>
  <c r="J21" i="45"/>
  <c r="J20" i="45"/>
  <c r="J18" i="45"/>
  <c r="J17" i="45"/>
  <c r="J16" i="45"/>
  <c r="J14" i="45"/>
  <c r="J13" i="45"/>
  <c r="J12" i="45"/>
  <c r="J10" i="45"/>
  <c r="J9" i="45" s="1"/>
  <c r="F9" i="45"/>
  <c r="K14" i="2"/>
  <c r="B3" i="50"/>
  <c r="J29" i="50"/>
  <c r="J28" i="50"/>
  <c r="F28" i="50"/>
  <c r="J27" i="50"/>
  <c r="F27" i="50"/>
  <c r="J26" i="50"/>
  <c r="F26" i="50"/>
  <c r="J25" i="50"/>
  <c r="F25" i="50"/>
  <c r="F24" i="50"/>
  <c r="F23" i="50"/>
  <c r="J22" i="50"/>
  <c r="F22" i="50"/>
  <c r="J21" i="50"/>
  <c r="F21" i="50"/>
  <c r="J20" i="50"/>
  <c r="F20" i="50"/>
  <c r="J19" i="50"/>
  <c r="F19" i="50"/>
  <c r="F18" i="50"/>
  <c r="J17" i="50"/>
  <c r="F17" i="50"/>
  <c r="J16" i="50"/>
  <c r="F16" i="50"/>
  <c r="J15" i="50"/>
  <c r="F15" i="50"/>
  <c r="J14" i="50"/>
  <c r="F14" i="50"/>
  <c r="J13" i="50"/>
  <c r="F13" i="50"/>
  <c r="J12" i="50"/>
  <c r="F12" i="50"/>
  <c r="F11" i="50"/>
  <c r="J10" i="50"/>
  <c r="J9" i="50" s="1"/>
  <c r="F10" i="50"/>
  <c r="F13" i="30"/>
  <c r="F14" i="30"/>
  <c r="F15" i="30"/>
  <c r="F16" i="30"/>
  <c r="F12" i="30"/>
  <c r="F17" i="30"/>
  <c r="F10" i="30"/>
  <c r="J40" i="30"/>
  <c r="B3" i="30"/>
  <c r="B2" i="30"/>
  <c r="J10" i="30"/>
  <c r="J9" i="30" s="1"/>
  <c r="B3" i="43"/>
  <c r="B2" i="43"/>
  <c r="J24" i="43"/>
  <c r="F24" i="43"/>
  <c r="J23" i="43"/>
  <c r="F23" i="43"/>
  <c r="J22" i="43"/>
  <c r="F22" i="43"/>
  <c r="J21" i="43"/>
  <c r="F21" i="43"/>
  <c r="J20" i="43"/>
  <c r="F20" i="43"/>
  <c r="F19" i="43"/>
  <c r="J18" i="43"/>
  <c r="F18" i="43"/>
  <c r="J17" i="43"/>
  <c r="F17" i="43"/>
  <c r="J16" i="43"/>
  <c r="F16" i="43"/>
  <c r="J15" i="43"/>
  <c r="F15" i="43"/>
  <c r="F14" i="43"/>
  <c r="J58" i="40"/>
  <c r="F57" i="40"/>
  <c r="F58" i="40"/>
  <c r="J53" i="40"/>
  <c r="F53" i="40"/>
  <c r="J52" i="40"/>
  <c r="F52" i="40"/>
  <c r="J51" i="40"/>
  <c r="F51" i="40"/>
  <c r="J50" i="40"/>
  <c r="F50" i="40"/>
  <c r="F49" i="40"/>
  <c r="J48" i="40"/>
  <c r="F48" i="40"/>
  <c r="J47" i="40"/>
  <c r="F47" i="40"/>
  <c r="J46" i="40"/>
  <c r="F46" i="40"/>
  <c r="J45" i="40"/>
  <c r="F45" i="40"/>
  <c r="J44" i="40"/>
  <c r="F44" i="40"/>
  <c r="J43" i="40"/>
  <c r="F43" i="40"/>
  <c r="J42" i="40"/>
  <c r="F42" i="40"/>
  <c r="F41" i="40"/>
  <c r="F30" i="40"/>
  <c r="F31" i="40"/>
  <c r="F32" i="40"/>
  <c r="F33" i="40"/>
  <c r="F34" i="40"/>
  <c r="J32" i="40"/>
  <c r="J33" i="40"/>
  <c r="J40" i="40"/>
  <c r="F40" i="40"/>
  <c r="J39" i="40"/>
  <c r="F39" i="40"/>
  <c r="J38" i="40"/>
  <c r="F38" i="40"/>
  <c r="J37" i="40"/>
  <c r="F37" i="40"/>
  <c r="F36" i="40"/>
  <c r="B3" i="40"/>
  <c r="B2" i="40"/>
  <c r="F18" i="39"/>
  <c r="F19" i="39"/>
  <c r="F20" i="39"/>
  <c r="F21" i="39"/>
  <c r="F22" i="39"/>
  <c r="F11" i="39"/>
  <c r="F12" i="39"/>
  <c r="F13" i="39"/>
  <c r="J12" i="39"/>
  <c r="J13" i="39"/>
  <c r="B3" i="39"/>
  <c r="B2" i="39"/>
  <c r="B3" i="6"/>
  <c r="B2" i="6"/>
  <c r="B3" i="7"/>
  <c r="B2" i="7"/>
  <c r="B3" i="45"/>
  <c r="B2" i="45"/>
  <c r="K9" i="2"/>
  <c r="K10" i="2"/>
  <c r="K11" i="2"/>
  <c r="K13" i="2"/>
  <c r="K16" i="2"/>
  <c r="K17" i="2"/>
  <c r="M32" i="44"/>
  <c r="L32" i="44"/>
  <c r="F32" i="44"/>
  <c r="E32" i="44"/>
  <c r="M22" i="44"/>
  <c r="L22" i="44"/>
  <c r="F22" i="44"/>
  <c r="E22" i="44"/>
  <c r="M12" i="44"/>
  <c r="L12" i="44"/>
  <c r="F12" i="44"/>
  <c r="E12" i="44"/>
  <c r="C36" i="44" s="1"/>
  <c r="B3" i="41"/>
  <c r="B2" i="41"/>
  <c r="J46" i="43"/>
  <c r="F46" i="43"/>
  <c r="J45" i="43"/>
  <c r="F45" i="43"/>
  <c r="J44" i="43"/>
  <c r="F44" i="43"/>
  <c r="J43" i="43"/>
  <c r="F43" i="43"/>
  <c r="F42" i="43"/>
  <c r="J41" i="43"/>
  <c r="F41" i="43"/>
  <c r="J40" i="43"/>
  <c r="F40" i="43"/>
  <c r="F39" i="43"/>
  <c r="J38" i="43"/>
  <c r="F38" i="43"/>
  <c r="J37" i="43"/>
  <c r="F37" i="43"/>
  <c r="J36" i="43"/>
  <c r="F36" i="43"/>
  <c r="F35" i="43"/>
  <c r="J34" i="43"/>
  <c r="F34" i="43"/>
  <c r="J33" i="43"/>
  <c r="F33" i="43"/>
  <c r="J32" i="43"/>
  <c r="F32" i="43"/>
  <c r="J31" i="43"/>
  <c r="F31" i="43"/>
  <c r="J30" i="43"/>
  <c r="F30" i="43"/>
  <c r="J29" i="43"/>
  <c r="F29" i="43"/>
  <c r="J28" i="43"/>
  <c r="F28" i="43"/>
  <c r="J27" i="43"/>
  <c r="F27" i="43"/>
  <c r="J26" i="43"/>
  <c r="F26" i="43"/>
  <c r="F25" i="43"/>
  <c r="J13" i="43"/>
  <c r="F13" i="43"/>
  <c r="J12" i="43"/>
  <c r="F12" i="43"/>
  <c r="J11" i="43"/>
  <c r="F11" i="43"/>
  <c r="J10" i="43"/>
  <c r="F10" i="43"/>
  <c r="F9" i="43"/>
  <c r="J47" i="41"/>
  <c r="J46" i="41"/>
  <c r="J45" i="41"/>
  <c r="J44" i="41"/>
  <c r="J64" i="40"/>
  <c r="F64" i="40"/>
  <c r="J63" i="40"/>
  <c r="F63" i="40"/>
  <c r="J62" i="40"/>
  <c r="F62" i="40"/>
  <c r="J61" i="40"/>
  <c r="F61" i="40"/>
  <c r="F60" i="40"/>
  <c r="J59" i="40"/>
  <c r="F59" i="40"/>
  <c r="J57" i="40"/>
  <c r="J56" i="40"/>
  <c r="F56" i="40"/>
  <c r="J55" i="40"/>
  <c r="F55" i="40"/>
  <c r="F54" i="40"/>
  <c r="J35" i="40"/>
  <c r="F35" i="40"/>
  <c r="J34" i="40"/>
  <c r="J31" i="40"/>
  <c r="J30" i="40"/>
  <c r="J29" i="40"/>
  <c r="F29" i="40"/>
  <c r="F28" i="40"/>
  <c r="J27" i="40"/>
  <c r="F27" i="40"/>
  <c r="J26" i="40"/>
  <c r="F26" i="40"/>
  <c r="J25" i="40"/>
  <c r="F25" i="40"/>
  <c r="J24" i="40"/>
  <c r="F24" i="40"/>
  <c r="F23" i="40"/>
  <c r="J22" i="40"/>
  <c r="F22" i="40"/>
  <c r="J21" i="40"/>
  <c r="F21" i="40"/>
  <c r="J20" i="40"/>
  <c r="F20" i="40"/>
  <c r="F19" i="40"/>
  <c r="J18" i="40"/>
  <c r="F18" i="40"/>
  <c r="J17" i="40"/>
  <c r="F17" i="40"/>
  <c r="J16" i="40"/>
  <c r="F16" i="40"/>
  <c r="J15" i="40"/>
  <c r="F15" i="40"/>
  <c r="F14" i="40"/>
  <c r="J13" i="40"/>
  <c r="F13" i="40"/>
  <c r="J12" i="40"/>
  <c r="F12" i="40"/>
  <c r="J11" i="40"/>
  <c r="J10" i="40"/>
  <c r="F11" i="40"/>
  <c r="F10" i="40"/>
  <c r="F9" i="40"/>
  <c r="J30" i="39"/>
  <c r="F30" i="39"/>
  <c r="J29" i="39"/>
  <c r="F29" i="39"/>
  <c r="F28" i="39"/>
  <c r="J27" i="39"/>
  <c r="F27" i="39"/>
  <c r="J26" i="39"/>
  <c r="F26" i="39"/>
  <c r="J25" i="39"/>
  <c r="F25" i="39"/>
  <c r="F24" i="39"/>
  <c r="J23" i="39"/>
  <c r="F23" i="39"/>
  <c r="J22" i="39"/>
  <c r="J21" i="39"/>
  <c r="J20" i="39"/>
  <c r="J19" i="39"/>
  <c r="J18" i="39"/>
  <c r="J17" i="39"/>
  <c r="F17" i="39"/>
  <c r="F16" i="39"/>
  <c r="J15" i="39"/>
  <c r="F15" i="39"/>
  <c r="J14" i="39"/>
  <c r="F14" i="39"/>
  <c r="J11" i="39"/>
  <c r="J10" i="39"/>
  <c r="F10" i="39"/>
  <c r="F9" i="39"/>
  <c r="J59" i="7"/>
  <c r="J57" i="7"/>
  <c r="J58" i="7"/>
  <c r="J56" i="7"/>
  <c r="J31" i="7"/>
  <c r="J23" i="7"/>
  <c r="J19" i="7"/>
  <c r="J20" i="7"/>
  <c r="J13" i="7"/>
  <c r="J14" i="7"/>
  <c r="J15" i="7"/>
  <c r="J11" i="7"/>
  <c r="J49" i="7"/>
  <c r="J48" i="7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11" i="30"/>
  <c r="F39" i="30"/>
  <c r="F9" i="30"/>
  <c r="K18" i="2"/>
  <c r="K24" i="2"/>
  <c r="J12" i="30"/>
  <c r="J13" i="30"/>
  <c r="J14" i="30"/>
  <c r="J15" i="30"/>
  <c r="J16" i="30"/>
  <c r="J17" i="30"/>
  <c r="J39" i="30"/>
  <c r="J28" i="30"/>
  <c r="J22" i="30"/>
  <c r="J38" i="30"/>
  <c r="J37" i="30"/>
  <c r="J36" i="30"/>
  <c r="J35" i="30"/>
  <c r="J33" i="30"/>
  <c r="J32" i="30"/>
  <c r="J31" i="30"/>
  <c r="J30" i="30"/>
  <c r="J27" i="30"/>
  <c r="J26" i="30"/>
  <c r="J25" i="30"/>
  <c r="J24" i="30"/>
  <c r="J23" i="30"/>
  <c r="J21" i="30"/>
  <c r="J20" i="30"/>
  <c r="J19" i="30"/>
  <c r="K19" i="2"/>
  <c r="K20" i="2"/>
  <c r="K22" i="2"/>
  <c r="K23" i="2"/>
  <c r="F9" i="7"/>
  <c r="J10" i="7"/>
  <c r="J16" i="7"/>
  <c r="J18" i="7"/>
  <c r="J22" i="7"/>
  <c r="J25" i="7"/>
  <c r="J26" i="7"/>
  <c r="J27" i="7"/>
  <c r="J28" i="7"/>
  <c r="J29" i="7"/>
  <c r="J32" i="7"/>
  <c r="J33" i="7"/>
  <c r="J34" i="7"/>
  <c r="J35" i="7"/>
  <c r="J37" i="7"/>
  <c r="J38" i="7"/>
  <c r="J39" i="7"/>
  <c r="J40" i="7"/>
  <c r="J41" i="7"/>
  <c r="J43" i="7"/>
  <c r="J44" i="7"/>
  <c r="J45" i="7"/>
  <c r="J46" i="7"/>
  <c r="J47" i="7"/>
  <c r="J51" i="7"/>
  <c r="J52" i="7"/>
  <c r="J53" i="7"/>
  <c r="J54" i="7"/>
  <c r="J23" i="50" l="1"/>
  <c r="J34" i="30"/>
  <c r="J13" i="53"/>
  <c r="J9" i="53"/>
  <c r="J54" i="40"/>
  <c r="J41" i="40"/>
  <c r="J28" i="40"/>
  <c r="J106" i="6"/>
  <c r="J42" i="6"/>
  <c r="J54" i="54"/>
  <c r="J50" i="7"/>
  <c r="J38" i="41"/>
  <c r="J23" i="40"/>
  <c r="J19" i="45"/>
  <c r="J66" i="6"/>
  <c r="K9" i="52"/>
  <c r="K23" i="52"/>
  <c r="K98" i="52"/>
  <c r="J17" i="53"/>
  <c r="J29" i="45"/>
  <c r="C37" i="44"/>
  <c r="K88" i="52"/>
  <c r="J18" i="50"/>
  <c r="J9" i="54"/>
  <c r="J21" i="7"/>
  <c r="J27" i="54"/>
  <c r="J59" i="54"/>
  <c r="J17" i="7"/>
  <c r="J30" i="7"/>
  <c r="J55" i="7"/>
  <c r="J9" i="39"/>
  <c r="J12" i="7"/>
  <c r="J49" i="40"/>
  <c r="J16" i="41"/>
  <c r="J74" i="6"/>
  <c r="K31" i="52"/>
  <c r="J65" i="53"/>
  <c r="J78" i="6"/>
  <c r="J14" i="43"/>
  <c r="J15" i="54"/>
  <c r="J9" i="7"/>
  <c r="J16" i="39"/>
  <c r="J60" i="40"/>
  <c r="J35" i="43"/>
  <c r="K73" i="52"/>
  <c r="J28" i="39"/>
  <c r="J43" i="41"/>
  <c r="J19" i="43"/>
  <c r="J28" i="6"/>
  <c r="J89" i="6"/>
  <c r="J102" i="6"/>
  <c r="K44" i="52"/>
  <c r="K77" i="52"/>
  <c r="J108" i="53"/>
  <c r="J29" i="30"/>
  <c r="J24" i="39"/>
  <c r="J9" i="43"/>
  <c r="J42" i="43"/>
  <c r="J17" i="6"/>
  <c r="J85" i="53"/>
  <c r="J36" i="7"/>
  <c r="J24" i="7"/>
  <c r="J25" i="43"/>
  <c r="J11" i="45"/>
  <c r="J9" i="6"/>
  <c r="J52" i="6"/>
  <c r="K67" i="52"/>
  <c r="J45" i="53"/>
  <c r="J100" i="53"/>
  <c r="J32" i="54"/>
  <c r="J42" i="7"/>
  <c r="J18" i="30"/>
  <c r="J11" i="30"/>
  <c r="J19" i="40"/>
  <c r="J11" i="50"/>
  <c r="J15" i="45"/>
  <c r="J26" i="45"/>
  <c r="J9" i="41"/>
  <c r="J31" i="41"/>
  <c r="J34" i="6"/>
  <c r="J46" i="6"/>
  <c r="J60" i="6"/>
  <c r="J81" i="6"/>
  <c r="J93" i="6"/>
  <c r="K17" i="52"/>
  <c r="K63" i="52"/>
  <c r="K81" i="52"/>
  <c r="K93" i="52"/>
  <c r="K106" i="52"/>
  <c r="J29" i="53"/>
  <c r="J74" i="53"/>
  <c r="J92" i="53"/>
  <c r="J9" i="40"/>
  <c r="J14" i="40"/>
  <c r="J39" i="43"/>
  <c r="J26" i="41"/>
  <c r="J115" i="53"/>
  <c r="J36" i="40" l="1"/>
  <c r="D3" i="40" s="1"/>
  <c r="I7" i="2"/>
  <c r="K7" i="2" s="1"/>
  <c r="K21" i="2"/>
  <c r="D2" i="50"/>
  <c r="D3" i="54"/>
  <c r="D2" i="30"/>
  <c r="D2" i="54"/>
  <c r="D3" i="30"/>
  <c r="D2" i="45"/>
  <c r="D2" i="39"/>
  <c r="D2" i="41"/>
  <c r="D2" i="7"/>
  <c r="D3" i="43"/>
  <c r="D3" i="6"/>
  <c r="D3" i="39"/>
  <c r="D2" i="6"/>
  <c r="D2" i="40"/>
  <c r="D2" i="43"/>
  <c r="D3" i="53"/>
  <c r="D2" i="52"/>
  <c r="D3" i="41"/>
  <c r="D3" i="7"/>
  <c r="D2" i="53"/>
  <c r="D3" i="52"/>
  <c r="D3" i="45"/>
  <c r="D3" i="50" l="1"/>
  <c r="D6" i="50" s="1"/>
  <c r="E3" i="50" s="1"/>
  <c r="O43" i="57" s="1"/>
  <c r="D6" i="43"/>
  <c r="D7" i="43" s="1"/>
  <c r="D4" i="43" s="1"/>
  <c r="D5" i="43" s="1"/>
  <c r="E5" i="43" s="1"/>
  <c r="Q35" i="57" s="1"/>
  <c r="D6" i="6"/>
  <c r="D7" i="6" s="1"/>
  <c r="D4" i="6" s="1"/>
  <c r="D5" i="6" s="1"/>
  <c r="E5" i="6" s="1"/>
  <c r="Q29" i="57" s="1"/>
  <c r="D6" i="30"/>
  <c r="D7" i="30" s="1"/>
  <c r="D4" i="30" s="1"/>
  <c r="D5" i="30" s="1"/>
  <c r="E5" i="30" s="1"/>
  <c r="Q41" i="57" s="1"/>
  <c r="D6" i="54"/>
  <c r="D7" i="54" s="1"/>
  <c r="D4" i="54" s="1"/>
  <c r="D5" i="54" s="1"/>
  <c r="E5" i="54" s="1"/>
  <c r="Q23" i="57" s="1"/>
  <c r="D6" i="40"/>
  <c r="D7" i="40" s="1"/>
  <c r="D4" i="40" s="1"/>
  <c r="D5" i="40" s="1"/>
  <c r="E5" i="40" s="1"/>
  <c r="Q33" i="57" s="1"/>
  <c r="D6" i="41"/>
  <c r="D7" i="41" s="1"/>
  <c r="D4" i="41" s="1"/>
  <c r="D5" i="41" s="1"/>
  <c r="E5" i="41" s="1"/>
  <c r="Q21" i="57" s="1"/>
  <c r="D6" i="52"/>
  <c r="E3" i="52" s="1"/>
  <c r="O37" i="57" s="1"/>
  <c r="D6" i="39"/>
  <c r="D7" i="39" s="1"/>
  <c r="D4" i="39" s="1"/>
  <c r="D5" i="39" s="1"/>
  <c r="E5" i="39" s="1"/>
  <c r="Q31" i="57" s="1"/>
  <c r="D6" i="7"/>
  <c r="D7" i="7" s="1"/>
  <c r="D4" i="7" s="1"/>
  <c r="D5" i="7" s="1"/>
  <c r="E5" i="7" s="1"/>
  <c r="Q17" i="57" s="1"/>
  <c r="D6" i="53"/>
  <c r="D6" i="45"/>
  <c r="D7" i="45" s="1"/>
  <c r="D7" i="53" l="1"/>
  <c r="D7" i="50"/>
  <c r="D4" i="50" s="1"/>
  <c r="D5" i="50" s="1"/>
  <c r="E5" i="50" s="1"/>
  <c r="Q43" i="57" s="1"/>
  <c r="E3" i="30"/>
  <c r="O41" i="57" s="1"/>
  <c r="E3" i="43"/>
  <c r="O35" i="57" s="1"/>
  <c r="E3" i="6"/>
  <c r="O29" i="57" s="1"/>
  <c r="E3" i="40"/>
  <c r="O33" i="57" s="1"/>
  <c r="D7" i="52"/>
  <c r="D4" i="52" s="1"/>
  <c r="D5" i="52" s="1"/>
  <c r="E5" i="52" s="1"/>
  <c r="Q37" i="57" s="1"/>
  <c r="E3" i="54"/>
  <c r="O23" i="57" s="1"/>
  <c r="E3" i="41"/>
  <c r="O21" i="57" s="1"/>
  <c r="E3" i="39"/>
  <c r="O31" i="57" s="1"/>
  <c r="E3" i="7"/>
  <c r="O17" i="57" s="1"/>
  <c r="E3" i="53"/>
  <c r="O39" i="57" s="1"/>
  <c r="D4" i="45"/>
  <c r="D5" i="45" s="1"/>
  <c r="E5" i="45" s="1"/>
  <c r="Q13" i="57" s="1"/>
  <c r="E3" i="45"/>
  <c r="O13" i="57" s="1"/>
  <c r="D4" i="53" l="1"/>
  <c r="D5" i="53" s="1"/>
  <c r="E5" i="53" s="1"/>
  <c r="Q39" i="5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6" authorId="0" shapeId="0" xr:uid="{C59172B4-FDFA-41D0-8B42-33D9869B0E74}">
      <text>
        <r>
          <rPr>
            <b/>
            <sz val="9"/>
            <color indexed="81"/>
            <rFont val="Tahoma"/>
            <family val="2"/>
          </rPr>
          <t>Insert client logo in upper right-hand corner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8" authorId="0" shapeId="0" xr:uid="{275CEA0C-9422-4160-BB20-835E7D68C631}">
      <text>
        <r>
          <rPr>
            <b/>
            <sz val="9"/>
            <color indexed="81"/>
            <rFont val="Tahoma"/>
            <family val="2"/>
          </rPr>
          <t>Once you have updated the colors in appropriate cells within Columns E, G, I &amp; K, select "Ctrl+u" to update Stage Gate values.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B1" authorId="0" shapeId="0" xr:uid="{A5B986AC-203B-4A1A-ABA2-F721F3D20E0D}">
      <text>
        <r>
          <rPr>
            <b/>
            <sz val="9"/>
            <color indexed="81"/>
            <rFont val="Tahoma"/>
            <family val="2"/>
          </rPr>
          <t>Insert Client logos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3EA99736-C7CB-4661-ACED-4F1C1F5B2C7E}">
      <text>
        <r>
          <rPr>
            <b/>
            <sz val="9"/>
            <color indexed="81"/>
            <rFont val="Tahoma"/>
            <family val="2"/>
          </rPr>
          <t>Insert client logos in upper left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914E75FD-E205-4994-8C57-C6A5227CD74C}">
      <text>
        <r>
          <rPr>
            <b/>
            <sz val="9"/>
            <color indexed="81"/>
            <rFont val="Tahoma"/>
            <family val="2"/>
          </rPr>
          <t>Insert client logo in upper right-hand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2FD6A4FF-8665-4E2A-8442-21E827B56CE4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2223CB33-3B09-42B6-A026-15106DEE30BF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C0097286-64E9-4CDE-AA60-328DDD050F4B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6E1CF4A4-5B74-4B19-B4F4-A6372C5D7673}">
      <text>
        <r>
          <rPr>
            <b/>
            <sz val="9"/>
            <color indexed="81"/>
            <rFont val="Tahoma"/>
            <family val="2"/>
          </rPr>
          <t>Insert client logo in upper left corner - 
- See Change Management as this worksheet could be incorporated there.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598B6708-257C-4234-9DF2-EE86E3E6830F}">
      <text>
        <r>
          <rPr>
            <b/>
            <sz val="9"/>
            <color indexed="81"/>
            <rFont val="Tahoma"/>
            <family val="2"/>
          </rPr>
          <t xml:space="preserve">Insert client logo(s) in upper left corner. 
                                                                                                                                 </t>
        </r>
        <r>
          <rPr>
            <b/>
            <sz val="9"/>
            <color indexed="10"/>
            <rFont val="Tahoma"/>
            <family val="2"/>
          </rPr>
          <t>Depending on engagement, Sales and Marketing could be split out into two worksheets.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14351CF8-9236-4CC5-8926-3A3B47983037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B71B1F78-100E-4268-B344-9FF281E89816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550E6D6B-C34D-4AB7-BD54-484D031D4D02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89309DE0-53F5-4EFC-A57F-610B7740D54F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0CEA4B95-1825-421D-B166-15AE69765C0D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691F0CF7-3467-475C-A3CF-6E008CBF7C0E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6D67F142-EB90-4221-8000-2A6564352001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7F0E57CC-B682-4F37-A8E6-D682B4558565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4753D729-85FF-4A8D-93B9-CA0163B031B2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591DC09B-1D03-4836-825F-5D9344A604A1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A40C3936-3D2C-4DFC-ACFF-F0318834CB4F}">
      <text>
        <r>
          <rPr>
            <b/>
            <sz val="9"/>
            <color indexed="81"/>
            <rFont val="Tahoma"/>
            <family val="2"/>
          </rPr>
          <t>Insert client logo in upper left hand corner.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8C05E5B5-C8FA-429C-8B96-8C3BE943F4FE}">
      <text>
        <r>
          <rPr>
            <b/>
            <sz val="9"/>
            <color indexed="81"/>
            <rFont val="Tahoma"/>
            <family val="2"/>
          </rPr>
          <t>Insert client logo in upper left corner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BD6DD5DA-3D16-4D92-AE6F-6415EB2885EE}">
      <text>
        <r>
          <rPr>
            <b/>
            <sz val="9"/>
            <color indexed="81"/>
            <rFont val="Tahoma"/>
            <family val="2"/>
          </rPr>
          <t>Insert client logo in upper left hand corner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Blaies</author>
  </authors>
  <commentList>
    <comment ref="A1" authorId="0" shapeId="0" xr:uid="{8134A53B-C3DB-461C-9DFE-CDC34EDE339A}">
      <text>
        <r>
          <rPr>
            <b/>
            <sz val="9"/>
            <color indexed="81"/>
            <rFont val="Tahoma"/>
            <family val="2"/>
          </rPr>
          <t>Insert Client Logo in upper left hand corner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<sst xmlns="http://schemas.openxmlformats.org/spreadsheetml/2006/main" count="1576" uniqueCount="1040">
  <si>
    <t>Cover Page/General Overview:</t>
  </si>
  <si>
    <t>- The "Resources" tab will be used to denote supplement support staff for each functional area along with identifying any personnel issues along the way</t>
  </si>
  <si>
    <t>supporting tools</t>
  </si>
  <si>
    <t>- The "RACI-S" tab is a built-out example of a RACI chart; this is a good tool to help facilitate a group (team leads) exercise</t>
  </si>
  <si>
    <t>functional tabs</t>
  </si>
  <si>
    <t>- Each functional area in scope for the integration will require a functional tab to be developed</t>
  </si>
  <si>
    <t>feedback/issue log</t>
  </si>
  <si>
    <t xml:space="preserve">     - Each functional area will have its own dedicated row for reporting; the blue buttons found is column "A" are hyperlinked to each individual tab</t>
  </si>
  <si>
    <t xml:space="preserve">     - We control the integration process by following a staged-gate approach</t>
  </si>
  <si>
    <t xml:space="preserve">            - Stage 1 = defining the team charter for each functional area (i.e. high-level objectives and identifying functional area team leads along with supplemental staff… see the "Resources Tab")</t>
  </si>
  <si>
    <t xml:space="preserve">            - Stage 2 = translating the objectives into pertinent expectations/deliverables</t>
  </si>
  <si>
    <t xml:space="preserve">            - Stage 3 = defining key sub-tasks for each deliverable</t>
  </si>
  <si>
    <t xml:space="preserve">            - Stage 4 = outlining targeted timelines/dates for all sub-tasks and high-level deliverables; from here you will just facilitate the updating process and report out on progress using columns N and P respectively</t>
  </si>
  <si>
    <t>Notes regarding governing formulas found within the "cover page" tab --&gt;</t>
  </si>
  <si>
    <t>- The icons in column "C" are dynamic based upon the colors of the cells for columns "E, G, I and K" respectively; hence, the circle will add a shaded quarter for each cell block colored green</t>
  </si>
  <si>
    <t>- The formulas are hidden between columns P-V</t>
  </si>
  <si>
    <t>- Columns N and P are controlled by formulas that have been translated over from the other sheets (we use these to track granular progress)</t>
  </si>
  <si>
    <t>Notes regarding governing formulas found within each individual functional area tab --&gt;</t>
  </si>
  <si>
    <t>- Column F ("Days Remaining") is based on a formula used to track sub-task progress relative to the estimated completion date and "today()"; this formula is dynamic, so you simply need to drag and drop for each defined task</t>
  </si>
  <si>
    <t>- The information found in columns C-E and rows 2-7 is key for the "Cover Page" reporting; these formulas are dynamic based on the text found within column J, "status"</t>
  </si>
  <si>
    <t xml:space="preserve">     - The key here is that you will need to change the range of information being evaluated (i.e. rows defined with a sub-task/high-level deliverable)</t>
  </si>
  <si>
    <t>- column J (Status), changes dynamically according to information inserted within the "Date Completed" field (see column G)</t>
  </si>
  <si>
    <t xml:space="preserve">     - hence, if a sub-task has been completed and a date of completion has been inserted, column J will change to "completed" and will be highlighted green</t>
  </si>
  <si>
    <t xml:space="preserve">            - it is important to note that the above mention is only applicable to all sub-tasks and not the deliverables (i.e. "Deliverable still in progress")</t>
  </si>
  <si>
    <r>
      <t xml:space="preserve">            - The "deliverable still in progress" status will only turn green when all applicable sub-tasks have been completed: reference </t>
    </r>
    <r>
      <rPr>
        <b/>
        <sz val="11"/>
        <color theme="1"/>
        <rFont val="Calibri"/>
        <family val="2"/>
        <scheme val="minor"/>
      </rPr>
      <t>example 1</t>
    </r>
    <r>
      <rPr>
        <sz val="11"/>
        <color theme="1"/>
        <rFont val="Calibri"/>
        <family val="2"/>
        <scheme val="minor"/>
      </rPr>
      <t xml:space="preserve"> below (red brackets denote completed sub-tasks, while the blue arrow shows a completed deliverable)</t>
    </r>
  </si>
  <si>
    <r>
      <t xml:space="preserve">                 - hence, it is important to understand that you will have to manually change the range defined in the formulas for the deliverables (i.e. based on the number of sub-tasks, you will have to evaluate a certain number of rows, see </t>
    </r>
    <r>
      <rPr>
        <b/>
        <sz val="11"/>
        <color theme="1"/>
        <rFont val="Calibri"/>
        <family val="2"/>
        <scheme val="minor"/>
      </rPr>
      <t>Example 2</t>
    </r>
    <r>
      <rPr>
        <sz val="11"/>
        <color theme="1"/>
        <rFont val="Calibri"/>
        <family val="2"/>
        <scheme val="minor"/>
      </rPr>
      <t xml:space="preserve"> for a visual)</t>
    </r>
  </si>
  <si>
    <t>Example 1</t>
  </si>
  <si>
    <t>Example 2</t>
  </si>
  <si>
    <t>Integration Playbook</t>
  </si>
  <si>
    <t>in progress; no outstanding issues (running on schedule)</t>
  </si>
  <si>
    <t>Behind Schedule</t>
  </si>
  <si>
    <t>Roadblocks/outstanding issues identified</t>
  </si>
  <si>
    <t>Complete</t>
  </si>
  <si>
    <t xml:space="preserve">Define </t>
  </si>
  <si>
    <t>Functional Areas/Teams</t>
  </si>
  <si>
    <t>Stage-Gate Process</t>
  </si>
  <si>
    <t>Team Charter</t>
  </si>
  <si>
    <t>Deliverables Defined</t>
  </si>
  <si>
    <t>Sub-Tasks Defined</t>
  </si>
  <si>
    <t>Timing Finalized</t>
  </si>
  <si>
    <t>First Stage --&gt; Complete Team Charter</t>
  </si>
  <si>
    <t>Second Stage --&gt; High-Level Deliverables Defined</t>
  </si>
  <si>
    <t>Third Stage --&gt; Sub-Tasks Defined</t>
  </si>
  <si>
    <t>Final Stage --&gt; Finalize Timing and Execute</t>
  </si>
  <si>
    <t>Color Legend:</t>
  </si>
  <si>
    <t>Project:</t>
  </si>
  <si>
    <r>
      <rPr>
        <b/>
        <sz val="10"/>
        <rFont val="Calibri"/>
        <family val="2"/>
        <scheme val="minor"/>
      </rPr>
      <t>Green</t>
    </r>
    <r>
      <rPr>
        <sz val="10"/>
        <rFont val="Calibri"/>
        <family val="2"/>
        <scheme val="minor"/>
      </rPr>
      <t xml:space="preserve"> = Completed Functional Area</t>
    </r>
  </si>
  <si>
    <t>Function</t>
  </si>
  <si>
    <t>Accountability</t>
  </si>
  <si>
    <t>Delegation</t>
  </si>
  <si>
    <t>Support</t>
  </si>
  <si>
    <t>Start Date</t>
  </si>
  <si>
    <t>Days Remain</t>
  </si>
  <si>
    <t>Date Completed</t>
  </si>
  <si>
    <t>Awaiting Issue Resolution</t>
  </si>
  <si>
    <t>Status</t>
  </si>
  <si>
    <t>Comments</t>
  </si>
  <si>
    <t xml:space="preserve"> </t>
  </si>
  <si>
    <t>Day 0</t>
  </si>
  <si>
    <t>Transaction</t>
  </si>
  <si>
    <t>Change Management</t>
  </si>
  <si>
    <t>Communications</t>
  </si>
  <si>
    <t>Marketing</t>
  </si>
  <si>
    <t>Sales</t>
  </si>
  <si>
    <t>Supply Chain/Procurement</t>
  </si>
  <si>
    <t>Operations</t>
  </si>
  <si>
    <t>Finance</t>
  </si>
  <si>
    <t>Insurance and Property</t>
  </si>
  <si>
    <t>Legal</t>
  </si>
  <si>
    <t>Tax</t>
  </si>
  <si>
    <t>IT</t>
  </si>
  <si>
    <t>HR</t>
  </si>
  <si>
    <t>HSE</t>
  </si>
  <si>
    <t>Compliance</t>
  </si>
  <si>
    <t>Integration Manager</t>
  </si>
  <si>
    <t>Steering Committee</t>
  </si>
  <si>
    <t>Name</t>
  </si>
  <si>
    <t>Additional Resources (backup)</t>
  </si>
  <si>
    <t>Role</t>
  </si>
  <si>
    <t>Integration Playbook - Cost Savings</t>
  </si>
  <si>
    <t>Functional Area</t>
  </si>
  <si>
    <t>Description of Savings</t>
  </si>
  <si>
    <t>Notes (i.e. dates --&gt; realization of savings)</t>
  </si>
  <si>
    <t>Projected Savings</t>
  </si>
  <si>
    <t>Actual</t>
  </si>
  <si>
    <t>Sales (revenue synergies)</t>
  </si>
  <si>
    <t>Totals:</t>
  </si>
  <si>
    <t xml:space="preserve">Miscellaneous </t>
  </si>
  <si>
    <t>Total Integration Savings</t>
  </si>
  <si>
    <t>Projected</t>
  </si>
  <si>
    <t>Category</t>
  </si>
  <si>
    <t>Deliverables with sub-tasks</t>
  </si>
  <si>
    <t>Date Assigned</t>
  </si>
  <si>
    <t>Est Compl Date</t>
  </si>
  <si>
    <t>Days remaining</t>
  </si>
  <si>
    <t>Dependency</t>
  </si>
  <si>
    <t>Customer Diligence</t>
  </si>
  <si>
    <t>Complete customer calls and receive reports</t>
  </si>
  <si>
    <t xml:space="preserve">Legal </t>
  </si>
  <si>
    <t>Complete legal diligence</t>
  </si>
  <si>
    <t>Complete negotiating/drafting of Asset Purchase Agreement (APA)</t>
  </si>
  <si>
    <t>Sign APA</t>
  </si>
  <si>
    <t xml:space="preserve">Financing </t>
  </si>
  <si>
    <t>Complete lender diligence</t>
  </si>
  <si>
    <t>Negotiate lender term sheets</t>
  </si>
  <si>
    <t>Sign term sheets</t>
  </si>
  <si>
    <t>Funds flow model</t>
  </si>
  <si>
    <t>Draft funds flow model</t>
  </si>
  <si>
    <t>Receive</t>
  </si>
  <si>
    <t>buyer party amounts/invoices and wiring instructions</t>
  </si>
  <si>
    <t>seller part amounts and invoices</t>
  </si>
  <si>
    <t>finalize all amounts on buyer and seller sides</t>
  </si>
  <si>
    <t>Both sides to sign funds flow</t>
  </si>
  <si>
    <t>Closing</t>
  </si>
  <si>
    <t>Hold closing call</t>
  </si>
  <si>
    <t>Release funds</t>
  </si>
  <si>
    <t>Additional closing priorities</t>
  </si>
  <si>
    <t>Identifying key champions (leaders)</t>
  </si>
  <si>
    <t>Finalize Integration Plan</t>
  </si>
  <si>
    <t>Creating a shared need</t>
  </si>
  <si>
    <t>Shaping a vision</t>
  </si>
  <si>
    <t xml:space="preserve">Align executive team </t>
  </si>
  <si>
    <t>Develop necessary mobilization plan to shift from resistance to commitment</t>
  </si>
  <si>
    <t>Create sustainment plan with milestones</t>
  </si>
  <si>
    <t>Strategy to gauge the health of change and transition</t>
  </si>
  <si>
    <t>Key manager title determined</t>
  </si>
  <si>
    <t>Reporting relationships established</t>
  </si>
  <si>
    <t>Reporting relationships communicated to org.</t>
  </si>
  <si>
    <t>Key employee meeting</t>
  </si>
  <si>
    <t>Establish Aquired Company Point of Contact</t>
  </si>
  <si>
    <t>EXTERNAL</t>
  </si>
  <si>
    <t>Develop Communication / Branding plan to include badging, logo and collateral</t>
  </si>
  <si>
    <t>Identify who our desired audience is, how will they likely react, what does the audience already know</t>
  </si>
  <si>
    <t>Identify company A's audience</t>
  </si>
  <si>
    <t>Identify company B's audience</t>
  </si>
  <si>
    <t>Document what has been accounted for within the plan already (what has been released?)</t>
  </si>
  <si>
    <t>Develop website redirects, landing page, links to cross-reference and educate customers of newco value prop</t>
  </si>
  <si>
    <t>Rewrite existing  branding documents to acccomodate integration elements of both companies (co-brands)</t>
  </si>
  <si>
    <t>Review and approve</t>
  </si>
  <si>
    <t>Disseminate/implement changes</t>
  </si>
  <si>
    <t>Consolidate talking points to develop formal, external communication strategy for customer visits (schedule, agenda)</t>
  </si>
  <si>
    <t>Develop new ppt template that conveys corporate narrative</t>
  </si>
  <si>
    <t>Change convention of how we communicate about the new enterprise (focus on customer needs/preference)</t>
  </si>
  <si>
    <t>Disseminate letters and FAQ's to customers, suppliers, employees and channel partners</t>
  </si>
  <si>
    <t>Develop standard template for consistent format, look and feel</t>
  </si>
  <si>
    <t>Develop and agree upon the typical FAQs that customers, others will seek answers to</t>
  </si>
  <si>
    <t>Develop questions for internal employee FAQ document</t>
  </si>
  <si>
    <t>Draft answers for internal FAQ</t>
  </si>
  <si>
    <t>Publish FAQ to all customers and suppliers</t>
  </si>
  <si>
    <t>Initiate press releases for local media and industry publications (PR for clients)</t>
  </si>
  <si>
    <t>Initial press release</t>
  </si>
  <si>
    <t>Repurpose existing press release and add new corporate narrative and key talking points outlined above</t>
  </si>
  <si>
    <t>Identify anything learned from initial reaction to merger announcement and potentially address in second release</t>
  </si>
  <si>
    <t>Customize for EMEA (if applicable)</t>
  </si>
  <si>
    <t>meeting with EMEA rep; align vision for communication (internal as well)</t>
  </si>
  <si>
    <t>INTERNAL</t>
  </si>
  <si>
    <t>Quarterly internal communications cadence : QBR (Quaterly Business Review) / Newsletter update on Integration</t>
  </si>
  <si>
    <t>Communicate expectations on needed content (update material) from each integration leader and schedule of receipt</t>
  </si>
  <si>
    <t>Create a simple, formatted document to be used for update submissions to Marketing</t>
  </si>
  <si>
    <t>Review current internal communication activities and complete gap analysis of needs</t>
  </si>
  <si>
    <t>Develop plan for integrated internal communications</t>
  </si>
  <si>
    <t>Develop plan for delivery of internal communications (email, web conferences, in person meetings)</t>
  </si>
  <si>
    <t>Produce PowerPoint module for employee announcement</t>
  </si>
  <si>
    <t xml:space="preserve">Identify appropriate content to be used in ppt (how will this merger impact me and my ability to deliver to my customers) </t>
  </si>
  <si>
    <t>Roadshow - schedule employee meetings (if applicable)</t>
  </si>
  <si>
    <t>Location 1</t>
  </si>
  <si>
    <t>Location 2</t>
  </si>
  <si>
    <t>EMEA?</t>
  </si>
  <si>
    <t>Q1 locations (denote scope here)</t>
  </si>
  <si>
    <t>Q2 locations (denote scope here)</t>
  </si>
  <si>
    <t>Develop internal training documents as required (emphasis on supporting cross-selling)</t>
  </si>
  <si>
    <t>Update sales cards with pertinent info to support cross-selling efforts</t>
  </si>
  <si>
    <t xml:space="preserve">Identify existing content and what content needs to be developed to support comm. objectives </t>
  </si>
  <si>
    <t>Customize for EMEA</t>
  </si>
  <si>
    <t>meeting with EMEA rep to align internal vision (communication, dissemination and documentation)</t>
  </si>
  <si>
    <t>Miscellaneous Communication Tasks</t>
  </si>
  <si>
    <t>Payroll/HRIS change cadence</t>
  </si>
  <si>
    <t>IT-related changes</t>
  </si>
  <si>
    <t>notification 3</t>
  </si>
  <si>
    <t>notification 4</t>
  </si>
  <si>
    <t>Internal: personnel (organizational change)</t>
  </si>
  <si>
    <t>Interview CEO of Company A regarding marketing strategy</t>
  </si>
  <si>
    <t>Define duties/roles and responsibilities as it pertains to Company A's and Company B's marketing campaign</t>
  </si>
  <si>
    <t>Complete the to-be marketing organizational structure - outline roles/responsibilities based on position description</t>
  </si>
  <si>
    <t>Model and test</t>
  </si>
  <si>
    <t>Make changes and finalize the organizational structure</t>
  </si>
  <si>
    <t>Roll-out the new marketing organization</t>
  </si>
  <si>
    <t>Integrate Company A's customers into Company B's marketing campaign (create priorities) - finalize the strategy</t>
  </si>
  <si>
    <t>Managers and supervisors discussion</t>
  </si>
  <si>
    <t>P1 - top priority (what added capabilities are important to the customer?)</t>
  </si>
  <si>
    <t>Consolidate the campaign message - what is the consolidated value proposition?</t>
  </si>
  <si>
    <t>Define best practices for the marketing model (how, when, why)</t>
  </si>
  <si>
    <t>Identify new Marketing Strategy/Campaign</t>
  </si>
  <si>
    <t>Determine new, holistic product/service offering for the NewCo</t>
  </si>
  <si>
    <t>All employee meeting</t>
  </si>
  <si>
    <t>Get flagged customers to marketing POC - leadership</t>
  </si>
  <si>
    <t>Define next phases (P2, P3, etc.)</t>
  </si>
  <si>
    <t>External</t>
  </si>
  <si>
    <t>Evaluate new customer base</t>
  </si>
  <si>
    <t>Develop external notification plan</t>
  </si>
  <si>
    <t>Customers notification, as needed</t>
  </si>
  <si>
    <t>Vendor notification, as needed</t>
  </si>
  <si>
    <t>Branding Integration</t>
  </si>
  <si>
    <t>Verify the initial communication with the customers regarding the integration has been completed (expectations for customers)</t>
  </si>
  <si>
    <t>Develop long term brand mgmt. plan</t>
  </si>
  <si>
    <t>New logo (if any) and templates-Branding Rollout</t>
  </si>
  <si>
    <t>Order new letterhead, business cards, etc.</t>
  </si>
  <si>
    <t>Update marketing material to adopted NewCo standard</t>
  </si>
  <si>
    <t>Confirm e-mail address swap over within 90 days</t>
  </si>
  <si>
    <t>Marketing launch</t>
  </si>
  <si>
    <t>Integrate tradeshow requirements</t>
  </si>
  <si>
    <t>Trade publications, ads</t>
  </si>
  <si>
    <t>Develop website integration plan</t>
  </si>
  <si>
    <t>Complete website integration</t>
  </si>
  <si>
    <t>XX</t>
  </si>
  <si>
    <t>Analysis of each Company's Procurement/Supply Chain Organization</t>
  </si>
  <si>
    <t>Develop to-be model based on NewCo's demand (See HR tab)</t>
  </si>
  <si>
    <t>Analyze talent - decide on whether to replace, re-tool or dissolve position (where can you rationalize based on future, necessary functions?)</t>
  </si>
  <si>
    <t>Create internal, functional-specific communication plan</t>
  </si>
  <si>
    <t>Analysis of vendors and processes</t>
  </si>
  <si>
    <t>Company A</t>
  </si>
  <si>
    <t>Company B</t>
  </si>
  <si>
    <t>Determine potential synergies (strategy for consolidation?)</t>
  </si>
  <si>
    <t>improvements to purchasing power via negotiation of contracts?</t>
  </si>
  <si>
    <t>potential consolidation of products/services to reduce working capital tied to inventory/raw materials?</t>
  </si>
  <si>
    <t>Review process(es) for scoring/managing vendors performance</t>
  </si>
  <si>
    <t>Analysis of pertinent KPIs for each company - are the right measures in place?</t>
  </si>
  <si>
    <t>Adopt best practice(s) for vendor management moving forward</t>
  </si>
  <si>
    <t>Analyze how manufacturing-associated costs impact each business (see Manufacturing section in "Operations" tab</t>
  </si>
  <si>
    <t>work with manufacturing to reduce overall costs by creating a pragmatic plan (what should be outsourced, how to distribute products more efficiently as a Newco, where are the third party vendors located, etc.)</t>
  </si>
  <si>
    <t>Communication with vendors/customers</t>
  </si>
  <si>
    <t>Develop comm plan for all vendors</t>
  </si>
  <si>
    <t>Develop plan for comm. of service level w/customers</t>
  </si>
  <si>
    <t>Ensure continuity of supply to customers</t>
  </si>
  <si>
    <t>Review of service level agreements and assurance plan</t>
  </si>
  <si>
    <t>Inventory Strategy/Management, Consolidation and Tracking</t>
  </si>
  <si>
    <t>Review registry of raw/semi-finished goods</t>
  </si>
  <si>
    <t>Review current stocking levels for each company (holistically and site-by-site) - understand future demand needs for NewCo (coordinate with Sales and Marketing)</t>
  </si>
  <si>
    <t>Determine impact on stocking levels/service agreements</t>
  </si>
  <si>
    <t>Complete analysis of lead times for high-moving product initially (how will these impact the Organization's ability to meet demand moving forward?)</t>
  </si>
  <si>
    <t>Define potential bottlenecks as it relates to comprehensive product lead times</t>
  </si>
  <si>
    <t>Map customers to determine geographical impact on the NewCo</t>
  </si>
  <si>
    <t>Define obsolete inventory and develop plan to improve working capital</t>
  </si>
  <si>
    <t>Document the locations of all inventory; determine the method used for updating field units (network-based updates, swaps, hardware import)</t>
  </si>
  <si>
    <t>Network-based updates (eventually… all customers should be on network-based updates to limit overhead costs while driving up margin)</t>
  </si>
  <si>
    <t>Hardware</t>
  </si>
  <si>
    <t>Swaps</t>
  </si>
  <si>
    <t>Conduct physical</t>
  </si>
  <si>
    <t>Update inventory locations based on physical</t>
  </si>
  <si>
    <t>Consolidate and centralize procurement functions (could be a part of Finance)</t>
  </si>
  <si>
    <t>delegation of authority matrix</t>
  </si>
  <si>
    <t>official purchase order release, delivery and receipt processes</t>
  </si>
  <si>
    <t>Recognize how Company A currently tracks their inventory (how do they utilize systems to support the process?)</t>
  </si>
  <si>
    <t>Create the future-state process(es) and centralize functions; integrate into the deployment process</t>
  </si>
  <si>
    <t>Structure the new organization to support the inventory management process</t>
  </si>
  <si>
    <t>Document training materials and train personnel to competency</t>
  </si>
  <si>
    <t>Internal integration meeting Kick-Off</t>
  </si>
  <si>
    <t>Confirm integration resource sufficiency with Corp.</t>
  </si>
  <si>
    <t>Operational support function sufficiency assessment</t>
  </si>
  <si>
    <t>Establish acquired company point of contact for Operations</t>
  </si>
  <si>
    <t>Organization &amp; Employees</t>
  </si>
  <si>
    <t>Townhall meeting at closing</t>
  </si>
  <si>
    <t>Facilities</t>
  </si>
  <si>
    <t>Potential plant closure/consolidation?</t>
  </si>
  <si>
    <t>Develop plant closure project plan</t>
  </si>
  <si>
    <t>Manufacturing</t>
  </si>
  <si>
    <t>Review production/manufacturing processes for each company</t>
  </si>
  <si>
    <t>Visit each manufacturing facility and document pertinent processes</t>
  </si>
  <si>
    <t>Analyze IT infrastructure and how it supports the production/manufacturing processes</t>
  </si>
  <si>
    <t>Analyze and adopt best practices</t>
  </si>
  <si>
    <t>Streamline production where possible (create holistic plan to reduce costs and increase efficiencies)</t>
  </si>
  <si>
    <t>Improve data collection methods (best practice to improve job costing)</t>
  </si>
  <si>
    <t>Assess talent (top to bottom) and rationalize HC (indirect/direct) as needed</t>
  </si>
  <si>
    <r>
      <t xml:space="preserve">Potential plant closure/consolidation? </t>
    </r>
    <r>
      <rPr>
        <sz val="10"/>
        <color rgb="FFFF0000"/>
        <rFont val="Calibri"/>
        <family val="2"/>
        <scheme val="minor"/>
      </rPr>
      <t>(if applicable)</t>
    </r>
  </si>
  <si>
    <t>Develop financial model for assessment (savings v cost - include potential property sale)</t>
  </si>
  <si>
    <t>Determine best approach for taking on/rationalizing products per Sales and Marketing Strategy</t>
  </si>
  <si>
    <t>Align sales and operating plans</t>
  </si>
  <si>
    <t>Which facility will produce what moving forward?</t>
  </si>
  <si>
    <t>Develop quality plan to improve products moving forward (see Quality below)</t>
  </si>
  <si>
    <t>Logistics review? Is it possible to save on delivery costs based on geographic expansion/exposure</t>
  </si>
  <si>
    <t>Review and prioritize sensitive contracts for review</t>
  </si>
  <si>
    <t>Review Standard Sales T&amp;Cs inc Sale of Goods Act, IPR</t>
  </si>
  <si>
    <t>Review open Sales orders and associated T&amp;Cs</t>
  </si>
  <si>
    <t>Review Standard Rental T&amp;Cs inc Ownership, Insurance</t>
  </si>
  <si>
    <t>Review open Rental orders and associated T&amp;Cs</t>
  </si>
  <si>
    <t xml:space="preserve">Review Standard Service T&amp;Cs </t>
  </si>
  <si>
    <t>Review open Service orders and associated T&amp;Cs</t>
  </si>
  <si>
    <t>Engineeering</t>
  </si>
  <si>
    <t>Engineering Discipline Matrix</t>
  </si>
  <si>
    <t>Design Standards</t>
  </si>
  <si>
    <t>Design Tools</t>
  </si>
  <si>
    <t>Analysis</t>
  </si>
  <si>
    <t>Drafting &amp; Modelling</t>
  </si>
  <si>
    <t>Copy of all drawings are taken</t>
  </si>
  <si>
    <t>Customer Service Consolidation</t>
  </si>
  <si>
    <t>Understand how Company A's customer service team is structured (regionally?) --&gt; resource capacity</t>
  </si>
  <si>
    <t>Document the current process(es) for servicing a customer (do they use a ticketing process to support?)</t>
  </si>
  <si>
    <t>Determine the handoff from Sales to CS/Operations (When does customer service handle the account exclusively?)</t>
  </si>
  <si>
    <t>Scope out the landscape of services offered by CS (are they structured to support customer "retention"?)</t>
  </si>
  <si>
    <t>Document all outstanding customer service requests (open items)</t>
  </si>
  <si>
    <t xml:space="preserve">Consolidate key CS functions and roll-out </t>
  </si>
  <si>
    <t>update training materials and train staff to competency</t>
  </si>
  <si>
    <t xml:space="preserve">Finalize and implement the "future state" </t>
  </si>
  <si>
    <t>Quality Assurance program (ISO cert, etc.)</t>
  </si>
  <si>
    <t>Critical Operational Items (business line specific)</t>
  </si>
  <si>
    <t xml:space="preserve">Develop the short-term plan for closing </t>
  </si>
  <si>
    <t>Map General Ledgers</t>
  </si>
  <si>
    <t>Download data from each company's financial system for financial consolidation - import into future-state financial system</t>
  </si>
  <si>
    <t xml:space="preserve">Establish monthly reporting requirements for both entities </t>
  </si>
  <si>
    <t>Scope out additional improvements to be made</t>
  </si>
  <si>
    <t>high-level discussion/kaizen</t>
  </si>
  <si>
    <t>Gap analysis</t>
  </si>
  <si>
    <t>establish plan and execute</t>
  </si>
  <si>
    <t>Organize bank accounts for Newco (consolidate, signatories, controls, etc.)</t>
  </si>
  <si>
    <t>Set up Bank Accounts where necessary (acquired target company)</t>
  </si>
  <si>
    <t>Lockbox - Notify Customers and changes remit to on invoices</t>
  </si>
  <si>
    <t>Confirm new lockbox is active</t>
  </si>
  <si>
    <t xml:space="preserve">Monitor results and denote GAPs </t>
  </si>
  <si>
    <t>Close old lock box</t>
  </si>
  <si>
    <t>Create and grant Signatory requirements.</t>
  </si>
  <si>
    <t>Disbursements (including paying by credit card) &amp; Positive pay from associated Bank Account</t>
  </si>
  <si>
    <t>Establish automatic funding for Payables Account and sweep for Operating Account</t>
  </si>
  <si>
    <t>Training for Positive pay, ACH, Wires, Credit Cards on the respective banking platform</t>
  </si>
  <si>
    <r>
      <t xml:space="preserve">Weekly Cash Forecast </t>
    </r>
    <r>
      <rPr>
        <b/>
        <sz val="10"/>
        <color rgb="FFFF0000"/>
        <rFont val="Calibri"/>
        <family val="2"/>
        <scheme val="minor"/>
      </rPr>
      <t xml:space="preserve">(who will be doing this in the future?) </t>
    </r>
  </si>
  <si>
    <t xml:space="preserve">Set up AP for post-close (contacts and updated invoices) </t>
  </si>
  <si>
    <t>Develop plan to transition/consolidate AP, if applicable</t>
  </si>
  <si>
    <t xml:space="preserve">Document current Roles &amp; Responsibilities (segregation of Duties) </t>
  </si>
  <si>
    <r>
      <t xml:space="preserve">Document current process(es) - denote task list per functional role (weekly, monthly, quarterly, annually) - </t>
    </r>
    <r>
      <rPr>
        <b/>
        <sz val="10"/>
        <color rgb="FFFF0000"/>
        <rFont val="Calibri"/>
        <family val="2"/>
        <scheme val="minor"/>
      </rPr>
      <t>includes 1099</t>
    </r>
  </si>
  <si>
    <t>Determine necessary skill set/responsibilities required for each functional role</t>
  </si>
  <si>
    <t xml:space="preserve">Talent GAP analysis </t>
  </si>
  <si>
    <t>Set up AR for post-close (contacts and updated invoices)</t>
  </si>
  <si>
    <t xml:space="preserve">Develop plan to transition/consolidate AR, if applicable </t>
  </si>
  <si>
    <t xml:space="preserve">Document current process(es) - denote task list per functional role (weekly, monthly, quarterly, annually) </t>
  </si>
  <si>
    <t>Revenue Cycle process and need to modify the responsibilities and procedures (segregation of  duties)</t>
  </si>
  <si>
    <t>Review and change/consolidate billing terms where necessary (i.e. transition from weekly to semi-monthly?)</t>
  </si>
  <si>
    <t xml:space="preserve">Document and Consolidate ALL Delegations of Authority </t>
  </si>
  <si>
    <t>Document matrix of approval (preliminary)</t>
  </si>
  <si>
    <t xml:space="preserve">Revise </t>
  </si>
  <si>
    <t>Submit for approval</t>
  </si>
  <si>
    <t xml:space="preserve">Consolidate FA accounting </t>
  </si>
  <si>
    <t>Understand FA process and approval (Harmonize fixed asset policy)</t>
  </si>
  <si>
    <t>Determine benefit in combining into one system going forward as it related to FA accounting</t>
  </si>
  <si>
    <t>Get Capex Spending and the authority approval for the upcoming calendar year</t>
  </si>
  <si>
    <t>Determine purchase accounting effect on fixed assets as a result of the merger</t>
  </si>
  <si>
    <t xml:space="preserve">Document intra-year CAPEX process and approval authorities </t>
  </si>
  <si>
    <t>Harmonize the employee expense process</t>
  </si>
  <si>
    <t xml:space="preserve">Determine best practices and expense reporting resource </t>
  </si>
  <si>
    <t>Understand current CC holders, average spend and spending limits currently in place</t>
  </si>
  <si>
    <t>Move all employees to the respective bank credit cards (if applicable)</t>
  </si>
  <si>
    <t>Finalize spend approval matrix and requirements based on functional roles (to-be)</t>
  </si>
  <si>
    <t>Obtain Credit Cards for RR employees and distribute</t>
  </si>
  <si>
    <t>Administration of all Credit Cards</t>
  </si>
  <si>
    <t>Determine additional resources needed to implement and train</t>
  </si>
  <si>
    <t>Determination if 3 month audit is required</t>
  </si>
  <si>
    <t>Audit work for Beginning Balances at XX/XX/XXXX - Acquisition Date to XX/XX/XXXX</t>
  </si>
  <si>
    <t>Purchase Price Allocation for Goodwill &amp; Intangible Assets for the  deal at XX/XX/XXXX</t>
  </si>
  <si>
    <t>Tax Returns &amp; Other Matters</t>
  </si>
  <si>
    <t>File Short-Year Returns (Federal &amp; States)</t>
  </si>
  <si>
    <t>Determine Sales tax responsibilities</t>
  </si>
  <si>
    <t xml:space="preserve">Determine Property Tax Filings </t>
  </si>
  <si>
    <t>Confirm all Payroll Tax Requirements are being performed by the payroll provider</t>
  </si>
  <si>
    <t>Estimated Taxes for both companies</t>
  </si>
  <si>
    <t>Obtain Tax Calendar of all Required Filings</t>
  </si>
  <si>
    <t>Tax Provision Calculation / Deferred Tax Calculation</t>
  </si>
  <si>
    <t>Post Financial Plan / Budget</t>
  </si>
  <si>
    <t>Track transition cost/monthly</t>
  </si>
  <si>
    <t>Operational Budgets for FY</t>
  </si>
  <si>
    <t>Capex Budget for FY</t>
  </si>
  <si>
    <t>Property</t>
  </si>
  <si>
    <t>Review All Leases</t>
  </si>
  <si>
    <t>List of all Fixed Assets (depreciation Schedule) - Reconciliation</t>
  </si>
  <si>
    <t>Monthly Processes</t>
  </si>
  <si>
    <t>Determine a list of Monthly/Quarterly/Annual processes</t>
  </si>
  <si>
    <t>Excel Financial Package</t>
  </si>
  <si>
    <t>Open/Close Periods</t>
  </si>
  <si>
    <t>Accruals, Prepaids, Memorized Journal Entries</t>
  </si>
  <si>
    <t>Management Reports</t>
  </si>
  <si>
    <t>Systems' Management</t>
  </si>
  <si>
    <t>Insurance Consolidation / Harmonization</t>
  </si>
  <si>
    <t>Determine best policy moving forward</t>
  </si>
  <si>
    <t>Consolidate Policies</t>
  </si>
  <si>
    <t>Who is responsible for Audits, data request other responsibilities related to insurance</t>
  </si>
  <si>
    <t>Finance / Accounting Functions Consolidation</t>
  </si>
  <si>
    <t>Organization Structure - Accounting Department</t>
  </si>
  <si>
    <t>Roles, Responsibilities transitioned</t>
  </si>
  <si>
    <t>Obtain Responsibilities, Duties</t>
  </si>
  <si>
    <t xml:space="preserve">Skill Set Assessment of incumbent personnel to be replaced </t>
  </si>
  <si>
    <t>Plan, Goals, Objective and timeline for individuals during transition</t>
  </si>
  <si>
    <t>Severance Packages for Accounting Personnel (if applicable)</t>
  </si>
  <si>
    <t>Determination of transition for other locations and responsibilities of operations???</t>
  </si>
  <si>
    <t>Timeline for hiring individuals to cover transition of functions</t>
  </si>
  <si>
    <t>Payroll Cycles/Benefits Consolidation</t>
  </si>
  <si>
    <t>Approve Payroll/Commissions plan (process)</t>
  </si>
  <si>
    <t>Rationalized and consolidate 401K Plan</t>
  </si>
  <si>
    <t>Pension Plans?</t>
  </si>
  <si>
    <t>Finance Continuous Improvement</t>
  </si>
  <si>
    <t>Look at best practices at both companies</t>
  </si>
  <si>
    <t>Evaluation of current service providers; are they scalable platforms (can each address future needs/capabilities)</t>
  </si>
  <si>
    <t>Insurance Integration</t>
  </si>
  <si>
    <t>Establish acquired company point of contact</t>
  </si>
  <si>
    <t>Add to consolidated insurance plan</t>
  </si>
  <si>
    <t>Cancel existing policies</t>
  </si>
  <si>
    <t>Return unused premiums from cancelled policies</t>
  </si>
  <si>
    <t>Assess special needs of the business</t>
  </si>
  <si>
    <t>Assess gaps in current coverage</t>
  </si>
  <si>
    <t>Review all leases</t>
  </si>
  <si>
    <t>Update facilities and lease registry</t>
  </si>
  <si>
    <t>Collect any property purchase docs</t>
  </si>
  <si>
    <t>File any title documentation</t>
  </si>
  <si>
    <t>Update and property insurance</t>
  </si>
  <si>
    <t>HSR Filing</t>
  </si>
  <si>
    <t>Deal documentation retention</t>
  </si>
  <si>
    <t>Confirm receipt / archive of deal documentation</t>
  </si>
  <si>
    <t>Ensure board resolutions completed</t>
  </si>
  <si>
    <t xml:space="preserve">Obtain Minute books/corporate records </t>
  </si>
  <si>
    <t>Ensure board resolutions completed/new officers and directors elected  </t>
  </si>
  <si>
    <t>Review for completeness</t>
  </si>
  <si>
    <t>Obtain prior transaction documentation </t>
  </si>
  <si>
    <t>FCPA</t>
  </si>
  <si>
    <t>FCPA Interim measures memo</t>
  </si>
  <si>
    <t>Internal FCPA session with Mgmt and Sales</t>
  </si>
  <si>
    <t>Meeting with key 3rd parties</t>
  </si>
  <si>
    <t>Questionnaire, background check, new agency Agreements for FCPA Language</t>
  </si>
  <si>
    <t>Provide Employee Hotline Posters</t>
  </si>
  <si>
    <t>Compliance Session</t>
  </si>
  <si>
    <t>Business Ethics policy</t>
  </si>
  <si>
    <t>Export Controls</t>
  </si>
  <si>
    <t>Training</t>
  </si>
  <si>
    <t>Policy</t>
  </si>
  <si>
    <t>Product List Requiring Export License filing</t>
  </si>
  <si>
    <t>Ethics/Policies</t>
  </si>
  <si>
    <t>Disseminate:</t>
  </si>
  <si>
    <t>Code of Conduct</t>
  </si>
  <si>
    <t>Corporate Policies</t>
  </si>
  <si>
    <t>Provide Training:</t>
  </si>
  <si>
    <t>In person or if instituted elearning</t>
  </si>
  <si>
    <t>Obtain list of individuals to be included in ongoing etraining</t>
  </si>
  <si>
    <t>Provide access to Intranet      </t>
  </si>
  <si>
    <t>Commercial / Contracts</t>
  </si>
  <si>
    <t>Vendor contract review and modification</t>
  </si>
  <si>
    <t>Customer/MSA contract review and modification</t>
  </si>
  <si>
    <t>Employment contract review</t>
  </si>
  <si>
    <t>Other contract review &amp; approval</t>
  </si>
  <si>
    <t>IP Assignment &amp; Transfer</t>
  </si>
  <si>
    <t>Patents</t>
  </si>
  <si>
    <t>Trademarks</t>
  </si>
  <si>
    <t>License Agreements</t>
  </si>
  <si>
    <t>Agency Agreements</t>
  </si>
  <si>
    <t>Integrate with/notify Patterson Sheridan</t>
  </si>
  <si>
    <t>Obtain list of lawsuits/arbitrations/government investigations</t>
  </si>
  <si>
    <t>Obtain files (active and archived)</t>
  </si>
  <si>
    <t>Take responsibility for handling</t>
  </si>
  <si>
    <t>(Old insurance policies/list of brokers)</t>
  </si>
  <si>
    <t>Legal Entity</t>
  </si>
  <si>
    <t>Determine legal entity tax structuring</t>
  </si>
  <si>
    <t>Implement legal entity restructuring, if required</t>
  </si>
  <si>
    <t>Update legal entity chart, including company information (tax ID, directors, officers, etc)</t>
  </si>
  <si>
    <t>Records and Audits</t>
  </si>
  <si>
    <t>Obtain copy of record books and notify record keepers of go forward process</t>
  </si>
  <si>
    <t>Pre-Acquisition audits</t>
  </si>
  <si>
    <t>Identify and quantify any tax exposures that need to be included in the opening balance sheet.</t>
  </si>
  <si>
    <t>Implement fixed asset register solution for tax depreciation (and book, if appropriate).</t>
  </si>
  <si>
    <t>Elections and Filings</t>
  </si>
  <si>
    <t>Tax Election - 338(g) election due 15th day of 9th month after acquisition date</t>
  </si>
  <si>
    <t>Tax - Pre Acquisition filings</t>
  </si>
  <si>
    <t>Obtain tax calendar of all required filings</t>
  </si>
  <si>
    <t>Determine if Companies House filings are required (UK acquisitions); which firm for Secretarial Work</t>
  </si>
  <si>
    <t>Obtain on line user IDs and passwords for all electronic filing requirements</t>
  </si>
  <si>
    <t>Tax Advisors and Registered Agents</t>
  </si>
  <si>
    <t>Notify predecessor service providers of transition to Brand X's advisors</t>
  </si>
  <si>
    <t>Obtain copies of workpapers and tax returns from predecessor advisors</t>
  </si>
  <si>
    <t>Integrate through vendor for any U.K. state and federal tax</t>
  </si>
  <si>
    <t>Integrate through vendor for any U.S. state and federal tax</t>
  </si>
  <si>
    <t>Integrate through vendor for any U.K. property tax</t>
  </si>
  <si>
    <t>Integrate through vendor for any U.S. property tax</t>
  </si>
  <si>
    <t>Identify registered agents for all applicable U.S. jurisdictions; change to preferred Brand X agent where appropriate</t>
  </si>
  <si>
    <t>Officers &amp; Directors</t>
  </si>
  <si>
    <t>Ensure change in officers/directors -- in closing documents</t>
  </si>
  <si>
    <t>Align officers / directors with preferred company slate</t>
  </si>
  <si>
    <t>Transfer Pricing</t>
  </si>
  <si>
    <t>Identify and communicate transfer pricing requirements</t>
  </si>
  <si>
    <t>Procedures</t>
  </si>
  <si>
    <t>Notify target company personnel of process for handling tax and legal entity questions.</t>
  </si>
  <si>
    <t>Priority</t>
  </si>
  <si>
    <t>People/IT Processes</t>
  </si>
  <si>
    <t>General</t>
  </si>
  <si>
    <t>Site visit to integrate the Company B resource into Company A's IT team</t>
  </si>
  <si>
    <t>Debrief IT resource and assess capabilities</t>
  </si>
  <si>
    <t>Determine IT Service Request process (leverage existing process)</t>
  </si>
  <si>
    <t>Identify tools to support Service Request process</t>
  </si>
  <si>
    <t>Build and document IT Change Management procedure</t>
  </si>
  <si>
    <t>Identify tools to support Change Management Process</t>
  </si>
  <si>
    <t>Review compensation for Company B's resource (adjust if necessary)</t>
  </si>
  <si>
    <t>Quick Win IT Projects</t>
  </si>
  <si>
    <t>Wireless</t>
  </si>
  <si>
    <t>Review wireless plans for both companies</t>
  </si>
  <si>
    <t>Determine wireless plan synergies and opportunities</t>
  </si>
  <si>
    <t>Assess provider(s) - Single source, multi-source, per line/data pool plans and costs</t>
  </si>
  <si>
    <t>Select provider(s)/plan</t>
  </si>
  <si>
    <t>Migrate lines to provider(s)/plans</t>
  </si>
  <si>
    <t>Licensing</t>
  </si>
  <si>
    <t>Inventory Microsoft licensing counts (Office, E-mail, SharePoint, OneDrive)</t>
  </si>
  <si>
    <t>Identify any licensing gaps</t>
  </si>
  <si>
    <t>Work with Microsoft rep to determine best licensing models for combined companies (OL, SA, EA)</t>
  </si>
  <si>
    <t>Obtain quote for O365 from third party (should include prof services for migration assistance)</t>
  </si>
  <si>
    <t>Decision Point - Select and execute agreement (MS vs third party)</t>
  </si>
  <si>
    <t>Work with Microsoft to transfer licensing</t>
  </si>
  <si>
    <t>Phase 2 (licensing consolidation) - move all users to a single O365 environment</t>
  </si>
  <si>
    <t>VoIP Phone Services</t>
  </si>
  <si>
    <t xml:space="preserve">Assess current IPT requirements </t>
  </si>
  <si>
    <t>Collect pertinent migration information (+ growth)</t>
  </si>
  <si>
    <t>PRI capacity</t>
  </si>
  <si>
    <t>Number of extensions</t>
  </si>
  <si>
    <t>Number of fax lines</t>
  </si>
  <si>
    <t>Number of conference lines</t>
  </si>
  <si>
    <t>Number of voicemail boxes</t>
  </si>
  <si>
    <t>Number of softphone users</t>
  </si>
  <si>
    <t>Determine softphone requirements</t>
  </si>
  <si>
    <t>Assess integration with O365 (e.g. Skype for Business)</t>
  </si>
  <si>
    <t>Create detailed migration plan to common IPT platform</t>
  </si>
  <si>
    <t>Migrate to common IPT environment</t>
  </si>
  <si>
    <t>E-mail, SharePoint, OneDrive (O365)</t>
  </si>
  <si>
    <t>Inventory current E-mail, SharePoint, OneDrive user and license counts (see Quick Wins)</t>
  </si>
  <si>
    <t>Mailbox sizes</t>
  </si>
  <si>
    <t>Cloud data footprint from Drop Box, OneDrive, etc.</t>
  </si>
  <si>
    <t>On-premises data footprint from servers, SANs</t>
  </si>
  <si>
    <t>DNS, MX and other network related settings</t>
  </si>
  <si>
    <t>Determine number of MS Office installations to upgrade</t>
  </si>
  <si>
    <t>Assess the SharePoint sites to migrate (workflows, data, users)</t>
  </si>
  <si>
    <t>Determine if Skype for Business will be rolled out to user community (develop plan if necessary)</t>
  </si>
  <si>
    <t>Will ADFS services need to be implemented (develop plan if necessary)</t>
  </si>
  <si>
    <t>Create detailed migration plan to O365 (E-mail, SharePoint, OneDrive)</t>
  </si>
  <si>
    <t>Confirm licensing and subscription compliance</t>
  </si>
  <si>
    <t>Communicate plan to user community</t>
  </si>
  <si>
    <t>Run O365 pilot (correct if necessary, make go/no-go decision)</t>
  </si>
  <si>
    <t>Update MS Office installations</t>
  </si>
  <si>
    <t>Prep data for migration</t>
  </si>
  <si>
    <t>Migrate domains to common hosting service</t>
  </si>
  <si>
    <t>Migrate Exchange (e-mail) services to O365, MX records</t>
  </si>
  <si>
    <t>Services, &amp; Applications</t>
  </si>
  <si>
    <t>Consolidation &amp; Reporting</t>
  </si>
  <si>
    <t>Identify "owned" tools to support interim consolidation and reporting (ex. Tableau)</t>
  </si>
  <si>
    <t>Implement interim consolidation and reporting tools (includes training the users)</t>
  </si>
  <si>
    <t>Select long term reporting tool</t>
  </si>
  <si>
    <t>Payroll</t>
  </si>
  <si>
    <t>Assess both payroll providers to determine best fit for the consolidated company</t>
  </si>
  <si>
    <t>If not existing service provider, then assess other solution</t>
  </si>
  <si>
    <t>Select payroll/HRIS solution</t>
  </si>
  <si>
    <t>Develop detailed transition plan to selected payroll solution</t>
  </si>
  <si>
    <t>Transition to selected solution</t>
  </si>
  <si>
    <t>Licensing &amp; Third Parties</t>
  </si>
  <si>
    <t>Audit applications/services licenses for Company B</t>
  </si>
  <si>
    <t>Consolidate licensing programs (e.g. Microsoft)</t>
  </si>
  <si>
    <t>Assess usage of third-parties and determine go-forward plan (i.e. re-negotiate, consolidate)</t>
  </si>
  <si>
    <t>Assess CRM options for user community</t>
  </si>
  <si>
    <t>Determine integration requirements/capabilities/costs for different options</t>
  </si>
  <si>
    <t>Ensure system workflow/capabilities alignment with defined business processes</t>
  </si>
  <si>
    <t>Develop detailed transition plan including user training and Outlook/O365 integration</t>
  </si>
  <si>
    <t>ERP</t>
  </si>
  <si>
    <t>Service Module Assessment</t>
  </si>
  <si>
    <t>Create requirements document for service module</t>
  </si>
  <si>
    <t>Assess Company A's Gaps</t>
  </si>
  <si>
    <t>Assess Company B's Gaps</t>
  </si>
  <si>
    <t>Identify and assess third-party service module(s)</t>
  </si>
  <si>
    <t>Select Service module(s) --&gt; maybe a combination of leveraging both systems if necessary</t>
  </si>
  <si>
    <t>Implement or integrate the comprehensive service solution</t>
  </si>
  <si>
    <t>Integration Plan for ERP from vendor</t>
  </si>
  <si>
    <t>interface with vendors - establish POCs</t>
  </si>
  <si>
    <t>review current environments/ecosystems</t>
  </si>
  <si>
    <t>receive quote and plan</t>
  </si>
  <si>
    <t>sign off on quote and plan</t>
  </si>
  <si>
    <t>Security &amp; Controls</t>
  </si>
  <si>
    <t>Data Protection</t>
  </si>
  <si>
    <t>Determine data footprint</t>
  </si>
  <si>
    <t>Determine data retention requirements</t>
  </si>
  <si>
    <t>Identify appropriate data protection solution</t>
  </si>
  <si>
    <t>Implement data protection solution (e.g. ShareFile, OneDrive)  ***Note: align with O365</t>
  </si>
  <si>
    <t>IT Risk, Compliance, &amp; Security</t>
  </si>
  <si>
    <t>Define and create a PC disposal policy and procedure</t>
  </si>
  <si>
    <t>Conduct Risk Assessment (IT general controls, application controls, cyber security)</t>
  </si>
  <si>
    <t>Draft IT risk mitigation strategy</t>
  </si>
  <si>
    <t>Draft Risk Controls Matrix (RCM)</t>
  </si>
  <si>
    <t>Draft supporting documentation (i.e. IT Security Policy, Procurement Policy)</t>
  </si>
  <si>
    <t>Determine/Agree on continuous control assessment</t>
  </si>
  <si>
    <t>Train staff on control environment</t>
  </si>
  <si>
    <t>Network</t>
  </si>
  <si>
    <t>Extend Active Directory</t>
  </si>
  <si>
    <t xml:space="preserve">Assess best technology path (i.e. Azure, on-premises) </t>
  </si>
  <si>
    <t>Determine additional domain controller footprint</t>
  </si>
  <si>
    <t>Determine connectivity.  IPSec?  MPLS?</t>
  </si>
  <si>
    <t>Determine remote user authentication</t>
  </si>
  <si>
    <t>Assess the following:</t>
  </si>
  <si>
    <t>AD schema changes</t>
  </si>
  <si>
    <t>DNS</t>
  </si>
  <si>
    <t>Number of users</t>
  </si>
  <si>
    <t>Number of computers</t>
  </si>
  <si>
    <t>GPO changes</t>
  </si>
  <si>
    <t>Turn-up circuit(s) and/or IPSec tunnel(s)</t>
  </si>
  <si>
    <t>Deploy additional domain controllers</t>
  </si>
  <si>
    <t>Create OUs</t>
  </si>
  <si>
    <t>Create User accounts</t>
  </si>
  <si>
    <t>Apply new GPOs</t>
  </si>
  <si>
    <t>Validate replication</t>
  </si>
  <si>
    <t>Validate authentication</t>
  </si>
  <si>
    <t>Incorporate new member servers</t>
  </si>
  <si>
    <t>Set up print services</t>
  </si>
  <si>
    <t>Migrate PCs and profiles</t>
  </si>
  <si>
    <t xml:space="preserve">Assessment of HR structure </t>
  </si>
  <si>
    <t>Analysis of current structure, personnel, skills, etc.</t>
  </si>
  <si>
    <t>Review systems, processes</t>
  </si>
  <si>
    <t>Analysis of resource needs based on alignment capabilities</t>
  </si>
  <si>
    <t>Succession Planning</t>
  </si>
  <si>
    <t>Determine applicable scope</t>
  </si>
  <si>
    <t>Complete short-term transition plan</t>
  </si>
  <si>
    <t>Complete and finalize long-term succession plan</t>
  </si>
  <si>
    <t>Finalize the "to-be" organizational chart</t>
  </si>
  <si>
    <t>Interim agreements for personnel transitions</t>
  </si>
  <si>
    <t>All interim agreements complete</t>
  </si>
  <si>
    <t>Discuss vision for org structure - coordinate meetings with the Executive Team</t>
  </si>
  <si>
    <t>Re-organization of the Enterprise</t>
  </si>
  <si>
    <t>Draft communication plan</t>
  </si>
  <si>
    <t>Finalize communication plan and articulate to staff</t>
  </si>
  <si>
    <t>Review reporting structure and re-align as needed</t>
  </si>
  <si>
    <t>Establish org chart creation tool (Visio?)</t>
  </si>
  <si>
    <t>Create the "to-be" Org chart</t>
  </si>
  <si>
    <t>Rollout to organization</t>
  </si>
  <si>
    <t>Determine who responsible for ongoing updates</t>
  </si>
  <si>
    <t>Benefits Discovery</t>
  </si>
  <si>
    <t>Benefits discovery process (comprehensive due diligence, analysis around cost)</t>
  </si>
  <si>
    <t>Medical DD</t>
  </si>
  <si>
    <t>Ancillary DD</t>
  </si>
  <si>
    <t>Establish date for effective integration of ALL benefits (applicable FY)</t>
  </si>
  <si>
    <t xml:space="preserve">Open enrollment meetings/communication for employees - Medical only (for now) </t>
  </si>
  <si>
    <t>Call with insurance provider</t>
  </si>
  <si>
    <t xml:space="preserve">Determine open enrollment period </t>
  </si>
  <si>
    <t xml:space="preserve">Provider access for HR personnel </t>
  </si>
  <si>
    <t>Complete and upload enrollment template information into provider's interface</t>
  </si>
  <si>
    <t>Prepare materials</t>
  </si>
  <si>
    <t>Notify employees of meeting times</t>
  </si>
  <si>
    <t>Conduct meetings</t>
  </si>
  <si>
    <t xml:space="preserve">Final GAP analysis </t>
  </si>
  <si>
    <t>Final enrollment</t>
  </si>
  <si>
    <t xml:space="preserve">  Update payroll with premium deduction changes</t>
  </si>
  <si>
    <t xml:space="preserve">Payroll </t>
  </si>
  <si>
    <t>Meeting with each payroll service provider (need to completely understand the benefits/functionalities included with each service)</t>
  </si>
  <si>
    <t xml:space="preserve">Vendor discovery process (cost-benefit of existing systems) </t>
  </si>
  <si>
    <t xml:space="preserve">choose system </t>
  </si>
  <si>
    <t>Vendor selection - HRIS and Time Entry considerations</t>
  </si>
  <si>
    <t>Identify SME for chosen system</t>
  </si>
  <si>
    <t>Choose payroll cycles (finalize standard)</t>
  </si>
  <si>
    <t>Develop structured process (time entry to payout)</t>
  </si>
  <si>
    <t>Create time entry file upload process</t>
  </si>
  <si>
    <t xml:space="preserve">Review workload/resource needs for payroll processing </t>
  </si>
  <si>
    <t>Establish date for consolidation and transfer (final decision on larger payroll plan)</t>
  </si>
  <si>
    <t>Communicate pay cycle change, vendor selection</t>
  </si>
  <si>
    <t xml:space="preserve">Train on system access </t>
  </si>
  <si>
    <t>Test migration plan/systems' environment</t>
  </si>
  <si>
    <t>Migrate employee data</t>
  </si>
  <si>
    <t>Obtain new direct deposit authorization from all employees</t>
  </si>
  <si>
    <t>Payroll Transition complete</t>
  </si>
  <si>
    <t>Payroll tax filings - check in with Finance on this</t>
  </si>
  <si>
    <t>W2 processing review</t>
  </si>
  <si>
    <t>ACA compliance ex. 1095-c forms</t>
  </si>
  <si>
    <t>Selection of benefits (decision-making)</t>
  </si>
  <si>
    <t>Determine COBRA process (if applicable) - integrate within payroll system</t>
  </si>
  <si>
    <t>Create/order enrollment materials</t>
  </si>
  <si>
    <t>Establish carrier file feeds/process for submitting data to carriers</t>
  </si>
  <si>
    <t>Cancel legacy coverage(s) - medical only</t>
  </si>
  <si>
    <t>Provide new SPD's (summary plan description) to all employees - when?</t>
  </si>
  <si>
    <t>Review ACA policies, procedures for alignment</t>
  </si>
  <si>
    <t>Integrate ACA reporting, 1095/1094 forms</t>
  </si>
  <si>
    <t>Integrate regulatory reporting requirements (5500)</t>
  </si>
  <si>
    <t>Create and implement a Company-wide Performance Management System</t>
  </si>
  <si>
    <t>Review current processes/systems</t>
  </si>
  <si>
    <t xml:space="preserve">Decision on HRIS </t>
  </si>
  <si>
    <r>
      <t xml:space="preserve">Establish timeframe </t>
    </r>
    <r>
      <rPr>
        <b/>
        <sz val="10"/>
        <rFont val="Calibri"/>
        <family val="2"/>
        <scheme val="minor"/>
      </rPr>
      <t>PLAN</t>
    </r>
    <r>
      <rPr>
        <sz val="10"/>
        <rFont val="Calibri"/>
        <family val="2"/>
        <scheme val="minor"/>
      </rPr>
      <t xml:space="preserve"> for conversion to annual calendar reviews </t>
    </r>
  </si>
  <si>
    <t>Convert all RR personnel to annual program</t>
  </si>
  <si>
    <t xml:space="preserve">Finalize payroll adjustment process </t>
  </si>
  <si>
    <r>
      <t>Develop templates for each type of review (position, departmental, 360 degree, etc.) -</t>
    </r>
    <r>
      <rPr>
        <b/>
        <sz val="10"/>
        <color rgb="FFFF0000"/>
        <rFont val="Calibri"/>
        <family val="2"/>
        <scheme val="minor"/>
      </rPr>
      <t xml:space="preserve"> depends on HRIS decision</t>
    </r>
  </si>
  <si>
    <t>Tie in with talent, skills assessment, career path, succession planning, etc.</t>
  </si>
  <si>
    <t>Train/educate management staff</t>
  </si>
  <si>
    <t xml:space="preserve">Communicate/train employees </t>
  </si>
  <si>
    <t>Conversion completed</t>
  </si>
  <si>
    <t>Harmonized employee handbook: include all supporting documents (policies, procedures, benefits)</t>
  </si>
  <si>
    <t xml:space="preserve">Gap analysis on all policies </t>
  </si>
  <si>
    <t>Decision on integration of policies with gaps (PTO, Holidays, etc.)</t>
  </si>
  <si>
    <t>Modify handbooks with updated policies</t>
  </si>
  <si>
    <t>Train managers on new policy objectives/procedures</t>
  </si>
  <si>
    <t>Rollout new handbook to all employees</t>
  </si>
  <si>
    <t>Ensure signed acknowledgements received and placed in personnel files</t>
  </si>
  <si>
    <t xml:space="preserve">Implement comprehensive talent development program - both companies </t>
  </si>
  <si>
    <t>Implement payroll adjustment policy (acquired target)</t>
  </si>
  <si>
    <t>Identify the talent pool</t>
  </si>
  <si>
    <t>Review and establish talent assessment tool (example: One page talent management)</t>
  </si>
  <si>
    <t>Identify skills gap assessment</t>
  </si>
  <si>
    <t>Establish career path objectives, training needs</t>
  </si>
  <si>
    <t xml:space="preserve">Formalize program </t>
  </si>
  <si>
    <t>Communicate</t>
  </si>
  <si>
    <t>Harmonize job descriptions</t>
  </si>
  <si>
    <t>Review all job descriptions for needed updates</t>
  </si>
  <si>
    <t>Perform FLSA classification audit</t>
  </si>
  <si>
    <t>Determine if any crossover positions exist</t>
  </si>
  <si>
    <t>Establish template</t>
  </si>
  <si>
    <t>Update all JD's with new template</t>
  </si>
  <si>
    <t>Rollout new JD's to employees</t>
  </si>
  <si>
    <t>Ensure all signed JD's received and placed in personnel files</t>
  </si>
  <si>
    <t>Identify the safety audit process and ownership</t>
  </si>
  <si>
    <t>Review safety manual, policies for gap analysis</t>
  </si>
  <si>
    <r>
      <t xml:space="preserve">OSHA/MSHA reporting requirements - </t>
    </r>
    <r>
      <rPr>
        <sz val="10"/>
        <color rgb="FFFF0000"/>
        <rFont val="Calibri"/>
        <family val="2"/>
        <scheme val="minor"/>
      </rPr>
      <t>single or multiple locations (if applicable)</t>
    </r>
  </si>
  <si>
    <t>Contractor safety program review</t>
  </si>
  <si>
    <t>Behavioral Based Safety Program review</t>
  </si>
  <si>
    <t>Establish safety contacts</t>
  </si>
  <si>
    <t>Change to SIC/NAICS codes</t>
  </si>
  <si>
    <t>Misc. HR</t>
  </si>
  <si>
    <t xml:space="preserve">Develop Headcount report </t>
  </si>
  <si>
    <t>Facilitate meeting to discuss ALL practices/access requirements/resource leveling</t>
  </si>
  <si>
    <t xml:space="preserve">    Review and align Recruiting/Staffing process and resources</t>
  </si>
  <si>
    <t xml:space="preserve">    Relocation program</t>
  </si>
  <si>
    <t>Job postings: Align look and feel</t>
  </si>
  <si>
    <t>Employment Contracts/Agreements</t>
  </si>
  <si>
    <t xml:space="preserve">Compensation analysis </t>
  </si>
  <si>
    <t>Re-establish sales commission/Incentive Comp structure</t>
  </si>
  <si>
    <t>Onboarding/New Hire Process</t>
  </si>
  <si>
    <t>Review pre-employment screening requirements</t>
  </si>
  <si>
    <t>I-9 Audit (E-Verify)</t>
  </si>
  <si>
    <t>Worker's comp, WC postings, company vehicle requirements; register with carrier; MVR authorization forms</t>
  </si>
  <si>
    <t>Federal - State postings</t>
  </si>
  <si>
    <t>Employee files: transition for centralization - paper vs. electronic</t>
  </si>
  <si>
    <t xml:space="preserve"> Compliance training process</t>
  </si>
  <si>
    <t xml:space="preserve"> Manager training process</t>
  </si>
  <si>
    <t>Update employee directory</t>
  </si>
  <si>
    <t>Cultural Assessment</t>
  </si>
  <si>
    <t>Audit personnel files</t>
  </si>
  <si>
    <t>EEO-1 Reporting - As one entity or separate</t>
  </si>
  <si>
    <t>Disaster planning documentation</t>
  </si>
  <si>
    <t>Affirmative Action Plan</t>
  </si>
  <si>
    <t>Assess Team</t>
  </si>
  <si>
    <t>OSHA/MSHA reporting requirements - single or multiple locations (if required)</t>
  </si>
  <si>
    <t>Health and Safety program</t>
  </si>
  <si>
    <t>Review Operational Safety Practices- TN</t>
  </si>
  <si>
    <t>Review diligence findings with local mgmt</t>
  </si>
  <si>
    <t>Develop new safety plan</t>
  </si>
  <si>
    <t>Brief Division President on safety plan</t>
  </si>
  <si>
    <t>Documentation review and implementation</t>
  </si>
  <si>
    <t>Implement full Risk Assessment Policy</t>
  </si>
  <si>
    <t>PAT Testing review</t>
  </si>
  <si>
    <t>Staff training</t>
  </si>
  <si>
    <t>Review Employer and Public Liability insurance</t>
  </si>
  <si>
    <t>Implement safety plan complete</t>
  </si>
  <si>
    <t>Environmental procedures</t>
  </si>
  <si>
    <t>Distribute Phase I and II reports</t>
  </si>
  <si>
    <t>Develop new environmental procedures</t>
  </si>
  <si>
    <t>Brief Division President on environmental plan</t>
  </si>
  <si>
    <t>Environmental process implementation and documentation</t>
  </si>
  <si>
    <t>Workmans comp</t>
  </si>
  <si>
    <t>Determine financial impact, if applicable</t>
  </si>
  <si>
    <t>Evaluate SOX Requirements</t>
  </si>
  <si>
    <t>Document Locations</t>
  </si>
  <si>
    <t>i</t>
  </si>
  <si>
    <t>ii</t>
  </si>
  <si>
    <t>iii</t>
  </si>
  <si>
    <t>iv</t>
  </si>
  <si>
    <t>v</t>
  </si>
  <si>
    <t>vi</t>
  </si>
  <si>
    <t>Remediate Control Gaps</t>
  </si>
  <si>
    <t>Develop Testing Plan</t>
  </si>
  <si>
    <t>Issue Log</t>
  </si>
  <si>
    <t>Description</t>
  </si>
  <si>
    <t>Date Identified</t>
  </si>
  <si>
    <t>Date Resolved</t>
  </si>
  <si>
    <t>Functions Impacted</t>
  </si>
  <si>
    <t>Feedback</t>
  </si>
  <si>
    <t>What worked well?</t>
  </si>
  <si>
    <t>Suggestions for future integrations</t>
  </si>
  <si>
    <t>Reported by</t>
  </si>
  <si>
    <t>Escalated to</t>
  </si>
  <si>
    <t>Total Deliverables to Complete :</t>
  </si>
  <si>
    <t>Total Deliverables Completed :</t>
  </si>
  <si>
    <t>Total Sub-Tasks to Complete :</t>
  </si>
  <si>
    <t>Total Sub-Tasks Completed :</t>
  </si>
  <si>
    <t>Total Deliverables to Complete (initially) :</t>
  </si>
  <si>
    <t>Total Sub-Tasks to Complete (initially) :</t>
  </si>
  <si>
    <t>Est Completion Date</t>
  </si>
  <si>
    <t>Days Remaining</t>
  </si>
  <si>
    <t>Supply Chain</t>
  </si>
  <si>
    <t>Study</t>
  </si>
  <si>
    <t>Vendors</t>
  </si>
  <si>
    <t>Company A  Costs, terms, inventory agreements, lead-times, contracts in place?</t>
  </si>
  <si>
    <t>Analyse use of Outsourced Printing  Services (China Flag Maker and CF Flag)</t>
  </si>
  <si>
    <t>Understand supplier managed inventory arrangement and contract (Berger)</t>
  </si>
  <si>
    <t>Comm</t>
  </si>
  <si>
    <t>Inventory and SIOP</t>
  </si>
  <si>
    <t>Conduct  final physical count</t>
  </si>
  <si>
    <t>Integrate Xarisma products into SIOP process</t>
  </si>
  <si>
    <t>Product Development</t>
  </si>
  <si>
    <t>Determine Product consolidation plan</t>
  </si>
  <si>
    <t>Determine like products</t>
  </si>
  <si>
    <t>Determine duplications</t>
  </si>
  <si>
    <t>Understand product justification</t>
  </si>
  <si>
    <t>Understand product lifecycle policy</t>
  </si>
  <si>
    <t>Make final decision on product line</t>
  </si>
  <si>
    <t>Xarisma products added to Showdown (esp. light box, canvas print and acid dyed flags)</t>
  </si>
  <si>
    <t>Which products are removed from the product line</t>
  </si>
  <si>
    <t>Dealer Net and Retail Price analysis</t>
  </si>
  <si>
    <t>Inventory clearance/liquidation plan</t>
  </si>
  <si>
    <t>Review current product development process</t>
  </si>
  <si>
    <t>Review current product bank of idea</t>
  </si>
  <si>
    <t>New product created in NAV</t>
  </si>
  <si>
    <t>Creation of BOMS</t>
  </si>
  <si>
    <t>Implement Showdown Display item number policy</t>
  </si>
  <si>
    <t>Understand Xarisma exclusive item costing</t>
  </si>
  <si>
    <t>Create BOMS for Xarisma exclusive products</t>
  </si>
  <si>
    <t>Custom quoting process</t>
  </si>
  <si>
    <t>Understand how costing is determined</t>
  </si>
  <si>
    <t>Understand how volume pricing is determine</t>
  </si>
  <si>
    <t>MOQ requirements</t>
  </si>
  <si>
    <t>Quote time guaranteee</t>
  </si>
  <si>
    <t>Implement policy of pricing determined by Product Management</t>
  </si>
  <si>
    <t>Research if any patentable products exist</t>
  </si>
  <si>
    <t>Understand Eder Flag costing, sell price and agreement</t>
  </si>
  <si>
    <t>Review current policies of UL, PRop65 and other test requirements</t>
  </si>
  <si>
    <t>Determine method for assigning HTS codes to imported products</t>
  </si>
  <si>
    <t>Understand testing documentation</t>
  </si>
  <si>
    <t>Review how new products are created in their ERP system</t>
  </si>
  <si>
    <t>Create a method for compliance documentation</t>
  </si>
  <si>
    <t>Additional objectives</t>
  </si>
  <si>
    <t>Security and controls changes</t>
  </si>
  <si>
    <t>Financial data migration</t>
  </si>
  <si>
    <t>Telecommunications changes (email, sharepoint, 0365, etc.)</t>
  </si>
  <si>
    <t>Supporting applications changes</t>
  </si>
  <si>
    <t>ERP System changes</t>
  </si>
  <si>
    <t>Payroll cycles</t>
  </si>
  <si>
    <t xml:space="preserve">Insurance </t>
  </si>
  <si>
    <t>Budgeting</t>
  </si>
  <si>
    <t>Expense Reporting</t>
  </si>
  <si>
    <t>Fixed Assets Accounting consolidation</t>
  </si>
  <si>
    <t>Integration of systems, where applicable (GRRID, NetSuite)</t>
  </si>
  <si>
    <t>Customer Service consolidation</t>
  </si>
  <si>
    <t>Inventory Management</t>
  </si>
  <si>
    <t>Production, deployment process consolidation</t>
  </si>
  <si>
    <t>Location of customers and inventory (players)</t>
  </si>
  <si>
    <t>Assessment of personnel and capabilities</t>
  </si>
  <si>
    <t xml:space="preserve">Operations </t>
  </si>
  <si>
    <t>Website re-directs (refresh with new logo and value prop., if applicable)</t>
  </si>
  <si>
    <t>Commission Structure</t>
  </si>
  <si>
    <t>Brand Management</t>
  </si>
  <si>
    <t xml:space="preserve">consolidated marketing materials </t>
  </si>
  <si>
    <t>consolidated value proposition</t>
  </si>
  <si>
    <t>Tiering Customers</t>
  </si>
  <si>
    <t>Sales and Marketing</t>
  </si>
  <si>
    <t>Customers</t>
  </si>
  <si>
    <t>External Communications</t>
  </si>
  <si>
    <t>Job Descriptions</t>
  </si>
  <si>
    <t>Employee Handbook</t>
  </si>
  <si>
    <t>Systems Changes</t>
  </si>
  <si>
    <t>Performance Management</t>
  </si>
  <si>
    <t>Personnel moves (org. change --&gt; see above section)</t>
  </si>
  <si>
    <t>RACI-S Color Legend</t>
  </si>
  <si>
    <t>Benefits</t>
  </si>
  <si>
    <t>S</t>
  </si>
  <si>
    <t>Informed of the results once that step is completed</t>
  </si>
  <si>
    <t>I</t>
  </si>
  <si>
    <t>HR/Internal Communications Cadence</t>
  </si>
  <si>
    <t>Consulted prior to the completion of the deliverable</t>
  </si>
  <si>
    <t>C</t>
  </si>
  <si>
    <t>Decision on personnel moves (names to positions)</t>
  </si>
  <si>
    <t>Accountable for ensuring that the deliverable is complete</t>
  </si>
  <si>
    <t>A</t>
  </si>
  <si>
    <t>Finalization of model (to-be structure)</t>
  </si>
  <si>
    <t>Responsible for completion of deliverable</t>
  </si>
  <si>
    <t>R</t>
  </si>
  <si>
    <t>To-Be Organizational Structure</t>
  </si>
  <si>
    <t>Leadership Team</t>
  </si>
  <si>
    <t>CHG MGMT</t>
  </si>
  <si>
    <t>PMO</t>
  </si>
  <si>
    <t>High-Priority Objectives</t>
  </si>
  <si>
    <t>Team Leads are accountable for each Functional Area (see the "Resources" Tab)</t>
  </si>
  <si>
    <t>Execution</t>
  </si>
  <si>
    <t>Website Compliance (landing page/re-directs) - ensure content displayed on webpage is compliant from a licensing perspective</t>
  </si>
  <si>
    <t>Landing page/redirects</t>
  </si>
  <si>
    <t>webpage content compliance</t>
  </si>
  <si>
    <t>Tax Compliance</t>
  </si>
  <si>
    <t>Income Taxes</t>
  </si>
  <si>
    <t>dba Filing</t>
  </si>
  <si>
    <t>Checking accounts</t>
  </si>
  <si>
    <t>OVERVIEW</t>
  </si>
  <si>
    <r>
      <t xml:space="preserve">     - You should never have to manually alter any cells in columns L-V unless a formula has been corrupted; if you need assistance regarding any formula issues, just drop Keith Blaies an email at: </t>
    </r>
    <r>
      <rPr>
        <sz val="11"/>
        <color rgb="FF0070C0"/>
        <rFont val="Calibri"/>
        <family val="2"/>
        <scheme val="minor"/>
      </rPr>
      <t>kblaies@raccasolutions.com</t>
    </r>
  </si>
  <si>
    <t xml:space="preserve">Sales Taxes </t>
  </si>
  <si>
    <t xml:space="preserve">Change Management </t>
  </si>
  <si>
    <t>Assign with high-level objective targets --&gt; translate into deliverables for the Integration per each functional area</t>
  </si>
  <si>
    <t xml:space="preserve">Develop strategy and  vision </t>
  </si>
  <si>
    <t>Meeting with Executive Team: short term integration vision and long term vision</t>
  </si>
  <si>
    <t xml:space="preserve">Finalize functional areas for the  communication plan to the NewCo Business </t>
  </si>
  <si>
    <t>Share vision with Leadership</t>
  </si>
  <si>
    <t xml:space="preserve">Review and approve plan with key leadership stakeholders </t>
  </si>
  <si>
    <t>Communicate to key process owners/functional areas - integration plan</t>
  </si>
  <si>
    <t>setting expectations: reporting, communication throughout the organization</t>
  </si>
  <si>
    <t xml:space="preserve">identify commitment and resistance from constituents </t>
  </si>
  <si>
    <t>Develop communication message for employees : internal FAQ</t>
  </si>
  <si>
    <t>Create content, format (look and feel, questions employees will have)</t>
  </si>
  <si>
    <t>Disseminate</t>
  </si>
  <si>
    <t>Making change last (sustainment plan)</t>
  </si>
  <si>
    <t xml:space="preserve">Establish a continuous improvement initiative </t>
  </si>
  <si>
    <t>Establish combined metrics and deliverables</t>
  </si>
  <si>
    <t>Communication</t>
  </si>
  <si>
    <t>Identify POC and leverage planning</t>
  </si>
  <si>
    <t>Employee Town Hall (right after close)</t>
  </si>
  <si>
    <t>Announce closing on deal; schedule employee town-hall meeting (time and location)</t>
  </si>
  <si>
    <t>Facilitate the town-hall discussion</t>
  </si>
  <si>
    <t>Press Release</t>
  </si>
  <si>
    <t>Develop standard look and feel; include pertinent content</t>
  </si>
  <si>
    <t>Disseminate to public</t>
  </si>
  <si>
    <t xml:space="preserve">Customer Communication </t>
  </si>
  <si>
    <t>Draft answers for external FAQs</t>
  </si>
  <si>
    <t xml:space="preserve">Publish FAQ </t>
  </si>
  <si>
    <t>Vendor Communication</t>
  </si>
  <si>
    <t>Communicate to key vendors regarding the changes and expectations</t>
  </si>
  <si>
    <t>Internal Communications Cadence (big changes)</t>
  </si>
  <si>
    <t>Payroll Changes</t>
  </si>
  <si>
    <t>Benefits Changes</t>
  </si>
  <si>
    <t>Organizational roll-out (see change management)</t>
  </si>
  <si>
    <t>Interview CEO of 10ft Wave regarding marketing strategy</t>
  </si>
  <si>
    <t>Define duties/roles and responsibilities as it pertains to 10ft Wave and Spectrio's marketing campaign</t>
  </si>
  <si>
    <t>Integrate 10ft Wave customers into Spectrio marketing campaign (create priorities) - finalize the strategy</t>
  </si>
  <si>
    <t>Update marketing material to Brand X standard</t>
  </si>
  <si>
    <t xml:space="preserve">Sales </t>
  </si>
  <si>
    <t>Internal: Re-align the sales organization</t>
  </si>
  <si>
    <t>Define the two existing sales organizational structures</t>
  </si>
  <si>
    <t>Define duties/roles and responsibilities as it pertains to 10ft Wave and Spectrio's sales staff</t>
  </si>
  <si>
    <t>Complete the to-be sales organizational structure - outline roles/responsibilities based on position description</t>
  </si>
  <si>
    <t>Roll-out the new sales organization</t>
  </si>
  <si>
    <t xml:space="preserve">Develop commission structure to support selling model </t>
  </si>
  <si>
    <t xml:space="preserve">Do comp review 10ft Wave vs. Spectrio-overall COS data </t>
  </si>
  <si>
    <t>Review of rev goals for 10ft Wave and Spectrio</t>
  </si>
  <si>
    <t>Re-assign revenue goals 2017 to associated manager(s)</t>
  </si>
  <si>
    <t>Roll-out new commission plan; share with employees</t>
  </si>
  <si>
    <t>Organize high-priority target list; leverage relationships/joint customers</t>
  </si>
  <si>
    <t>Determine Tier parameters (document)</t>
  </si>
  <si>
    <t>have session to tier clients (10ft Wave/Spectrio)-set criteria (rev, volume, level of sponsors) - Tier 1 -top 25</t>
  </si>
  <si>
    <t>have session to tier clients (10ft Wave/Spectrio)-set criteria (rev, volume, level of sponsors) - Tier 2 - others</t>
  </si>
  <si>
    <t xml:space="preserve">Create teams within the consolidated 10ft Wave and Spectrio sales team to target accounts </t>
  </si>
  <si>
    <t>Set 2017 rev goals for each team</t>
  </si>
  <si>
    <t>Goals on leveraging product synergies</t>
  </si>
  <si>
    <t>Goals on leveraging expanded customer base</t>
  </si>
  <si>
    <t>Target lists from Spectrio</t>
  </si>
  <si>
    <t>Target lists from 10ft Wave</t>
  </si>
  <si>
    <t>Sales tracking - data/process consolidation (CRM)</t>
  </si>
  <si>
    <t>Discover - how are contacts/customers tracked and stored within each Organization? CRM? Excel? (DSR)</t>
  </si>
  <si>
    <t>Choose best in practice - think about scalability</t>
  </si>
  <si>
    <t>Migrate all data over to CRM system of choice</t>
  </si>
  <si>
    <t>Train all staff on CRM</t>
  </si>
  <si>
    <t>develop SOPs/training materials (if not already available)</t>
  </si>
  <si>
    <t>Integrate all sales staff into CRM and reporting process</t>
  </si>
  <si>
    <t>Develop INTERNAL dedicated training courses on full suite of services/products offered (sales training)</t>
  </si>
  <si>
    <r>
      <t xml:space="preserve">Ensure training focuses on the VOC needs - </t>
    </r>
    <r>
      <rPr>
        <b/>
        <sz val="10"/>
        <rFont val="Calibri"/>
        <family val="2"/>
        <scheme val="minor"/>
      </rPr>
      <t>define scope</t>
    </r>
  </si>
  <si>
    <t xml:space="preserve">Schedule dates for training via webinar </t>
  </si>
  <si>
    <t>Schedule training class(es)</t>
  </si>
  <si>
    <t xml:space="preserve">Develop content </t>
  </si>
  <si>
    <t>Conduct the training seminar</t>
  </si>
  <si>
    <t>Disseminate letters and FAQ's to customers, and dealer networks</t>
  </si>
  <si>
    <t>Publish FAQ to all Spectrio/10ft Wave customers</t>
  </si>
  <si>
    <t>Consolidate talking points to develop formal, external communication strategy for customer visits (schedule, agenda) - coordinate with Marketing</t>
  </si>
  <si>
    <t>Develop website redirects, landing page, links to cross-reference and educate customers of newco value prop - coordinate with Marketing/IT</t>
  </si>
  <si>
    <t>Rewrite existing branding document to accommodate integration elements of Spectrio/10ft Wave co-brands</t>
  </si>
  <si>
    <t>Review and approve re-directs, look and feel</t>
  </si>
  <si>
    <t>Review and approve the landing page, look and feel</t>
  </si>
  <si>
    <t>People</t>
  </si>
  <si>
    <t>Production</t>
  </si>
  <si>
    <t>Deployment</t>
  </si>
  <si>
    <t>Customer Service</t>
  </si>
  <si>
    <t xml:space="preserve">Internal Integration kick-off meeting </t>
  </si>
  <si>
    <t>Complete operations resource assessment (people --&gt; retail radio)</t>
  </si>
  <si>
    <t>Document roles and responsibilities (including delegation of authority)</t>
  </si>
  <si>
    <t>Identify capacity (supply chain/production) needed to support consolidated demand</t>
  </si>
  <si>
    <t>complete gap analysis (do we need more or less people to absorb functions?) -&gt; how to handle 1099s</t>
  </si>
  <si>
    <t>Create the necessary training materials to support the new Operations organization; train accordingly</t>
  </si>
  <si>
    <t>Develop process and traininig for current state of integration0</t>
  </si>
  <si>
    <t>Make personnel changes to support the new Organization</t>
  </si>
  <si>
    <t>Facilities discovery</t>
  </si>
  <si>
    <t>Facility / workplace capabilities review; review of access control</t>
  </si>
  <si>
    <t>Retrieve customer listing with allocated inventory</t>
  </si>
  <si>
    <t>Document customer nuances (billing, deployment, etc.) --&gt; how is their customer service team structured (regionally?)</t>
  </si>
  <si>
    <t>Identify customer overlap and service level agreements (legacy)</t>
  </si>
  <si>
    <t>Retrieve historical data tied to each customer (historical sales, issues, service contacts)</t>
  </si>
  <si>
    <t>Process and Technology</t>
  </si>
  <si>
    <t>Production and deployment process discovery --&gt; consolidate if possible</t>
  </si>
  <si>
    <t>Determine how the supply chain prepares for incoming demand</t>
  </si>
  <si>
    <t>Document how the projects are managed/allocated?</t>
  </si>
  <si>
    <t>Determine how operational cost is accounted for</t>
  </si>
  <si>
    <t>Understand how station scheduling and player programming functions are performed</t>
  </si>
  <si>
    <t>Denote gaps and begin to strategically think about consolidating where possible (how to incorporate the Creative arm of Spectrio)</t>
  </si>
  <si>
    <t>Evaluate QMS systems and process</t>
  </si>
  <si>
    <t>identify synergies and gaps</t>
  </si>
  <si>
    <t>consolidate to single QMS system</t>
  </si>
  <si>
    <t>Inventory management and tracking</t>
  </si>
  <si>
    <t>Conduct physical inventory (if necessary)</t>
  </si>
  <si>
    <t>Establishing long-term business plan</t>
  </si>
  <si>
    <t>Develop long-term business plan centralized around sustainability and scalability --&gt; aligning with corporate narrative to support growth objective</t>
  </si>
  <si>
    <t>Include capex and opex spend plans</t>
  </si>
  <si>
    <t>Brief leadership on plan</t>
  </si>
  <si>
    <t>Finalized and approved</t>
  </si>
  <si>
    <t>Establish contact with XXXXXX POC - Operations (production, deployment, customer service)</t>
  </si>
  <si>
    <t>kick-off meeting to layout expectations and being planning visits to XXXXXX site</t>
  </si>
  <si>
    <t>secondary meeting with XXXXXX personnel to coordinate visitation/expectations</t>
  </si>
  <si>
    <t>Lease Facility Review --&gt; XXXXXX</t>
  </si>
  <si>
    <t>XXXXXX - Customer discovery</t>
  </si>
  <si>
    <t>Understand how XXXXXX's customer service team structured (regionally?)</t>
  </si>
  <si>
    <t>Document the sales to operations handoff for XXXXXX --&gt; what does order to cash look like?</t>
  </si>
  <si>
    <t>Document as-is production and deployment processes for XXXXXX (understand capabilities)</t>
  </si>
  <si>
    <t>Understand how XXXXXX's customer service team structured (regionally?) --&gt; resource capacity</t>
  </si>
  <si>
    <t>Consolidate key CS functions and roll-out Spectrio's retention arm to support XXXXXX</t>
  </si>
  <si>
    <t>Identify XXXXXX current skills/talent on board</t>
  </si>
  <si>
    <t>Recognize how XXXXXX currently tracks their inventory (how do they utilize XXXXXX to support the process?)</t>
  </si>
  <si>
    <t>Prepare for FY YYYY and 3-month audit (if applicable)</t>
  </si>
  <si>
    <t>FY YYYY Audit is complete</t>
  </si>
  <si>
    <t>Need to do the Statutory Audit for YYYY (full Year)</t>
  </si>
  <si>
    <t>Determine how to segregate the revenue cycle (from customers set-up to application of cash)</t>
  </si>
  <si>
    <t>Calc Field</t>
  </si>
  <si>
    <t>Health and Safety</t>
  </si>
  <si>
    <t>Team Leads :</t>
  </si>
  <si>
    <t>Support Staff :</t>
  </si>
  <si>
    <t>Balance of Team :</t>
  </si>
  <si>
    <t>Human Resources</t>
  </si>
  <si>
    <t>Date    Assigned</t>
  </si>
  <si>
    <t>Information Technology</t>
  </si>
  <si>
    <t>Finance &amp; Accounting</t>
  </si>
  <si>
    <r>
      <rPr>
        <b/>
        <sz val="10"/>
        <color rgb="FF0C3964"/>
        <rFont val="Calibri"/>
        <family val="2"/>
        <scheme val="minor"/>
      </rPr>
      <t>Blank</t>
    </r>
    <r>
      <rPr>
        <sz val="10"/>
        <color rgb="FF0C3964"/>
        <rFont val="Calibri"/>
        <family val="2"/>
        <scheme val="minor"/>
      </rPr>
      <t xml:space="preserve"> = In Progress</t>
    </r>
  </si>
  <si>
    <r>
      <rPr>
        <b/>
        <sz val="10"/>
        <color rgb="FF0C3964"/>
        <rFont val="Calibri"/>
        <family val="2"/>
        <scheme val="minor"/>
      </rPr>
      <t>Yellow</t>
    </r>
    <r>
      <rPr>
        <sz val="10"/>
        <color rgb="FF0C3964"/>
        <rFont val="Calibri"/>
        <family val="2"/>
        <scheme val="minor"/>
      </rPr>
      <t xml:space="preserve"> = PM has questions</t>
    </r>
  </si>
  <si>
    <r>
      <rPr>
        <b/>
        <sz val="10"/>
        <color rgb="FFF1EEEC"/>
        <rFont val="Calibri"/>
        <family val="2"/>
        <scheme val="minor"/>
      </rPr>
      <t>Red</t>
    </r>
    <r>
      <rPr>
        <sz val="10"/>
        <color rgb="FFF1EEEC"/>
        <rFont val="Calibri"/>
        <family val="2"/>
        <scheme val="minor"/>
      </rPr>
      <t xml:space="preserve"> = Not timely updated</t>
    </r>
  </si>
  <si>
    <t>Total Project Summary</t>
  </si>
  <si>
    <t>Integration Playbook - Key Functional Area Summary</t>
  </si>
  <si>
    <t>Estimated End Date</t>
  </si>
  <si>
    <t>Total Deliverables Completed %</t>
  </si>
  <si>
    <t>Total Sub-Tasks Completed %</t>
  </si>
  <si>
    <t>- The "Cover Page" tab is essentially used for reporting purposes. The "Resources" tab can also be used for reporting purposes.</t>
  </si>
  <si>
    <t>Not Started</t>
  </si>
  <si>
    <t>Color Code Legend</t>
  </si>
  <si>
    <t>Stage Gate Legend</t>
  </si>
  <si>
    <t>RACI-S Matrix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</si>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</sst>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mm/dd/yy;@"/>
  </numFmts>
  <fonts count="7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i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b/>
      <sz val="12"/>
      <color indexed="9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22"/>
      <name val="Calibri Light"/>
      <family val="2"/>
      <scheme val="major"/>
    </font>
    <font>
      <b/>
      <sz val="24"/>
      <name val="Calibri Light"/>
      <family val="2"/>
      <scheme val="major"/>
    </font>
    <font>
      <b/>
      <sz val="12"/>
      <color rgb="FFF1EEEC"/>
      <name val="Calibri"/>
      <family val="2"/>
      <scheme val="minor"/>
    </font>
    <font>
      <b/>
      <sz val="10"/>
      <color rgb="FFF1EEEC"/>
      <name val="Arial"/>
      <family val="2"/>
    </font>
    <font>
      <sz val="10"/>
      <color rgb="FFF1EEEC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0C3964"/>
      <name val="Calibri"/>
      <family val="2"/>
      <scheme val="minor"/>
    </font>
    <font>
      <sz val="11"/>
      <color rgb="FFF1EEEC"/>
      <name val="Calibri"/>
      <family val="2"/>
      <scheme val="minor"/>
    </font>
    <font>
      <b/>
      <sz val="10"/>
      <color rgb="FFF1EEEC"/>
      <name val="Calibri"/>
      <family val="2"/>
      <scheme val="minor"/>
    </font>
    <font>
      <b/>
      <sz val="11"/>
      <color rgb="FFF1EEEC"/>
      <name val="Calibri"/>
      <family val="2"/>
      <scheme val="minor"/>
    </font>
    <font>
      <b/>
      <sz val="14"/>
      <color rgb="FFF1EEEC"/>
      <name val="Calibri Light"/>
      <family val="2"/>
      <scheme val="major"/>
    </font>
    <font>
      <b/>
      <sz val="9"/>
      <color indexed="10"/>
      <name val="Tahoma"/>
      <family val="2"/>
    </font>
    <font>
      <sz val="10"/>
      <color rgb="FFF1EEEC"/>
      <name val="Calibri"/>
      <family val="2"/>
      <scheme val="minor"/>
    </font>
    <font>
      <sz val="10"/>
      <color rgb="FF0C3964"/>
      <name val="Calibri"/>
      <family val="2"/>
      <scheme val="minor"/>
    </font>
    <font>
      <b/>
      <sz val="10"/>
      <color rgb="FF0C3964"/>
      <name val="Calibri"/>
      <family val="2"/>
      <scheme val="minor"/>
    </font>
    <font>
      <sz val="20"/>
      <color rgb="FF0C3964"/>
      <name val="Calibri"/>
      <family val="2"/>
      <scheme val="minor"/>
    </font>
    <font>
      <b/>
      <sz val="12"/>
      <color rgb="FF0C3964"/>
      <name val="Calibri"/>
      <family val="2"/>
      <scheme val="minor"/>
    </font>
    <font>
      <b/>
      <sz val="12"/>
      <name val="Arial"/>
      <family val="2"/>
    </font>
    <font>
      <sz val="10"/>
      <color rgb="FF0C3964"/>
      <name val="Arial"/>
      <family val="2"/>
    </font>
    <font>
      <b/>
      <sz val="11"/>
      <color rgb="FF0C3964"/>
      <name val="Calibri"/>
      <family val="2"/>
      <scheme val="minor"/>
    </font>
    <font>
      <b/>
      <sz val="14"/>
      <color rgb="FF0C3964"/>
      <name val="Calibri"/>
      <family val="2"/>
      <scheme val="minor"/>
    </font>
    <font>
      <b/>
      <sz val="12"/>
      <color rgb="FF0C3964"/>
      <name val="Arial"/>
      <family val="2"/>
    </font>
    <font>
      <b/>
      <sz val="10"/>
      <color rgb="FFC85532"/>
      <name val="Calibri"/>
      <family val="2"/>
      <scheme val="minor"/>
    </font>
    <font>
      <sz val="10"/>
      <color rgb="FFC85532"/>
      <name val="Calibri"/>
      <family val="2"/>
      <scheme val="minor"/>
    </font>
    <font>
      <b/>
      <sz val="20"/>
      <color rgb="FF0C3964"/>
      <name val="Calibri Light"/>
      <family val="2"/>
      <scheme val="major"/>
    </font>
    <font>
      <b/>
      <sz val="11"/>
      <color rgb="FFC85532"/>
      <name val="Calibri"/>
      <family val="2"/>
      <scheme val="minor"/>
    </font>
    <font>
      <sz val="11"/>
      <color rgb="FFC85532"/>
      <name val="Calibri"/>
      <family val="2"/>
      <scheme val="minor"/>
    </font>
    <font>
      <sz val="10"/>
      <color rgb="FFC85532"/>
      <name val="Arial"/>
      <family val="2"/>
    </font>
    <font>
      <b/>
      <i/>
      <sz val="11"/>
      <color rgb="FFF1EEEC"/>
      <name val="Calibri"/>
      <family val="2"/>
      <scheme val="minor"/>
    </font>
    <font>
      <b/>
      <u/>
      <sz val="10"/>
      <color rgb="FFF1EEEC"/>
      <name val="Calibri"/>
      <family val="2"/>
      <scheme val="minor"/>
    </font>
    <font>
      <b/>
      <sz val="10"/>
      <color rgb="FFC85532"/>
      <name val="Arial"/>
      <family val="2"/>
    </font>
    <font>
      <b/>
      <sz val="11"/>
      <color rgb="FF0C3964"/>
      <name val="Arial"/>
      <family val="2"/>
    </font>
    <font>
      <b/>
      <sz val="8"/>
      <color rgb="FFF1EEEC"/>
      <name val="Calibri"/>
      <family val="2"/>
      <scheme val="minor"/>
    </font>
    <font>
      <b/>
      <sz val="8"/>
      <color rgb="FF0C3964"/>
      <name val="Calibri"/>
      <family val="2"/>
      <scheme val="minor"/>
    </font>
    <font>
      <b/>
      <sz val="16"/>
      <color rgb="FFF1EEEC"/>
      <name val="Calibri"/>
      <family val="2"/>
      <scheme val="minor"/>
    </font>
    <font>
      <sz val="16"/>
      <color rgb="FFF1EEEC"/>
      <name val="Calibri"/>
      <family val="2"/>
      <scheme val="minor"/>
    </font>
    <font>
      <b/>
      <i/>
      <sz val="14"/>
      <color rgb="FFF1EEEC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C396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8553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1EEEC"/>
        <bgColor indexed="64"/>
      </patternFill>
    </fill>
  </fills>
  <borders count="1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ck">
        <color rgb="FF0C3964"/>
      </bottom>
      <diagonal/>
    </border>
    <border>
      <left/>
      <right/>
      <top style="medium">
        <color indexed="64"/>
      </top>
      <bottom style="thick">
        <color rgb="FF0C3964"/>
      </bottom>
      <diagonal/>
    </border>
    <border>
      <left/>
      <right style="medium">
        <color indexed="64"/>
      </right>
      <top style="medium">
        <color indexed="64"/>
      </top>
      <bottom style="thick">
        <color rgb="FF0C3964"/>
      </bottom>
      <diagonal/>
    </border>
    <border>
      <left style="medium">
        <color rgb="FF0C3964"/>
      </left>
      <right style="medium">
        <color rgb="FF0C3964"/>
      </right>
      <top style="medium">
        <color rgb="FF0C3964"/>
      </top>
      <bottom style="medium">
        <color rgb="FF0C39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ck">
        <color rgb="FF0C3964"/>
      </bottom>
      <diagonal/>
    </border>
    <border>
      <left style="thick">
        <color rgb="FF0C3964"/>
      </left>
      <right/>
      <top style="thick">
        <color rgb="FF0C3964"/>
      </top>
      <bottom/>
      <diagonal/>
    </border>
    <border>
      <left/>
      <right/>
      <top style="thick">
        <color rgb="FF0C3964"/>
      </top>
      <bottom/>
      <diagonal/>
    </border>
    <border>
      <left style="thick">
        <color rgb="FF0C3964"/>
      </left>
      <right/>
      <top/>
      <bottom/>
      <diagonal/>
    </border>
    <border>
      <left style="thin">
        <color indexed="64"/>
      </left>
      <right style="thick">
        <color rgb="FF0C3964"/>
      </right>
      <top style="thin">
        <color indexed="64"/>
      </top>
      <bottom style="thin">
        <color indexed="64"/>
      </bottom>
      <diagonal/>
    </border>
    <border>
      <left style="thick">
        <color rgb="FF0C3964"/>
      </left>
      <right/>
      <top style="thin">
        <color indexed="64"/>
      </top>
      <bottom style="thin">
        <color indexed="64"/>
      </bottom>
      <diagonal/>
    </border>
    <border>
      <left style="thick">
        <color rgb="FF0C39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C3964"/>
      </left>
      <right style="thin">
        <color indexed="64"/>
      </right>
      <top style="thin">
        <color indexed="64"/>
      </top>
      <bottom style="thick">
        <color rgb="FF0C39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C3964"/>
      </bottom>
      <diagonal/>
    </border>
    <border>
      <left style="thin">
        <color indexed="64"/>
      </left>
      <right style="thick">
        <color rgb="FF0C3964"/>
      </right>
      <top style="thin">
        <color indexed="64"/>
      </top>
      <bottom style="thick">
        <color rgb="FF0C3964"/>
      </bottom>
      <diagonal/>
    </border>
    <border>
      <left/>
      <right style="thick">
        <color rgb="FF0C3964"/>
      </right>
      <top/>
      <bottom style="thin">
        <color indexed="64"/>
      </bottom>
      <diagonal/>
    </border>
    <border>
      <left style="medium">
        <color rgb="FF0C39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rgb="FF0C3964"/>
      </right>
      <top style="thin">
        <color indexed="64"/>
      </top>
      <bottom style="thin">
        <color indexed="64"/>
      </bottom>
      <diagonal/>
    </border>
    <border>
      <left style="medium">
        <color rgb="FF0C3964"/>
      </left>
      <right style="thin">
        <color indexed="64"/>
      </right>
      <top/>
      <bottom style="medium">
        <color rgb="FF0C3964"/>
      </bottom>
      <diagonal/>
    </border>
    <border>
      <left style="thin">
        <color indexed="64"/>
      </left>
      <right style="medium">
        <color rgb="FF0C3964"/>
      </right>
      <top style="thin">
        <color indexed="64"/>
      </top>
      <bottom style="medium">
        <color rgb="FF0C3964"/>
      </bottom>
      <diagonal/>
    </border>
    <border>
      <left style="medium">
        <color rgb="FF0C3964"/>
      </left>
      <right style="thin">
        <color indexed="64"/>
      </right>
      <top style="thick">
        <color rgb="FF0C3964"/>
      </top>
      <bottom/>
      <diagonal/>
    </border>
    <border>
      <left style="thin">
        <color indexed="64"/>
      </left>
      <right style="medium">
        <color rgb="FF0C3964"/>
      </right>
      <top style="thick">
        <color rgb="FF0C3964"/>
      </top>
      <bottom style="thin">
        <color indexed="64"/>
      </bottom>
      <diagonal/>
    </border>
    <border>
      <left/>
      <right style="thick">
        <color rgb="FF0C3964"/>
      </right>
      <top style="thick">
        <color rgb="FF0C3964"/>
      </top>
      <bottom/>
      <diagonal/>
    </border>
    <border>
      <left/>
      <right style="thick">
        <color rgb="FF0C3964"/>
      </right>
      <top/>
      <bottom/>
      <diagonal/>
    </border>
    <border>
      <left/>
      <right style="thick">
        <color rgb="FF0C3964"/>
      </right>
      <top style="thin">
        <color indexed="64"/>
      </top>
      <bottom/>
      <diagonal/>
    </border>
    <border>
      <left style="thick">
        <color rgb="FF0C39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rgb="FF0C3964"/>
      </right>
      <top/>
      <bottom style="hair">
        <color indexed="64"/>
      </bottom>
      <diagonal/>
    </border>
    <border>
      <left style="thick">
        <color rgb="FF0C3964"/>
      </left>
      <right style="thin">
        <color indexed="64"/>
      </right>
      <top/>
      <bottom/>
      <diagonal/>
    </border>
    <border>
      <left style="hair">
        <color indexed="64"/>
      </left>
      <right style="thick">
        <color rgb="FF0C3964"/>
      </right>
      <top style="hair">
        <color indexed="64"/>
      </top>
      <bottom style="hair">
        <color indexed="64"/>
      </bottom>
      <diagonal/>
    </border>
    <border>
      <left style="thick">
        <color rgb="FF0C3964"/>
      </left>
      <right style="thin">
        <color indexed="64"/>
      </right>
      <top/>
      <bottom style="thin">
        <color indexed="64"/>
      </bottom>
      <diagonal/>
    </border>
    <border>
      <left style="thick">
        <color rgb="FF0C3964"/>
      </left>
      <right style="hair">
        <color indexed="64"/>
      </right>
      <top style="hair">
        <color indexed="64"/>
      </top>
      <bottom/>
      <diagonal/>
    </border>
    <border>
      <left style="thick">
        <color rgb="FF0C3964"/>
      </left>
      <right style="hair">
        <color indexed="64"/>
      </right>
      <top/>
      <bottom/>
      <diagonal/>
    </border>
    <border>
      <left style="thick">
        <color rgb="FF0C39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rgb="FF0C39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0C3964"/>
      </left>
      <right style="thin">
        <color indexed="64"/>
      </right>
      <top style="hair">
        <color indexed="64"/>
      </top>
      <bottom/>
      <diagonal/>
    </border>
    <border>
      <left style="thick">
        <color rgb="FF0C3964"/>
      </left>
      <right style="thin">
        <color indexed="64"/>
      </right>
      <top/>
      <bottom style="thick">
        <color rgb="FF0C39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rgb="FF0C39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0C3964"/>
      </bottom>
      <diagonal/>
    </border>
    <border>
      <left style="hair">
        <color indexed="64"/>
      </left>
      <right style="thick">
        <color rgb="FF0C3964"/>
      </right>
      <top style="hair">
        <color indexed="64"/>
      </top>
      <bottom style="thick">
        <color rgb="FF0C3964"/>
      </bottom>
      <diagonal/>
    </border>
    <border>
      <left/>
      <right style="thick">
        <color rgb="FF0C3964"/>
      </right>
      <top/>
      <bottom style="hair">
        <color indexed="64"/>
      </bottom>
      <diagonal/>
    </border>
    <border>
      <left/>
      <right style="thick">
        <color rgb="FF0C3964"/>
      </right>
      <top style="hair">
        <color indexed="64"/>
      </top>
      <bottom style="thin">
        <color indexed="64"/>
      </bottom>
      <diagonal/>
    </border>
    <border>
      <left/>
      <right style="thick">
        <color rgb="FF0C3964"/>
      </right>
      <top style="thin">
        <color indexed="64"/>
      </top>
      <bottom style="hair">
        <color indexed="64"/>
      </bottom>
      <diagonal/>
    </border>
    <border>
      <left/>
      <right style="thick">
        <color rgb="FF0C39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ck">
        <color rgb="FF0C3964"/>
      </bottom>
      <diagonal/>
    </border>
    <border>
      <left/>
      <right/>
      <top style="hair">
        <color indexed="64"/>
      </top>
      <bottom style="thick">
        <color rgb="FF0C3964"/>
      </bottom>
      <diagonal/>
    </border>
    <border>
      <left/>
      <right style="hair">
        <color indexed="64"/>
      </right>
      <top style="hair">
        <color indexed="64"/>
      </top>
      <bottom style="thick">
        <color rgb="FF0C3964"/>
      </bottom>
      <diagonal/>
    </border>
    <border>
      <left style="hair">
        <color indexed="64"/>
      </left>
      <right/>
      <top style="hair">
        <color indexed="64"/>
      </top>
      <bottom style="thick">
        <color rgb="FF0C3964"/>
      </bottom>
      <diagonal/>
    </border>
    <border>
      <left/>
      <right style="thick">
        <color rgb="FF0C3964"/>
      </right>
      <top/>
      <bottom style="thick">
        <color rgb="FF0C3964"/>
      </bottom>
      <diagonal/>
    </border>
  </borders>
  <cellStyleXfs count="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29" fillId="0" borderId="0" applyNumberFormat="0" applyFill="0" applyBorder="0" applyAlignment="0" applyProtection="0"/>
  </cellStyleXfs>
  <cellXfs count="1010">
    <xf numFmtId="0" fontId="0" fillId="0" borderId="0" xfId="0"/>
    <xf numFmtId="0" fontId="2" fillId="0" borderId="1" xfId="1" applyFont="1" applyBorder="1" applyProtection="1">
      <protection locked="0"/>
    </xf>
    <xf numFmtId="0" fontId="3" fillId="0" borderId="0" xfId="1" applyFont="1" applyBorder="1" applyProtection="1">
      <protection locked="0"/>
    </xf>
    <xf numFmtId="0" fontId="1" fillId="0" borderId="0" xfId="1" applyBorder="1" applyProtection="1">
      <protection locked="0"/>
    </xf>
    <xf numFmtId="0" fontId="1" fillId="0" borderId="0" xfId="1" applyBorder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22" fontId="1" fillId="0" borderId="0" xfId="1" applyNumberFormat="1" applyProtection="1">
      <protection locked="0"/>
    </xf>
    <xf numFmtId="0" fontId="1" fillId="0" borderId="0" xfId="1" applyBorder="1" applyAlignment="1" applyProtection="1">
      <alignment wrapText="1"/>
      <protection locked="0"/>
    </xf>
    <xf numFmtId="22" fontId="1" fillId="0" borderId="0" xfId="1" applyNumberFormat="1"/>
    <xf numFmtId="0" fontId="1" fillId="0" borderId="0" xfId="1"/>
    <xf numFmtId="0" fontId="1" fillId="0" borderId="0" xfId="1" applyAlignment="1">
      <alignment wrapText="1"/>
    </xf>
    <xf numFmtId="0" fontId="1" fillId="0" borderId="0" xfId="1" applyAlignment="1">
      <alignment horizontal="center"/>
    </xf>
    <xf numFmtId="0" fontId="1" fillId="0" borderId="0" xfId="1" applyFill="1" applyBorder="1" applyAlignment="1">
      <alignment wrapText="1"/>
    </xf>
    <xf numFmtId="0" fontId="1" fillId="0" borderId="9" xfId="1" applyBorder="1" applyProtection="1">
      <protection locked="0"/>
    </xf>
    <xf numFmtId="0" fontId="1" fillId="0" borderId="10" xfId="1" applyBorder="1" applyProtection="1">
      <protection locked="0"/>
    </xf>
    <xf numFmtId="0" fontId="1" fillId="0" borderId="11" xfId="1" applyBorder="1" applyProtection="1">
      <protection locked="0"/>
    </xf>
    <xf numFmtId="0" fontId="1" fillId="0" borderId="12" xfId="1" applyBorder="1" applyProtection="1">
      <protection locked="0"/>
    </xf>
    <xf numFmtId="0" fontId="1" fillId="0" borderId="13" xfId="1" applyBorder="1" applyProtection="1">
      <protection locked="0"/>
    </xf>
    <xf numFmtId="0" fontId="1" fillId="0" borderId="0" xfId="1" applyFont="1" applyProtection="1">
      <protection locked="0"/>
    </xf>
    <xf numFmtId="0" fontId="1" fillId="0" borderId="0" xfId="1" applyFill="1" applyBorder="1" applyAlignment="1" applyProtection="1">
      <alignment vertical="top" wrapText="1"/>
      <protection locked="0"/>
    </xf>
    <xf numFmtId="0" fontId="1" fillId="0" borderId="0" xfId="1" applyFill="1" applyProtection="1">
      <protection locked="0"/>
    </xf>
    <xf numFmtId="14" fontId="1" fillId="0" borderId="0" xfId="1" applyNumberFormat="1" applyBorder="1" applyAlignment="1" applyProtection="1">
      <alignment wrapText="1"/>
      <protection locked="0"/>
    </xf>
    <xf numFmtId="0" fontId="1" fillId="2" borderId="0" xfId="1" applyFill="1" applyProtection="1">
      <protection locked="0"/>
    </xf>
    <xf numFmtId="14" fontId="1" fillId="0" borderId="0" xfId="1" applyNumberFormat="1" applyAlignment="1" applyProtection="1">
      <alignment wrapText="1"/>
      <protection locked="0"/>
    </xf>
    <xf numFmtId="0" fontId="1" fillId="0" borderId="0" xfId="1" applyBorder="1" applyAlignment="1" applyProtection="1">
      <alignment vertical="top" wrapText="1"/>
      <protection locked="0"/>
    </xf>
    <xf numFmtId="0" fontId="1" fillId="0" borderId="0" xfId="1" applyProtection="1">
      <protection locked="0"/>
    </xf>
    <xf numFmtId="0" fontId="1" fillId="0" borderId="0" xfId="1" applyFont="1" applyFill="1" applyBorder="1" applyAlignment="1" applyProtection="1">
      <alignment vertical="top" wrapText="1"/>
      <protection locked="0"/>
    </xf>
    <xf numFmtId="0" fontId="1" fillId="0" borderId="0" xfId="1" applyAlignment="1" applyProtection="1">
      <alignment wrapText="1"/>
      <protection locked="0"/>
    </xf>
    <xf numFmtId="0" fontId="1" fillId="0" borderId="15" xfId="1" applyBorder="1" applyProtection="1">
      <protection locked="0"/>
    </xf>
    <xf numFmtId="0" fontId="4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0" fontId="1" fillId="0" borderId="0" xfId="1" applyFill="1" applyBorder="1" applyAlignment="1" applyProtection="1">
      <alignment wrapText="1"/>
      <protection locked="0"/>
    </xf>
    <xf numFmtId="14" fontId="1" fillId="0" borderId="0" xfId="1" applyNumberFormat="1" applyFill="1" applyBorder="1" applyProtection="1">
      <protection locked="0"/>
    </xf>
    <xf numFmtId="0" fontId="11" fillId="0" borderId="8" xfId="1" applyFont="1" applyBorder="1" applyAlignment="1" applyProtection="1">
      <alignment horizontal="left" vertical="top" wrapText="1" indent="1"/>
      <protection locked="0"/>
    </xf>
    <xf numFmtId="0" fontId="11" fillId="0" borderId="0" xfId="1" applyFont="1" applyProtection="1">
      <protection locked="0"/>
    </xf>
    <xf numFmtId="0" fontId="11" fillId="0" borderId="1" xfId="1" applyFont="1" applyBorder="1" applyProtection="1">
      <protection locked="0"/>
    </xf>
    <xf numFmtId="0" fontId="11" fillId="0" borderId="0" xfId="1" applyFont="1" applyBorder="1" applyProtection="1">
      <protection locked="0"/>
    </xf>
    <xf numFmtId="0" fontId="11" fillId="0" borderId="0" xfId="1" applyFont="1" applyBorder="1" applyAlignment="1" applyProtection="1">
      <alignment wrapText="1"/>
      <protection locked="0"/>
    </xf>
    <xf numFmtId="0" fontId="11" fillId="0" borderId="8" xfId="1" applyFont="1" applyBorder="1" applyAlignment="1" applyProtection="1">
      <alignment vertical="top"/>
      <protection locked="0"/>
    </xf>
    <xf numFmtId="0" fontId="11" fillId="0" borderId="8" xfId="1" applyFont="1" applyBorder="1" applyAlignment="1" applyProtection="1">
      <alignment vertical="top" wrapText="1"/>
      <protection locked="0"/>
    </xf>
    <xf numFmtId="0" fontId="11" fillId="0" borderId="8" xfId="1" applyFont="1" applyBorder="1" applyAlignment="1" applyProtection="1">
      <alignment vertical="top"/>
    </xf>
    <xf numFmtId="0" fontId="11" fillId="0" borderId="0" xfId="1" applyFont="1" applyAlignment="1" applyProtection="1">
      <alignment wrapText="1"/>
      <protection locked="0"/>
    </xf>
    <xf numFmtId="0" fontId="11" fillId="0" borderId="1" xfId="1" applyFont="1" applyBorder="1" applyAlignment="1" applyProtection="1">
      <alignment horizontal="center"/>
      <protection locked="0"/>
    </xf>
    <xf numFmtId="0" fontId="11" fillId="0" borderId="0" xfId="1" applyFont="1" applyBorder="1" applyAlignment="1" applyProtection="1">
      <alignment horizontal="center"/>
      <protection locked="0"/>
    </xf>
    <xf numFmtId="0" fontId="14" fillId="0" borderId="0" xfId="1" applyFont="1" applyBorder="1" applyProtection="1"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5" xfId="1" applyFont="1" applyBorder="1" applyProtection="1">
      <protection locked="0"/>
    </xf>
    <xf numFmtId="0" fontId="11" fillId="0" borderId="5" xfId="1" applyFont="1" applyBorder="1" applyAlignment="1" applyProtection="1">
      <alignment horizontal="center"/>
      <protection locked="0"/>
    </xf>
    <xf numFmtId="0" fontId="11" fillId="0" borderId="2" xfId="1" applyFont="1" applyBorder="1" applyProtection="1">
      <protection locked="0"/>
    </xf>
    <xf numFmtId="0" fontId="11" fillId="0" borderId="9" xfId="1" applyFont="1" applyBorder="1" applyProtection="1">
      <protection locked="0"/>
    </xf>
    <xf numFmtId="0" fontId="11" fillId="0" borderId="11" xfId="1" applyFont="1" applyBorder="1" applyProtection="1">
      <protection locked="0"/>
    </xf>
    <xf numFmtId="0" fontId="11" fillId="0" borderId="12" xfId="1" applyFont="1" applyBorder="1" applyProtection="1">
      <protection locked="0"/>
    </xf>
    <xf numFmtId="0" fontId="3" fillId="0" borderId="0" xfId="1" applyFont="1" applyFill="1" applyBorder="1" applyAlignment="1" applyProtection="1">
      <alignment vertical="top" wrapText="1"/>
      <protection locked="0"/>
    </xf>
    <xf numFmtId="14" fontId="1" fillId="0" borderId="0" xfId="1" applyNumberFormat="1" applyFill="1" applyBorder="1" applyAlignment="1" applyProtection="1">
      <alignment vertical="top"/>
      <protection locked="0"/>
    </xf>
    <xf numFmtId="0" fontId="1" fillId="0" borderId="0" xfId="1" applyFill="1" applyBorder="1" applyAlignment="1" applyProtection="1">
      <alignment vertical="top"/>
      <protection locked="0"/>
    </xf>
    <xf numFmtId="0" fontId="1" fillId="0" borderId="0" xfId="1" applyFill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left" vertical="top" wrapText="1" indent="1"/>
      <protection locked="0"/>
    </xf>
    <xf numFmtId="22" fontId="1" fillId="0" borderId="0" xfId="1" applyNumberFormat="1" applyFill="1" applyProtection="1">
      <protection locked="0"/>
    </xf>
    <xf numFmtId="0" fontId="1" fillId="0" borderId="0" xfId="1" applyBorder="1" applyAlignment="1">
      <alignment wrapText="1"/>
    </xf>
    <xf numFmtId="0" fontId="11" fillId="0" borderId="16" xfId="1" applyFont="1" applyBorder="1" applyProtection="1">
      <protection locked="0"/>
    </xf>
    <xf numFmtId="0" fontId="11" fillId="0" borderId="0" xfId="1" applyFont="1" applyFill="1" applyBorder="1" applyProtection="1">
      <protection locked="0"/>
    </xf>
    <xf numFmtId="0" fontId="11" fillId="0" borderId="25" xfId="1" applyFont="1" applyBorder="1" applyProtection="1">
      <protection locked="0"/>
    </xf>
    <xf numFmtId="0" fontId="11" fillId="0" borderId="26" xfId="1" applyFont="1" applyBorder="1" applyProtection="1">
      <protection locked="0"/>
    </xf>
    <xf numFmtId="0" fontId="11" fillId="0" borderId="16" xfId="1" applyFont="1" applyBorder="1" applyAlignment="1" applyProtection="1">
      <alignment wrapText="1"/>
      <protection locked="0"/>
    </xf>
    <xf numFmtId="0" fontId="11" fillId="0" borderId="16" xfId="1" applyFont="1" applyBorder="1" applyAlignment="1" applyProtection="1">
      <alignment horizontal="center"/>
      <protection locked="0"/>
    </xf>
    <xf numFmtId="0" fontId="11" fillId="0" borderId="30" xfId="1" applyFont="1" applyBorder="1" applyProtection="1">
      <protection locked="0"/>
    </xf>
    <xf numFmtId="0" fontId="11" fillId="0" borderId="31" xfId="1" applyFont="1" applyBorder="1" applyProtection="1">
      <protection locked="0"/>
    </xf>
    <xf numFmtId="0" fontId="1" fillId="0" borderId="25" xfId="1" applyBorder="1" applyProtection="1">
      <protection locked="0"/>
    </xf>
    <xf numFmtId="0" fontId="11" fillId="0" borderId="34" xfId="1" applyFont="1" applyBorder="1" applyAlignment="1" applyProtection="1">
      <alignment vertical="top" wrapText="1"/>
      <protection locked="0"/>
    </xf>
    <xf numFmtId="0" fontId="1" fillId="0" borderId="16" xfId="1" applyBorder="1" applyAlignment="1" applyProtection="1">
      <alignment wrapText="1"/>
      <protection locked="0"/>
    </xf>
    <xf numFmtId="0" fontId="1" fillId="0" borderId="16" xfId="1" applyBorder="1" applyProtection="1">
      <protection locked="0"/>
    </xf>
    <xf numFmtId="0" fontId="1" fillId="0" borderId="25" xfId="1" applyFill="1" applyBorder="1" applyProtection="1">
      <protection locked="0"/>
    </xf>
    <xf numFmtId="0" fontId="1" fillId="0" borderId="30" xfId="1" applyBorder="1" applyAlignment="1" applyProtection="1">
      <alignment wrapText="1"/>
      <protection locked="0"/>
    </xf>
    <xf numFmtId="0" fontId="1" fillId="0" borderId="31" xfId="1" applyBorder="1" applyAlignment="1" applyProtection="1">
      <alignment wrapText="1"/>
      <protection locked="0"/>
    </xf>
    <xf numFmtId="0" fontId="11" fillId="0" borderId="42" xfId="1" applyFont="1" applyBorder="1" applyAlignment="1" applyProtection="1">
      <alignment vertical="top"/>
    </xf>
    <xf numFmtId="2" fontId="11" fillId="0" borderId="0" xfId="1" applyNumberFormat="1" applyFont="1" applyProtection="1">
      <protection locked="0"/>
    </xf>
    <xf numFmtId="2" fontId="11" fillId="0" borderId="27" xfId="1" applyNumberFormat="1" applyFont="1" applyBorder="1" applyAlignment="1" applyProtection="1">
      <alignment wrapText="1"/>
      <protection locked="0"/>
    </xf>
    <xf numFmtId="0" fontId="11" fillId="0" borderId="5" xfId="1" applyFont="1" applyFill="1" applyBorder="1" applyProtection="1">
      <protection locked="0"/>
    </xf>
    <xf numFmtId="0" fontId="11" fillId="0" borderId="30" xfId="1" applyFont="1" applyBorder="1" applyAlignment="1" applyProtection="1">
      <alignment wrapText="1"/>
      <protection locked="0"/>
    </xf>
    <xf numFmtId="0" fontId="11" fillId="0" borderId="31" xfId="1" applyFont="1" applyBorder="1" applyAlignment="1" applyProtection="1">
      <alignment wrapText="1"/>
      <protection locked="0"/>
    </xf>
    <xf numFmtId="0" fontId="11" fillId="0" borderId="0" xfId="1" applyFont="1" applyFill="1" applyBorder="1" applyAlignment="1" applyProtection="1">
      <alignment horizontal="center"/>
      <protection locked="0"/>
    </xf>
    <xf numFmtId="0" fontId="11" fillId="0" borderId="7" xfId="1" applyFont="1" applyBorder="1" applyAlignment="1" applyProtection="1">
      <alignment vertical="top" wrapText="1"/>
      <protection locked="0"/>
    </xf>
    <xf numFmtId="0" fontId="11" fillId="0" borderId="41" xfId="1" applyFont="1" applyBorder="1" applyAlignment="1" applyProtection="1">
      <alignment vertical="top" wrapText="1"/>
      <protection locked="0"/>
    </xf>
    <xf numFmtId="0" fontId="11" fillId="0" borderId="25" xfId="1" applyFont="1" applyFill="1" applyBorder="1" applyProtection="1">
      <protection locked="0"/>
    </xf>
    <xf numFmtId="0" fontId="11" fillId="0" borderId="8" xfId="1" applyFont="1" applyFill="1" applyBorder="1" applyAlignment="1" applyProtection="1">
      <alignment vertical="top" wrapText="1"/>
      <protection locked="0"/>
    </xf>
    <xf numFmtId="0" fontId="11" fillId="0" borderId="34" xfId="1" applyFont="1" applyFill="1" applyBorder="1" applyAlignment="1" applyProtection="1">
      <alignment vertical="top" wrapText="1"/>
      <protection locked="0"/>
    </xf>
    <xf numFmtId="1" fontId="9" fillId="0" borderId="24" xfId="1" applyNumberFormat="1" applyFont="1" applyFill="1" applyBorder="1" applyAlignment="1" applyProtection="1">
      <alignment horizontal="center" vertical="center"/>
    </xf>
    <xf numFmtId="0" fontId="11" fillId="0" borderId="0" xfId="1" applyFont="1" applyBorder="1" applyAlignment="1" applyProtection="1">
      <alignment vertical="top" wrapText="1"/>
      <protection locked="0"/>
    </xf>
    <xf numFmtId="1" fontId="9" fillId="0" borderId="52" xfId="1" applyNumberFormat="1" applyFont="1" applyFill="1" applyBorder="1" applyAlignment="1" applyProtection="1">
      <alignment horizontal="center" vertical="center"/>
    </xf>
    <xf numFmtId="1" fontId="9" fillId="0" borderId="54" xfId="1" applyNumberFormat="1" applyFont="1" applyFill="1" applyBorder="1" applyAlignment="1" applyProtection="1">
      <alignment horizontal="center" vertical="center"/>
    </xf>
    <xf numFmtId="1" fontId="9" fillId="0" borderId="53" xfId="1" applyNumberFormat="1" applyFont="1" applyFill="1" applyBorder="1" applyAlignment="1" applyProtection="1">
      <alignment horizontal="center" vertical="center"/>
    </xf>
    <xf numFmtId="0" fontId="11" fillId="0" borderId="28" xfId="1" applyFont="1" applyBorder="1" applyProtection="1">
      <protection locked="0"/>
    </xf>
    <xf numFmtId="0" fontId="11" fillId="0" borderId="10" xfId="1" applyFont="1" applyBorder="1" applyProtection="1">
      <protection locked="0"/>
    </xf>
    <xf numFmtId="0" fontId="11" fillId="0" borderId="28" xfId="1" applyFont="1" applyBorder="1" applyAlignment="1" applyProtection="1">
      <alignment horizontal="center" wrapText="1"/>
      <protection locked="0"/>
    </xf>
    <xf numFmtId="1" fontId="11" fillId="0" borderId="24" xfId="1" applyNumberFormat="1" applyFont="1" applyFill="1" applyBorder="1" applyAlignment="1" applyProtection="1">
      <alignment horizontal="center" vertical="center"/>
    </xf>
    <xf numFmtId="1" fontId="11" fillId="0" borderId="52" xfId="1" applyNumberFormat="1" applyFont="1" applyFill="1" applyBorder="1" applyAlignment="1" applyProtection="1">
      <alignment horizontal="center" vertical="center"/>
    </xf>
    <xf numFmtId="0" fontId="14" fillId="0" borderId="8" xfId="1" applyFont="1" applyBorder="1" applyAlignment="1" applyProtection="1">
      <alignment horizontal="left" vertical="top" wrapText="1" indent="1"/>
      <protection locked="0"/>
    </xf>
    <xf numFmtId="0" fontId="14" fillId="0" borderId="34" xfId="1" applyFont="1" applyFill="1" applyBorder="1" applyAlignment="1" applyProtection="1">
      <alignment horizontal="left" vertical="top" wrapText="1" indent="1"/>
      <protection locked="0"/>
    </xf>
    <xf numFmtId="0" fontId="3" fillId="0" borderId="0" xfId="1" applyFont="1" applyFill="1" applyAlignment="1" applyProtection="1">
      <alignment horizontal="left" indent="1"/>
      <protection locked="0"/>
    </xf>
    <xf numFmtId="0" fontId="3" fillId="0" borderId="0" xfId="1" applyFont="1" applyAlignment="1" applyProtection="1">
      <alignment horizontal="left" indent="1"/>
      <protection locked="0"/>
    </xf>
    <xf numFmtId="0" fontId="11" fillId="0" borderId="8" xfId="1" applyFont="1" applyBorder="1" applyAlignment="1" applyProtection="1">
      <alignment horizontal="left" vertical="top"/>
    </xf>
    <xf numFmtId="14" fontId="11" fillId="0" borderId="8" xfId="1" applyNumberFormat="1" applyFont="1" applyBorder="1" applyAlignment="1" applyProtection="1">
      <alignment horizontal="center" vertical="top"/>
      <protection locked="0"/>
    </xf>
    <xf numFmtId="14" fontId="11" fillId="0" borderId="8" xfId="1" applyNumberFormat="1" applyFont="1" applyFill="1" applyBorder="1" applyAlignment="1" applyProtection="1">
      <alignment horizontal="center" vertical="top"/>
      <protection locked="0"/>
    </xf>
    <xf numFmtId="14" fontId="11" fillId="0" borderId="7" xfId="1" applyNumberFormat="1" applyFont="1" applyBorder="1" applyAlignment="1" applyProtection="1">
      <alignment horizontal="center" vertical="top"/>
      <protection locked="0"/>
    </xf>
    <xf numFmtId="14" fontId="11" fillId="0" borderId="0" xfId="1" applyNumberFormat="1" applyFont="1" applyBorder="1" applyAlignment="1" applyProtection="1">
      <alignment horizontal="center"/>
      <protection locked="0"/>
    </xf>
    <xf numFmtId="0" fontId="11" fillId="0" borderId="14" xfId="1" applyFont="1" applyBorder="1" applyAlignment="1" applyProtection="1">
      <alignment vertical="top"/>
    </xf>
    <xf numFmtId="0" fontId="11" fillId="0" borderId="29" xfId="1" applyFont="1" applyBorder="1" applyAlignment="1" applyProtection="1">
      <alignment horizontal="center" vertical="top" wrapText="1"/>
      <protection locked="0"/>
    </xf>
    <xf numFmtId="0" fontId="11" fillId="0" borderId="41" xfId="1" applyFont="1" applyBorder="1" applyAlignment="1" applyProtection="1">
      <alignment horizontal="center" vertical="top" wrapText="1"/>
      <protection locked="0"/>
    </xf>
    <xf numFmtId="14" fontId="11" fillId="0" borderId="0" xfId="1" applyNumberFormat="1" applyFont="1" applyBorder="1" applyAlignment="1" applyProtection="1">
      <alignment horizontal="center" vertical="top"/>
      <protection locked="0"/>
    </xf>
    <xf numFmtId="0" fontId="1" fillId="0" borderId="16" xfId="1" applyBorder="1" applyAlignment="1" applyProtection="1">
      <alignment horizontal="center"/>
      <protection locked="0"/>
    </xf>
    <xf numFmtId="0" fontId="1" fillId="0" borderId="0" xfId="1" applyFont="1" applyBorder="1" applyAlignment="1" applyProtection="1">
      <alignment horizontal="center"/>
      <protection locked="0"/>
    </xf>
    <xf numFmtId="0" fontId="1" fillId="0" borderId="0" xfId="1" applyFont="1" applyAlignment="1" applyProtection="1">
      <alignment horizontal="center"/>
      <protection locked="0"/>
    </xf>
    <xf numFmtId="164" fontId="17" fillId="2" borderId="0" xfId="1" applyNumberFormat="1" applyFont="1" applyFill="1" applyBorder="1" applyAlignment="1" applyProtection="1">
      <alignment horizontal="center" vertical="center"/>
      <protection locked="0"/>
    </xf>
    <xf numFmtId="14" fontId="14" fillId="0" borderId="8" xfId="1" applyNumberFormat="1" applyFont="1" applyBorder="1" applyAlignment="1" applyProtection="1">
      <alignment horizontal="center" vertical="top"/>
      <protection locked="0"/>
    </xf>
    <xf numFmtId="0" fontId="11" fillId="0" borderId="0" xfId="1" applyFont="1" applyFill="1" applyBorder="1" applyAlignment="1" applyProtection="1">
      <alignment vertical="top"/>
      <protection locked="0"/>
    </xf>
    <xf numFmtId="0" fontId="11" fillId="0" borderId="0" xfId="1" applyFont="1" applyFill="1" applyBorder="1" applyAlignment="1" applyProtection="1">
      <alignment vertical="top" wrapText="1"/>
      <protection locked="0"/>
    </xf>
    <xf numFmtId="0" fontId="11" fillId="0" borderId="7" xfId="1" applyFont="1" applyBorder="1" applyAlignment="1" applyProtection="1">
      <alignment vertical="top"/>
      <protection locked="0"/>
    </xf>
    <xf numFmtId="0" fontId="11" fillId="0" borderId="0" xfId="1" applyFont="1" applyFill="1" applyBorder="1" applyAlignment="1" applyProtection="1">
      <alignment wrapText="1"/>
      <protection locked="0"/>
    </xf>
    <xf numFmtId="22" fontId="11" fillId="0" borderId="0" xfId="1" applyNumberFormat="1" applyFont="1" applyFill="1" applyProtection="1">
      <protection locked="0"/>
    </xf>
    <xf numFmtId="0" fontId="11" fillId="0" borderId="0" xfId="1" applyFont="1" applyFill="1" applyProtection="1">
      <protection locked="0"/>
    </xf>
    <xf numFmtId="0" fontId="11" fillId="0" borderId="0" xfId="1" applyFont="1" applyFill="1" applyAlignment="1" applyProtection="1">
      <alignment wrapText="1"/>
      <protection locked="0"/>
    </xf>
    <xf numFmtId="0" fontId="11" fillId="2" borderId="0" xfId="1" applyFont="1" applyFill="1" applyProtection="1">
      <protection locked="0"/>
    </xf>
    <xf numFmtId="0" fontId="21" fillId="0" borderId="0" xfId="1" applyFont="1" applyFill="1" applyAlignment="1" applyProtection="1">
      <alignment wrapText="1"/>
      <protection locked="0"/>
    </xf>
    <xf numFmtId="0" fontId="21" fillId="0" borderId="0" xfId="1" applyFont="1" applyAlignment="1" applyProtection="1">
      <alignment wrapText="1"/>
      <protection locked="0"/>
    </xf>
    <xf numFmtId="0" fontId="11" fillId="0" borderId="0" xfId="1" applyFont="1" applyFill="1" applyAlignment="1" applyProtection="1">
      <alignment horizontal="left" indent="1"/>
      <protection locked="0"/>
    </xf>
    <xf numFmtId="0" fontId="11" fillId="0" borderId="0" xfId="1" applyFont="1" applyAlignment="1" applyProtection="1">
      <alignment horizontal="left" indent="1"/>
      <protection locked="0"/>
    </xf>
    <xf numFmtId="0" fontId="22" fillId="0" borderId="0" xfId="1" applyFont="1" applyAlignment="1" applyProtection="1">
      <alignment wrapText="1"/>
      <protection locked="0"/>
    </xf>
    <xf numFmtId="0" fontId="22" fillId="0" borderId="0" xfId="1" applyFont="1" applyProtection="1">
      <protection locked="0"/>
    </xf>
    <xf numFmtId="0" fontId="1" fillId="0" borderId="0" xfId="1" applyAlignment="1" applyProtection="1">
      <alignment horizontal="left" indent="1"/>
      <protection locked="0"/>
    </xf>
    <xf numFmtId="0" fontId="23" fillId="0" borderId="0" xfId="1" applyFont="1" applyFill="1" applyBorder="1" applyAlignment="1">
      <alignment horizontal="center" wrapText="1"/>
    </xf>
    <xf numFmtId="0" fontId="22" fillId="0" borderId="0" xfId="1" applyFont="1"/>
    <xf numFmtId="0" fontId="0" fillId="0" borderId="30" xfId="0" applyBorder="1"/>
    <xf numFmtId="14" fontId="1" fillId="0" borderId="0" xfId="1" applyNumberFormat="1" applyBorder="1" applyAlignment="1" applyProtection="1">
      <alignment horizontal="center" vertical="top"/>
      <protection locked="0"/>
    </xf>
    <xf numFmtId="14" fontId="1" fillId="0" borderId="0" xfId="1" applyNumberFormat="1" applyBorder="1" applyAlignment="1" applyProtection="1">
      <alignment horizontal="center"/>
      <protection locked="0"/>
    </xf>
    <xf numFmtId="0" fontId="9" fillId="0" borderId="0" xfId="1" applyFont="1" applyBorder="1" applyProtection="1">
      <protection locked="0"/>
    </xf>
    <xf numFmtId="0" fontId="9" fillId="0" borderId="0" xfId="1" applyFont="1" applyBorder="1" applyAlignment="1" applyProtection="1">
      <alignment horizontal="center"/>
      <protection locked="0"/>
    </xf>
    <xf numFmtId="1" fontId="9" fillId="0" borderId="0" xfId="1" applyNumberFormat="1" applyFont="1" applyFill="1" applyBorder="1" applyAlignment="1" applyProtection="1">
      <alignment horizontal="center" vertical="center"/>
    </xf>
    <xf numFmtId="1" fontId="9" fillId="0" borderId="68" xfId="1" applyNumberFormat="1" applyFont="1" applyFill="1" applyBorder="1" applyAlignment="1" applyProtection="1">
      <alignment horizontal="center" vertical="center"/>
    </xf>
    <xf numFmtId="0" fontId="11" fillId="0" borderId="69" xfId="1" applyFont="1" applyBorder="1" applyAlignment="1" applyProtection="1">
      <alignment vertical="top"/>
    </xf>
    <xf numFmtId="1" fontId="9" fillId="0" borderId="70" xfId="1" applyNumberFormat="1" applyFont="1" applyFill="1" applyBorder="1" applyAlignment="1" applyProtection="1">
      <alignment horizontal="center" vertical="center"/>
    </xf>
    <xf numFmtId="0" fontId="1" fillId="0" borderId="0" xfId="1" applyFont="1" applyBorder="1" applyAlignment="1" applyProtection="1">
      <alignment vertical="top" wrapText="1"/>
      <protection locked="0"/>
    </xf>
    <xf numFmtId="0" fontId="11" fillId="0" borderId="7" xfId="1" applyFont="1" applyBorder="1" applyAlignment="1" applyProtection="1">
      <alignment vertical="top"/>
    </xf>
    <xf numFmtId="1" fontId="11" fillId="0" borderId="68" xfId="1" applyNumberFormat="1" applyFont="1" applyFill="1" applyBorder="1" applyAlignment="1" applyProtection="1">
      <alignment horizontal="center" vertical="center"/>
    </xf>
    <xf numFmtId="14" fontId="11" fillId="0" borderId="69" xfId="1" applyNumberFormat="1" applyFont="1" applyFill="1" applyBorder="1" applyAlignment="1" applyProtection="1">
      <alignment horizontal="center" vertical="top"/>
      <protection locked="0"/>
    </xf>
    <xf numFmtId="0" fontId="11" fillId="0" borderId="69" xfId="1" applyFont="1" applyBorder="1" applyAlignment="1" applyProtection="1">
      <alignment horizontal="center" vertical="center" wrapText="1"/>
      <protection locked="0"/>
    </xf>
    <xf numFmtId="0" fontId="11" fillId="0" borderId="69" xfId="1" applyFont="1" applyBorder="1" applyAlignment="1" applyProtection="1">
      <alignment vertical="top" wrapText="1"/>
      <protection locked="0"/>
    </xf>
    <xf numFmtId="0" fontId="11" fillId="0" borderId="72" xfId="1" applyFont="1" applyBorder="1" applyAlignment="1" applyProtection="1">
      <alignment horizontal="left" vertical="top" wrapText="1" indent="1"/>
      <protection locked="0"/>
    </xf>
    <xf numFmtId="0" fontId="11" fillId="0" borderId="73" xfId="1" applyFont="1" applyBorder="1" applyAlignment="1" applyProtection="1">
      <alignment horizontal="left" vertical="top" wrapText="1" indent="1"/>
      <protection locked="0"/>
    </xf>
    <xf numFmtId="0" fontId="11" fillId="0" borderId="51" xfId="1" applyFont="1" applyBorder="1" applyAlignment="1" applyProtection="1">
      <alignment horizontal="left" vertical="top" wrapText="1" indent="1"/>
      <protection locked="0"/>
    </xf>
    <xf numFmtId="14" fontId="11" fillId="0" borderId="21" xfId="1" applyNumberFormat="1" applyFont="1" applyBorder="1" applyAlignment="1" applyProtection="1">
      <alignment horizontal="center" vertical="top"/>
      <protection locked="0"/>
    </xf>
    <xf numFmtId="14" fontId="11" fillId="0" borderId="21" xfId="1" applyNumberFormat="1" applyFont="1" applyFill="1" applyBorder="1" applyAlignment="1" applyProtection="1">
      <alignment horizontal="center" vertical="top"/>
      <protection locked="0"/>
    </xf>
    <xf numFmtId="1" fontId="11" fillId="0" borderId="53" xfId="1" applyNumberFormat="1" applyFont="1" applyFill="1" applyBorder="1" applyAlignment="1" applyProtection="1">
      <alignment horizontal="center" vertical="center"/>
    </xf>
    <xf numFmtId="0" fontId="11" fillId="0" borderId="21" xfId="1" applyFont="1" applyBorder="1" applyAlignment="1" applyProtection="1">
      <alignment vertical="top" wrapText="1"/>
      <protection locked="0"/>
    </xf>
    <xf numFmtId="0" fontId="11" fillId="0" borderId="21" xfId="1" applyFont="1" applyBorder="1" applyAlignment="1" applyProtection="1">
      <alignment vertical="top"/>
    </xf>
    <xf numFmtId="14" fontId="11" fillId="0" borderId="69" xfId="1" applyNumberFormat="1" applyFont="1" applyBorder="1" applyAlignment="1" applyProtection="1">
      <alignment horizontal="center" vertical="top"/>
      <protection locked="0"/>
    </xf>
    <xf numFmtId="0" fontId="11" fillId="0" borderId="72" xfId="1" applyFont="1" applyBorder="1" applyAlignment="1" applyProtection="1">
      <alignment horizontal="left" vertical="top" wrapText="1" indent="2"/>
      <protection locked="0"/>
    </xf>
    <xf numFmtId="0" fontId="11" fillId="0" borderId="28" xfId="1" applyFont="1" applyBorder="1" applyAlignment="1" applyProtection="1">
      <alignment horizontal="left" vertical="top" wrapText="1" indent="1"/>
      <protection locked="0"/>
    </xf>
    <xf numFmtId="0" fontId="11" fillId="0" borderId="72" xfId="1" applyFont="1" applyFill="1" applyBorder="1" applyAlignment="1" applyProtection="1">
      <alignment horizontal="left" vertical="top" wrapText="1" indent="1"/>
      <protection locked="0"/>
    </xf>
    <xf numFmtId="0" fontId="11" fillId="0" borderId="72" xfId="1" applyFont="1" applyFill="1" applyBorder="1" applyAlignment="1" applyProtection="1">
      <alignment horizontal="left" vertical="top" wrapText="1" indent="2"/>
      <protection locked="0"/>
    </xf>
    <xf numFmtId="0" fontId="11" fillId="0" borderId="74" xfId="1" applyFont="1" applyFill="1" applyBorder="1" applyAlignment="1" applyProtection="1">
      <alignment horizontal="left" vertical="top" wrapText="1" indent="1"/>
      <protection locked="0"/>
    </xf>
    <xf numFmtId="0" fontId="11" fillId="0" borderId="74" xfId="1" applyFont="1" applyBorder="1" applyAlignment="1" applyProtection="1">
      <alignment horizontal="left" vertical="top" wrapText="1" indent="1"/>
      <protection locked="0"/>
    </xf>
    <xf numFmtId="0" fontId="11" fillId="0" borderId="72" xfId="1" applyFont="1" applyBorder="1" applyAlignment="1" applyProtection="1">
      <alignment horizontal="left" vertical="center" wrapText="1" indent="1"/>
      <protection locked="0"/>
    </xf>
    <xf numFmtId="0" fontId="11" fillId="0" borderId="51" xfId="1" applyFont="1" applyBorder="1" applyAlignment="1" applyProtection="1">
      <alignment horizontal="left" vertical="center" wrapText="1" indent="1"/>
      <protection locked="0"/>
    </xf>
    <xf numFmtId="0" fontId="11" fillId="0" borderId="21" xfId="1" applyFont="1" applyFill="1" applyBorder="1" applyAlignment="1" applyProtection="1">
      <alignment vertical="top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0" fontId="15" fillId="0" borderId="51" xfId="1" applyFont="1" applyBorder="1" applyAlignment="1" applyProtection="1">
      <alignment horizontal="left" vertical="top" wrapText="1" indent="1"/>
      <protection locked="0"/>
    </xf>
    <xf numFmtId="0" fontId="11" fillId="0" borderId="44" xfId="1" applyFont="1" applyFill="1" applyBorder="1" applyAlignment="1" applyProtection="1">
      <alignment vertical="center" wrapText="1"/>
      <protection locked="0"/>
    </xf>
    <xf numFmtId="0" fontId="11" fillId="0" borderId="76" xfId="1" applyFont="1" applyFill="1" applyBorder="1" applyAlignment="1" applyProtection="1">
      <alignment vertical="top" wrapText="1"/>
      <protection locked="0"/>
    </xf>
    <xf numFmtId="0" fontId="11" fillId="0" borderId="44" xfId="1" applyFont="1" applyFill="1" applyBorder="1" applyAlignment="1" applyProtection="1">
      <alignment vertical="top" wrapText="1"/>
      <protection locked="0"/>
    </xf>
    <xf numFmtId="0" fontId="11" fillId="0" borderId="44" xfId="1" applyFont="1" applyBorder="1" applyAlignment="1" applyProtection="1">
      <alignment vertical="top" wrapText="1"/>
      <protection locked="0"/>
    </xf>
    <xf numFmtId="0" fontId="11" fillId="0" borderId="76" xfId="1" applyFont="1" applyBorder="1" applyAlignment="1" applyProtection="1">
      <alignment vertical="top" wrapText="1"/>
      <protection locked="0"/>
    </xf>
    <xf numFmtId="14" fontId="14" fillId="2" borderId="0" xfId="1" applyNumberFormat="1" applyFont="1" applyFill="1" applyBorder="1" applyAlignment="1" applyProtection="1">
      <alignment horizontal="center"/>
      <protection locked="0"/>
    </xf>
    <xf numFmtId="14" fontId="14" fillId="2" borderId="6" xfId="1" applyNumberFormat="1" applyFont="1" applyFill="1" applyBorder="1" applyAlignment="1" applyProtection="1">
      <alignment horizontal="center"/>
      <protection locked="0"/>
    </xf>
    <xf numFmtId="0" fontId="11" fillId="0" borderId="69" xfId="1" applyFont="1" applyBorder="1" applyAlignment="1" applyProtection="1">
      <alignment vertical="top"/>
      <protection locked="0"/>
    </xf>
    <xf numFmtId="14" fontId="11" fillId="0" borderId="1" xfId="1" applyNumberFormat="1" applyFont="1" applyBorder="1" applyAlignment="1" applyProtection="1">
      <alignment horizontal="center"/>
      <protection locked="0"/>
    </xf>
    <xf numFmtId="0" fontId="11" fillId="0" borderId="21" xfId="1" applyFont="1" applyBorder="1" applyAlignment="1" applyProtection="1">
      <alignment vertical="top"/>
      <protection locked="0"/>
    </xf>
    <xf numFmtId="0" fontId="11" fillId="0" borderId="72" xfId="1" applyFont="1" applyBorder="1" applyAlignment="1" applyProtection="1">
      <alignment horizontal="left" vertical="top" indent="1"/>
      <protection locked="0"/>
    </xf>
    <xf numFmtId="14" fontId="11" fillId="0" borderId="6" xfId="1" applyNumberFormat="1" applyFont="1" applyBorder="1" applyAlignment="1" applyProtection="1">
      <alignment horizontal="center"/>
      <protection locked="0"/>
    </xf>
    <xf numFmtId="0" fontId="11" fillId="0" borderId="6" xfId="1" applyFont="1" applyBorder="1" applyProtection="1">
      <protection locked="0"/>
    </xf>
    <xf numFmtId="0" fontId="14" fillId="0" borderId="72" xfId="1" applyFont="1" applyBorder="1" applyAlignment="1" applyProtection="1">
      <alignment horizontal="left" vertical="top" wrapText="1" indent="1"/>
      <protection locked="0"/>
    </xf>
    <xf numFmtId="0" fontId="11" fillId="0" borderId="6" xfId="1" applyFont="1" applyBorder="1" applyAlignment="1" applyProtection="1">
      <alignment wrapText="1"/>
      <protection locked="0"/>
    </xf>
    <xf numFmtId="0" fontId="11" fillId="0" borderId="72" xfId="1" applyFont="1" applyBorder="1" applyAlignment="1" applyProtection="1">
      <alignment horizontal="left" vertical="top" wrapText="1" indent="3"/>
      <protection locked="0"/>
    </xf>
    <xf numFmtId="0" fontId="15" fillId="0" borderId="44" xfId="1" applyFont="1" applyBorder="1" applyAlignment="1" applyProtection="1">
      <alignment vertical="top" wrapText="1"/>
      <protection locked="0"/>
    </xf>
    <xf numFmtId="0" fontId="11" fillId="0" borderId="74" xfId="1" applyFont="1" applyBorder="1" applyAlignment="1" applyProtection="1">
      <alignment horizontal="left" vertical="top" indent="2"/>
      <protection locked="0"/>
    </xf>
    <xf numFmtId="14" fontId="14" fillId="2" borderId="69" xfId="1" applyNumberFormat="1" applyFont="1" applyFill="1" applyBorder="1" applyAlignment="1" applyProtection="1">
      <alignment horizontal="center"/>
      <protection locked="0"/>
    </xf>
    <xf numFmtId="14" fontId="11" fillId="0" borderId="8" xfId="1" applyNumberFormat="1" applyFont="1" applyFill="1" applyBorder="1" applyAlignment="1" applyProtection="1">
      <alignment horizontal="center"/>
      <protection locked="0"/>
    </xf>
    <xf numFmtId="14" fontId="11" fillId="0" borderId="21" xfId="1" applyNumberFormat="1" applyFont="1" applyFill="1" applyBorder="1" applyAlignment="1" applyProtection="1">
      <alignment horizontal="center"/>
      <protection locked="0"/>
    </xf>
    <xf numFmtId="14" fontId="11" fillId="0" borderId="8" xfId="1" applyNumberFormat="1" applyFont="1" applyBorder="1" applyAlignment="1" applyProtection="1">
      <alignment horizontal="center"/>
      <protection locked="0"/>
    </xf>
    <xf numFmtId="14" fontId="11" fillId="0" borderId="21" xfId="1" applyNumberFormat="1" applyFont="1" applyBorder="1" applyAlignment="1" applyProtection="1">
      <alignment horizontal="center"/>
      <protection locked="0"/>
    </xf>
    <xf numFmtId="0" fontId="11" fillId="0" borderId="8" xfId="1" applyFont="1" applyBorder="1" applyAlignment="1" applyProtection="1">
      <alignment horizontal="center" wrapText="1"/>
      <protection locked="0"/>
    </xf>
    <xf numFmtId="0" fontId="11" fillId="0" borderId="21" xfId="1" applyFont="1" applyBorder="1" applyAlignment="1" applyProtection="1">
      <alignment horizontal="center" wrapText="1"/>
      <protection locked="0"/>
    </xf>
    <xf numFmtId="14" fontId="11" fillId="0" borderId="8" xfId="1" applyNumberFormat="1" applyFont="1" applyBorder="1" applyAlignment="1" applyProtection="1">
      <alignment horizontal="center" wrapText="1"/>
      <protection locked="0"/>
    </xf>
    <xf numFmtId="0" fontId="11" fillId="0" borderId="77" xfId="1" applyFont="1" applyBorder="1" applyAlignment="1" applyProtection="1">
      <alignment horizontal="left" vertical="top" indent="1"/>
      <protection locked="0"/>
    </xf>
    <xf numFmtId="14" fontId="11" fillId="0" borderId="1" xfId="1" applyNumberFormat="1" applyFont="1" applyFill="1" applyBorder="1" applyAlignment="1" applyProtection="1">
      <alignment horizontal="center"/>
      <protection locked="0"/>
    </xf>
    <xf numFmtId="0" fontId="11" fillId="0" borderId="51" xfId="1" applyFont="1" applyBorder="1" applyAlignment="1" applyProtection="1">
      <alignment horizontal="left" wrapText="1" indent="1"/>
      <protection locked="0"/>
    </xf>
    <xf numFmtId="0" fontId="11" fillId="0" borderId="72" xfId="1" applyFont="1" applyBorder="1" applyAlignment="1" applyProtection="1">
      <alignment horizontal="left" vertical="top"/>
      <protection locked="0"/>
    </xf>
    <xf numFmtId="0" fontId="11" fillId="0" borderId="72" xfId="1" applyFont="1" applyFill="1" applyBorder="1" applyAlignment="1" applyProtection="1">
      <alignment horizontal="left" vertical="top" wrapText="1" indent="3"/>
      <protection locked="0"/>
    </xf>
    <xf numFmtId="0" fontId="14" fillId="0" borderId="8" xfId="1" applyFont="1" applyBorder="1" applyAlignment="1" applyProtection="1">
      <alignment vertical="top"/>
      <protection locked="0"/>
    </xf>
    <xf numFmtId="0" fontId="11" fillId="0" borderId="41" xfId="1" applyFont="1" applyFill="1" applyBorder="1" applyAlignment="1" applyProtection="1">
      <alignment vertical="top" wrapText="1"/>
      <protection locked="0"/>
    </xf>
    <xf numFmtId="14" fontId="11" fillId="0" borderId="7" xfId="1" applyNumberFormat="1" applyFont="1" applyFill="1" applyBorder="1" applyAlignment="1" applyProtection="1">
      <alignment horizontal="center"/>
      <protection locked="0"/>
    </xf>
    <xf numFmtId="14" fontId="11" fillId="0" borderId="8" xfId="1" applyNumberFormat="1" applyFont="1" applyBorder="1" applyAlignment="1" applyProtection="1">
      <alignment vertical="top"/>
      <protection locked="0"/>
    </xf>
    <xf numFmtId="0" fontId="11" fillId="0" borderId="45" xfId="1" applyFont="1" applyBorder="1" applyAlignment="1" applyProtection="1">
      <alignment horizontal="center" vertical="top" wrapText="1"/>
      <protection locked="0"/>
    </xf>
    <xf numFmtId="0" fontId="7" fillId="0" borderId="0" xfId="1" applyFont="1" applyFill="1" applyBorder="1" applyAlignment="1" applyProtection="1">
      <alignment vertical="top" wrapText="1"/>
      <protection locked="0"/>
    </xf>
    <xf numFmtId="0" fontId="1" fillId="0" borderId="0" xfId="1" applyBorder="1" applyAlignment="1" applyProtection="1">
      <alignment horizontal="center" vertical="top"/>
      <protection locked="0"/>
    </xf>
    <xf numFmtId="0" fontId="1" fillId="3" borderId="0" xfId="1" applyFont="1" applyFill="1" applyBorder="1" applyAlignment="1" applyProtection="1">
      <alignment vertical="top" wrapText="1"/>
      <protection locked="0"/>
    </xf>
    <xf numFmtId="0" fontId="1" fillId="0" borderId="0" xfId="1" applyFont="1" applyBorder="1" applyProtection="1">
      <protection locked="0"/>
    </xf>
    <xf numFmtId="0" fontId="11" fillId="0" borderId="23" xfId="1" applyFont="1" applyBorder="1" applyAlignment="1" applyProtection="1">
      <alignment horizontal="left" vertical="top" wrapText="1" indent="2"/>
      <protection locked="0"/>
    </xf>
    <xf numFmtId="0" fontId="14" fillId="0" borderId="7" xfId="1" applyFont="1" applyBorder="1" applyAlignment="1" applyProtection="1">
      <alignment vertical="top"/>
      <protection locked="0"/>
    </xf>
    <xf numFmtId="0" fontId="11" fillId="0" borderId="78" xfId="1" applyFont="1" applyBorder="1" applyAlignment="1" applyProtection="1">
      <alignment horizontal="left" vertical="top" wrapText="1" indent="1"/>
      <protection locked="0"/>
    </xf>
    <xf numFmtId="14" fontId="11" fillId="0" borderId="16" xfId="1" applyNumberFormat="1" applyFont="1" applyBorder="1" applyAlignment="1" applyProtection="1">
      <alignment horizontal="center"/>
      <protection locked="0"/>
    </xf>
    <xf numFmtId="14" fontId="11" fillId="0" borderId="42" xfId="1" applyNumberFormat="1" applyFont="1" applyBorder="1" applyAlignment="1" applyProtection="1">
      <alignment horizontal="center"/>
      <protection locked="0"/>
    </xf>
    <xf numFmtId="14" fontId="11" fillId="0" borderId="42" xfId="1" applyNumberFormat="1" applyFont="1" applyBorder="1" applyAlignment="1" applyProtection="1">
      <alignment horizontal="center" vertical="top"/>
      <protection locked="0"/>
    </xf>
    <xf numFmtId="0" fontId="11" fillId="0" borderId="42" xfId="1" applyFont="1" applyBorder="1" applyAlignment="1" applyProtection="1">
      <alignment vertical="top"/>
      <protection locked="0"/>
    </xf>
    <xf numFmtId="0" fontId="11" fillId="0" borderId="42" xfId="1" applyFont="1" applyBorder="1" applyAlignment="1" applyProtection="1">
      <alignment vertical="top" wrapText="1"/>
      <protection locked="0"/>
    </xf>
    <xf numFmtId="0" fontId="11" fillId="0" borderId="43" xfId="1" applyFont="1" applyBorder="1" applyAlignment="1" applyProtection="1">
      <alignment vertical="top" wrapText="1"/>
      <protection locked="0"/>
    </xf>
    <xf numFmtId="0" fontId="11" fillId="0" borderId="14" xfId="1" applyFont="1" applyBorder="1" applyAlignment="1" applyProtection="1">
      <alignment vertical="top"/>
      <protection locked="0"/>
    </xf>
    <xf numFmtId="0" fontId="11" fillId="0" borderId="14" xfId="1" applyFont="1" applyBorder="1" applyAlignment="1" applyProtection="1">
      <alignment vertical="top" wrapText="1"/>
      <protection locked="0"/>
    </xf>
    <xf numFmtId="1" fontId="9" fillId="0" borderId="79" xfId="1" applyNumberFormat="1" applyFont="1" applyFill="1" applyBorder="1" applyAlignment="1" applyProtection="1">
      <alignment horizontal="center" vertical="center"/>
    </xf>
    <xf numFmtId="0" fontId="24" fillId="0" borderId="41" xfId="1" applyFont="1" applyBorder="1" applyAlignment="1" applyProtection="1">
      <alignment horizontal="center" vertical="top" wrapText="1"/>
      <protection locked="0"/>
    </xf>
    <xf numFmtId="14" fontId="11" fillId="0" borderId="21" xfId="1" applyNumberFormat="1" applyFont="1" applyBorder="1" applyAlignment="1" applyProtection="1">
      <alignment vertical="top"/>
      <protection locked="0"/>
    </xf>
    <xf numFmtId="14" fontId="11" fillId="0" borderId="7" xfId="1" applyNumberFormat="1" applyFont="1" applyBorder="1" applyAlignment="1" applyProtection="1">
      <alignment vertical="top"/>
      <protection locked="0"/>
    </xf>
    <xf numFmtId="14" fontId="1" fillId="0" borderId="0" xfId="1" applyNumberFormat="1" applyAlignment="1" applyProtection="1">
      <alignment horizontal="center"/>
      <protection locked="0"/>
    </xf>
    <xf numFmtId="0" fontId="0" fillId="0" borderId="25" xfId="0" quotePrefix="1" applyBorder="1"/>
    <xf numFmtId="0" fontId="0" fillId="0" borderId="0" xfId="0" applyBorder="1"/>
    <xf numFmtId="0" fontId="0" fillId="0" borderId="26" xfId="0" quotePrefix="1" applyBorder="1"/>
    <xf numFmtId="0" fontId="0" fillId="0" borderId="16" xfId="0" applyBorder="1"/>
    <xf numFmtId="0" fontId="0" fillId="0" borderId="31" xfId="0" applyBorder="1"/>
    <xf numFmtId="0" fontId="0" fillId="4" borderId="0" xfId="0" applyFill="1"/>
    <xf numFmtId="0" fontId="11" fillId="0" borderId="10" xfId="1" applyFont="1" applyFill="1" applyBorder="1" applyProtection="1">
      <protection locked="0"/>
    </xf>
    <xf numFmtId="0" fontId="13" fillId="0" borderId="39" xfId="1" applyFont="1" applyBorder="1" applyAlignment="1" applyProtection="1">
      <alignment vertical="center" textRotation="90"/>
      <protection locked="0"/>
    </xf>
    <xf numFmtId="0" fontId="13" fillId="0" borderId="46" xfId="1" applyFont="1" applyBorder="1" applyAlignment="1" applyProtection="1">
      <alignment vertical="center" textRotation="90"/>
      <protection locked="0"/>
    </xf>
    <xf numFmtId="1" fontId="9" fillId="0" borderId="8" xfId="1" applyNumberFormat="1" applyFont="1" applyFill="1" applyBorder="1" applyAlignment="1" applyProtection="1">
      <alignment horizontal="center" vertical="center"/>
    </xf>
    <xf numFmtId="0" fontId="11" fillId="0" borderId="11" xfId="1" applyFont="1" applyFill="1" applyBorder="1" applyAlignment="1" applyProtection="1">
      <alignment wrapText="1"/>
      <protection locked="0"/>
    </xf>
    <xf numFmtId="0" fontId="11" fillId="0" borderId="11" xfId="1" applyFont="1" applyFill="1" applyBorder="1" applyProtection="1">
      <protection locked="0"/>
    </xf>
    <xf numFmtId="0" fontId="11" fillId="0" borderId="89" xfId="1" applyFont="1" applyFill="1" applyBorder="1" applyProtection="1">
      <protection locked="0"/>
    </xf>
    <xf numFmtId="0" fontId="14" fillId="0" borderId="25" xfId="1" applyFont="1" applyFill="1" applyBorder="1" applyProtection="1">
      <protection locked="0"/>
    </xf>
    <xf numFmtId="0" fontId="16" fillId="0" borderId="11" xfId="1" applyFont="1" applyFill="1" applyBorder="1" applyAlignment="1" applyProtection="1">
      <alignment wrapText="1"/>
      <protection locked="0"/>
    </xf>
    <xf numFmtId="0" fontId="12" fillId="0" borderId="25" xfId="1" applyFont="1" applyFill="1" applyBorder="1" applyProtection="1">
      <protection locked="0"/>
    </xf>
    <xf numFmtId="0" fontId="12" fillId="0" borderId="10" xfId="1" applyFont="1" applyFill="1" applyBorder="1" applyProtection="1">
      <protection locked="0"/>
    </xf>
    <xf numFmtId="0" fontId="12" fillId="0" borderId="0" xfId="1" applyFont="1" applyFill="1" applyBorder="1" applyProtection="1">
      <protection locked="0"/>
    </xf>
    <xf numFmtId="0" fontId="12" fillId="0" borderId="11" xfId="1" applyFont="1" applyFill="1" applyBorder="1" applyAlignment="1" applyProtection="1">
      <alignment wrapText="1"/>
      <protection locked="0"/>
    </xf>
    <xf numFmtId="0" fontId="12" fillId="0" borderId="11" xfId="1" applyFont="1" applyFill="1" applyBorder="1" applyProtection="1">
      <protection locked="0"/>
    </xf>
    <xf numFmtId="0" fontId="12" fillId="0" borderId="89" xfId="1" applyFont="1" applyFill="1" applyBorder="1" applyProtection="1">
      <protection locked="0"/>
    </xf>
    <xf numFmtId="14" fontId="11" fillId="0" borderId="11" xfId="1" applyNumberFormat="1" applyFont="1" applyFill="1" applyBorder="1" applyProtection="1">
      <protection locked="0"/>
    </xf>
    <xf numFmtId="0" fontId="14" fillId="0" borderId="0" xfId="1" applyFont="1" applyFill="1" applyBorder="1" applyProtection="1">
      <protection locked="0"/>
    </xf>
    <xf numFmtId="14" fontId="11" fillId="0" borderId="89" xfId="1" applyNumberFormat="1" applyFont="1" applyFill="1" applyBorder="1" applyProtection="1">
      <protection locked="0"/>
    </xf>
    <xf numFmtId="0" fontId="11" fillId="0" borderId="66" xfId="1" applyFont="1" applyFill="1" applyBorder="1" applyProtection="1">
      <protection locked="0"/>
    </xf>
    <xf numFmtId="0" fontId="11" fillId="0" borderId="56" xfId="1" applyFont="1" applyFill="1" applyBorder="1" applyProtection="1">
      <protection locked="0"/>
    </xf>
    <xf numFmtId="0" fontId="11" fillId="0" borderId="90" xfId="1" applyFont="1" applyFill="1" applyBorder="1" applyAlignment="1" applyProtection="1">
      <alignment wrapText="1"/>
      <protection locked="0"/>
    </xf>
    <xf numFmtId="14" fontId="11" fillId="0" borderId="90" xfId="1" applyNumberFormat="1" applyFont="1" applyFill="1" applyBorder="1" applyProtection="1">
      <protection locked="0"/>
    </xf>
    <xf numFmtId="14" fontId="11" fillId="0" borderId="91" xfId="1" applyNumberFormat="1" applyFont="1" applyFill="1" applyBorder="1" applyProtection="1">
      <protection locked="0"/>
    </xf>
    <xf numFmtId="14" fontId="11" fillId="0" borderId="0" xfId="1" applyNumberFormat="1" applyFont="1" applyFill="1" applyBorder="1" applyProtection="1">
      <protection locked="0"/>
    </xf>
    <xf numFmtId="0" fontId="11" fillId="0" borderId="11" xfId="1" applyFont="1" applyBorder="1" applyAlignment="1" applyProtection="1">
      <protection locked="0"/>
    </xf>
    <xf numFmtId="0" fontId="11" fillId="0" borderId="89" xfId="1" applyFont="1" applyBorder="1" applyAlignment="1" applyProtection="1">
      <alignment horizontal="center"/>
      <protection locked="0"/>
    </xf>
    <xf numFmtId="0" fontId="1" fillId="0" borderId="59" xfId="1" applyBorder="1" applyProtection="1">
      <protection locked="0"/>
    </xf>
    <xf numFmtId="14" fontId="1" fillId="0" borderId="16" xfId="1" applyNumberFormat="1" applyBorder="1" applyAlignment="1" applyProtection="1">
      <alignment wrapText="1"/>
      <protection locked="0"/>
    </xf>
    <xf numFmtId="0" fontId="11" fillId="0" borderId="34" xfId="1" applyFont="1" applyBorder="1" applyAlignment="1" applyProtection="1">
      <alignment horizontal="center" vertical="top" wrapText="1"/>
      <protection locked="0"/>
    </xf>
    <xf numFmtId="14" fontId="11" fillId="0" borderId="42" xfId="1" applyNumberFormat="1" applyFont="1" applyBorder="1" applyAlignment="1" applyProtection="1">
      <alignment vertical="top"/>
      <protection locked="0"/>
    </xf>
    <xf numFmtId="0" fontId="11" fillId="0" borderId="31" xfId="1" applyFont="1" applyBorder="1" applyAlignment="1" applyProtection="1">
      <alignment horizontal="center" vertical="top" wrapText="1"/>
      <protection locked="0"/>
    </xf>
    <xf numFmtId="14" fontId="14" fillId="2" borderId="69" xfId="1" applyNumberFormat="1" applyFont="1" applyFill="1" applyBorder="1" applyAlignment="1" applyProtection="1">
      <alignment horizontal="center" vertical="top"/>
      <protection locked="0"/>
    </xf>
    <xf numFmtId="0" fontId="14" fillId="0" borderId="69" xfId="1" applyFont="1" applyBorder="1" applyAlignment="1" applyProtection="1">
      <alignment vertical="top"/>
      <protection locked="0"/>
    </xf>
    <xf numFmtId="14" fontId="14" fillId="2" borderId="7" xfId="1" applyNumberFormat="1" applyFont="1" applyFill="1" applyBorder="1" applyAlignment="1" applyProtection="1">
      <alignment horizontal="center" vertical="top"/>
      <protection locked="0"/>
    </xf>
    <xf numFmtId="0" fontId="14" fillId="0" borderId="42" xfId="1" applyFont="1" applyBorder="1" applyAlignment="1" applyProtection="1">
      <alignment vertical="top"/>
      <protection locked="0"/>
    </xf>
    <xf numFmtId="0" fontId="11" fillId="0" borderId="21" xfId="1" applyFont="1" applyBorder="1" applyAlignment="1" applyProtection="1">
      <alignment horizontal="left" vertical="top"/>
    </xf>
    <xf numFmtId="0" fontId="11" fillId="0" borderId="76" xfId="1" applyFont="1" applyBorder="1" applyAlignment="1" applyProtection="1">
      <alignment horizontal="center" vertical="top" wrapText="1"/>
      <protection locked="0"/>
    </xf>
    <xf numFmtId="14" fontId="11" fillId="2" borderId="6" xfId="1" applyNumberFormat="1" applyFont="1" applyFill="1" applyBorder="1" applyAlignment="1" applyProtection="1">
      <alignment horizontal="center"/>
      <protection locked="0"/>
    </xf>
    <xf numFmtId="14" fontId="11" fillId="0" borderId="14" xfId="1" applyNumberFormat="1" applyFont="1" applyBorder="1" applyAlignment="1" applyProtection="1">
      <alignment vertical="top"/>
      <protection locked="0"/>
    </xf>
    <xf numFmtId="14" fontId="11" fillId="0" borderId="69" xfId="1" applyNumberFormat="1" applyFont="1" applyBorder="1" applyAlignment="1" applyProtection="1">
      <alignment vertical="top"/>
      <protection locked="0"/>
    </xf>
    <xf numFmtId="1" fontId="9" fillId="0" borderId="1" xfId="1" applyNumberFormat="1" applyFont="1" applyFill="1" applyBorder="1" applyAlignment="1" applyProtection="1">
      <alignment horizontal="center" vertical="center"/>
    </xf>
    <xf numFmtId="0" fontId="11" fillId="0" borderId="1" xfId="1" applyFont="1" applyBorder="1" applyAlignment="1" applyProtection="1">
      <alignment vertical="top"/>
    </xf>
    <xf numFmtId="1" fontId="11" fillId="0" borderId="54" xfId="1" applyNumberFormat="1" applyFont="1" applyFill="1" applyBorder="1" applyAlignment="1" applyProtection="1">
      <alignment horizontal="center" vertical="center"/>
    </xf>
    <xf numFmtId="0" fontId="11" fillId="0" borderId="72" xfId="1" applyFont="1" applyFill="1" applyBorder="1" applyAlignment="1" applyProtection="1">
      <alignment horizontal="left" vertical="top" indent="1"/>
      <protection locked="0"/>
    </xf>
    <xf numFmtId="14" fontId="11" fillId="0" borderId="42" xfId="1" applyNumberFormat="1" applyFont="1" applyFill="1" applyBorder="1" applyAlignment="1" applyProtection="1">
      <alignment horizontal="center"/>
      <protection locked="0"/>
    </xf>
    <xf numFmtId="14" fontId="1" fillId="0" borderId="0" xfId="1" applyNumberFormat="1" applyFont="1" applyBorder="1" applyAlignment="1" applyProtection="1">
      <alignment horizontal="center" vertical="top"/>
      <protection locked="0"/>
    </xf>
    <xf numFmtId="0" fontId="11" fillId="0" borderId="21" xfId="1" applyFont="1" applyBorder="1" applyAlignment="1" applyProtection="1">
      <alignment horizontal="left" vertical="top" wrapText="1" indent="1"/>
      <protection locked="0"/>
    </xf>
    <xf numFmtId="14" fontId="11" fillId="0" borderId="0" xfId="1" applyNumberFormat="1" applyFont="1" applyBorder="1" applyAlignment="1" applyProtection="1">
      <alignment vertical="top"/>
      <protection locked="0"/>
    </xf>
    <xf numFmtId="0" fontId="11" fillId="0" borderId="0" xfId="1" applyFont="1" applyBorder="1" applyAlignment="1" applyProtection="1">
      <alignment vertical="top"/>
      <protection locked="0"/>
    </xf>
    <xf numFmtId="0" fontId="11" fillId="0" borderId="73" xfId="1" applyFont="1" applyBorder="1" applyAlignment="1" applyProtection="1">
      <alignment horizontal="left" vertical="top" wrapText="1" indent="2"/>
      <protection locked="0"/>
    </xf>
    <xf numFmtId="0" fontId="11" fillId="0" borderId="6" xfId="1" applyFont="1" applyBorder="1" applyAlignment="1" applyProtection="1">
      <alignment vertical="top" wrapText="1"/>
      <protection locked="0"/>
    </xf>
    <xf numFmtId="0" fontId="11" fillId="3" borderId="0" xfId="1" applyFont="1" applyFill="1" applyBorder="1" applyAlignment="1" applyProtection="1">
      <alignment horizontal="center"/>
      <protection locked="0"/>
    </xf>
    <xf numFmtId="14" fontId="11" fillId="0" borderId="1" xfId="1" applyNumberFormat="1" applyFont="1" applyBorder="1" applyAlignment="1" applyProtection="1">
      <alignment horizontal="center" vertical="top"/>
      <protection locked="0"/>
    </xf>
    <xf numFmtId="0" fontId="11" fillId="0" borderId="0" xfId="1" applyFont="1" applyAlignment="1" applyProtection="1">
      <alignment horizontal="left" wrapText="1" indent="1"/>
      <protection locked="0"/>
    </xf>
    <xf numFmtId="0" fontId="11" fillId="0" borderId="6" xfId="1" applyFont="1" applyBorder="1" applyAlignment="1" applyProtection="1">
      <alignment horizontal="center"/>
      <protection locked="0"/>
    </xf>
    <xf numFmtId="0" fontId="11" fillId="0" borderId="8" xfId="1" applyFont="1" applyBorder="1" applyAlignment="1" applyProtection="1">
      <alignment horizontal="center" vertical="top"/>
      <protection locked="0"/>
    </xf>
    <xf numFmtId="0" fontId="11" fillId="0" borderId="78" xfId="1" applyFont="1" applyFill="1" applyBorder="1" applyAlignment="1" applyProtection="1">
      <alignment horizontal="left" vertical="top" wrapText="1" indent="1"/>
      <protection locked="0"/>
    </xf>
    <xf numFmtId="14" fontId="11" fillId="0" borderId="42" xfId="1" applyNumberFormat="1" applyFont="1" applyFill="1" applyBorder="1" applyAlignment="1" applyProtection="1">
      <alignment horizontal="center" vertical="top"/>
      <protection locked="0"/>
    </xf>
    <xf numFmtId="0" fontId="11" fillId="0" borderId="42" xfId="1" applyFont="1" applyFill="1" applyBorder="1" applyAlignment="1" applyProtection="1">
      <alignment vertical="top" wrapText="1"/>
      <protection locked="0"/>
    </xf>
    <xf numFmtId="0" fontId="15" fillId="0" borderId="43" xfId="1" applyFont="1" applyFill="1" applyBorder="1" applyAlignment="1" applyProtection="1">
      <alignment vertical="top" wrapText="1"/>
      <protection locked="0"/>
    </xf>
    <xf numFmtId="0" fontId="11" fillId="0" borderId="58" xfId="1" applyFont="1" applyBorder="1" applyAlignment="1" applyProtection="1">
      <alignment horizontal="left" wrapText="1" indent="2"/>
      <protection locked="0"/>
    </xf>
    <xf numFmtId="0" fontId="21" fillId="0" borderId="0" xfId="1" applyFont="1" applyProtection="1">
      <protection locked="0"/>
    </xf>
    <xf numFmtId="14" fontId="11" fillId="0" borderId="0" xfId="1" applyNumberFormat="1" applyFont="1" applyAlignment="1" applyProtection="1">
      <alignment horizontal="center"/>
      <protection locked="0"/>
    </xf>
    <xf numFmtId="0" fontId="11" fillId="0" borderId="45" xfId="1" applyFont="1" applyBorder="1" applyProtection="1">
      <protection locked="0"/>
    </xf>
    <xf numFmtId="14" fontId="11" fillId="0" borderId="1" xfId="1" applyNumberFormat="1" applyFont="1" applyBorder="1" applyAlignment="1" applyProtection="1">
      <alignment vertical="top"/>
      <protection locked="0"/>
    </xf>
    <xf numFmtId="0" fontId="11" fillId="0" borderId="1" xfId="1" applyFont="1" applyBorder="1" applyAlignment="1" applyProtection="1">
      <alignment vertical="top"/>
      <protection locked="0"/>
    </xf>
    <xf numFmtId="0" fontId="11" fillId="0" borderId="1" xfId="1" applyFont="1" applyBorder="1" applyAlignment="1" applyProtection="1">
      <alignment vertical="top" wrapText="1"/>
      <protection locked="0"/>
    </xf>
    <xf numFmtId="14" fontId="11" fillId="0" borderId="16" xfId="1" applyNumberFormat="1" applyFont="1" applyFill="1" applyBorder="1" applyAlignment="1" applyProtection="1">
      <alignment vertical="top"/>
      <protection locked="0"/>
    </xf>
    <xf numFmtId="1" fontId="11" fillId="0" borderId="16" xfId="1" applyNumberFormat="1" applyFont="1" applyFill="1" applyBorder="1" applyAlignment="1" applyProtection="1">
      <alignment horizontal="center" vertical="top"/>
    </xf>
    <xf numFmtId="0" fontId="11" fillId="0" borderId="16" xfId="1" applyFont="1" applyFill="1" applyBorder="1" applyAlignment="1" applyProtection="1">
      <alignment vertical="top"/>
      <protection locked="0"/>
    </xf>
    <xf numFmtId="0" fontId="11" fillId="0" borderId="16" xfId="1" applyFont="1" applyFill="1" applyBorder="1" applyAlignment="1" applyProtection="1">
      <alignment vertical="top" wrapText="1"/>
      <protection locked="0"/>
    </xf>
    <xf numFmtId="0" fontId="11" fillId="0" borderId="31" xfId="1" applyFont="1" applyFill="1" applyBorder="1" applyAlignment="1" applyProtection="1">
      <alignment vertical="top" wrapText="1"/>
      <protection locked="0"/>
    </xf>
    <xf numFmtId="14" fontId="11" fillId="0" borderId="0" xfId="1" applyNumberFormat="1" applyFont="1" applyFill="1" applyBorder="1" applyAlignment="1" applyProtection="1">
      <alignment vertical="top"/>
      <protection locked="0"/>
    </xf>
    <xf numFmtId="0" fontId="14" fillId="0" borderId="0" xfId="1" applyFont="1" applyFill="1" applyBorder="1" applyAlignment="1" applyProtection="1">
      <alignment vertical="top" wrapText="1"/>
      <protection locked="0"/>
    </xf>
    <xf numFmtId="14" fontId="1" fillId="0" borderId="0" xfId="1" applyNumberFormat="1" applyFont="1" applyFill="1" applyBorder="1" applyAlignment="1" applyProtection="1">
      <alignment vertical="top"/>
      <protection locked="0"/>
    </xf>
    <xf numFmtId="0" fontId="1" fillId="0" borderId="0" xfId="1" applyFont="1" applyFill="1" applyBorder="1" applyAlignment="1" applyProtection="1">
      <alignment vertical="top"/>
      <protection locked="0"/>
    </xf>
    <xf numFmtId="0" fontId="11" fillId="0" borderId="77" xfId="1" applyFont="1" applyBorder="1" applyAlignment="1" applyProtection="1">
      <alignment horizontal="left" vertical="top" wrapText="1" indent="2"/>
      <protection locked="0"/>
    </xf>
    <xf numFmtId="0" fontId="11" fillId="0" borderId="77" xfId="1" applyFont="1" applyBorder="1" applyAlignment="1" applyProtection="1">
      <alignment horizontal="left" vertical="top" wrapText="1" indent="1"/>
      <protection locked="0"/>
    </xf>
    <xf numFmtId="0" fontId="31" fillId="0" borderId="0" xfId="1" applyFont="1" applyProtection="1">
      <protection locked="0"/>
    </xf>
    <xf numFmtId="0" fontId="32" fillId="0" borderId="0" xfId="1" applyFont="1" applyProtection="1">
      <protection locked="0"/>
    </xf>
    <xf numFmtId="0" fontId="31" fillId="0" borderId="0" xfId="1" applyFont="1" applyAlignment="1" applyProtection="1">
      <alignment horizontal="left" indent="1"/>
      <protection locked="0"/>
    </xf>
    <xf numFmtId="0" fontId="31" fillId="0" borderId="0" xfId="1" applyFont="1" applyAlignment="1" applyProtection="1">
      <alignment wrapText="1"/>
      <protection locked="0"/>
    </xf>
    <xf numFmtId="0" fontId="31" fillId="0" borderId="0" xfId="1" applyFont="1" applyAlignment="1" applyProtection="1">
      <alignment horizontal="center"/>
      <protection locked="0"/>
    </xf>
    <xf numFmtId="14" fontId="31" fillId="0" borderId="0" xfId="1" applyNumberFormat="1" applyFont="1" applyAlignment="1" applyProtection="1">
      <alignment horizontal="center"/>
      <protection locked="0"/>
    </xf>
    <xf numFmtId="22" fontId="1" fillId="0" borderId="0" xfId="1" applyNumberFormat="1" applyFont="1" applyProtection="1">
      <protection locked="0"/>
    </xf>
    <xf numFmtId="0" fontId="11" fillId="0" borderId="78" xfId="1" applyFont="1" applyBorder="1" applyAlignment="1" applyProtection="1">
      <alignment horizontal="left" vertical="top" indent="2"/>
      <protection locked="0"/>
    </xf>
    <xf numFmtId="0" fontId="1" fillId="0" borderId="0" xfId="1" applyFont="1" applyBorder="1" applyAlignment="1" applyProtection="1">
      <alignment wrapText="1"/>
      <protection locked="0"/>
    </xf>
    <xf numFmtId="14" fontId="1" fillId="0" borderId="0" xfId="1" applyNumberFormat="1" applyFont="1" applyBorder="1" applyAlignment="1" applyProtection="1">
      <alignment horizontal="center"/>
      <protection locked="0"/>
    </xf>
    <xf numFmtId="0" fontId="14" fillId="0" borderId="28" xfId="1" applyFont="1" applyBorder="1" applyAlignment="1" applyProtection="1">
      <protection locked="0"/>
    </xf>
    <xf numFmtId="0" fontId="35" fillId="0" borderId="1" xfId="1" applyFont="1" applyFill="1" applyBorder="1" applyAlignment="1">
      <alignment wrapText="1"/>
    </xf>
    <xf numFmtId="0" fontId="35" fillId="0" borderId="1" xfId="1" applyFont="1" applyFill="1" applyBorder="1" applyAlignment="1">
      <alignment horizontal="left" wrapText="1"/>
    </xf>
    <xf numFmtId="0" fontId="35" fillId="0" borderId="1" xfId="1" applyFont="1" applyFill="1" applyBorder="1" applyAlignment="1">
      <alignment horizontal="center" wrapText="1"/>
    </xf>
    <xf numFmtId="0" fontId="3" fillId="0" borderId="8" xfId="1" applyFont="1" applyFill="1" applyBorder="1" applyAlignment="1" applyProtection="1">
      <alignment vertical="top"/>
      <protection locked="0"/>
    </xf>
    <xf numFmtId="0" fontId="1" fillId="0" borderId="8" xfId="1" applyFont="1" applyFill="1" applyBorder="1" applyAlignment="1" applyProtection="1">
      <alignment vertical="top" wrapText="1"/>
      <protection locked="0"/>
    </xf>
    <xf numFmtId="0" fontId="1" fillId="0" borderId="8" xfId="1" applyFill="1" applyBorder="1" applyAlignment="1" applyProtection="1">
      <alignment vertical="top" wrapText="1"/>
      <protection locked="0"/>
    </xf>
    <xf numFmtId="14" fontId="1" fillId="0" borderId="8" xfId="1" applyNumberFormat="1" applyFill="1" applyBorder="1" applyAlignment="1" applyProtection="1">
      <alignment vertical="top"/>
      <protection locked="0"/>
    </xf>
    <xf numFmtId="0" fontId="1" fillId="0" borderId="8" xfId="1" applyFill="1" applyBorder="1" applyAlignment="1" applyProtection="1">
      <alignment vertical="top"/>
      <protection locked="0"/>
    </xf>
    <xf numFmtId="0" fontId="1" fillId="0" borderId="0" xfId="1" applyFill="1" applyBorder="1"/>
    <xf numFmtId="0" fontId="1" fillId="0" borderId="0" xfId="1" applyFill="1" applyBorder="1" applyAlignment="1">
      <alignment horizontal="center"/>
    </xf>
    <xf numFmtId="164" fontId="1" fillId="0" borderId="8" xfId="1" applyNumberFormat="1" applyFont="1" applyFill="1" applyBorder="1" applyAlignment="1" applyProtection="1">
      <alignment horizontal="center" vertical="top"/>
    </xf>
    <xf numFmtId="164" fontId="1" fillId="0" borderId="0" xfId="1" applyNumberFormat="1" applyFill="1" applyBorder="1" applyAlignment="1">
      <alignment horizontal="center"/>
    </xf>
    <xf numFmtId="164" fontId="1" fillId="0" borderId="0" xfId="1" applyNumberFormat="1" applyFont="1" applyFill="1" applyBorder="1" applyAlignment="1">
      <alignment horizontal="center"/>
    </xf>
    <xf numFmtId="0" fontId="36" fillId="0" borderId="8" xfId="1" applyFont="1" applyFill="1" applyBorder="1" applyAlignment="1" applyProtection="1">
      <alignment vertical="top"/>
      <protection locked="0"/>
    </xf>
    <xf numFmtId="0" fontId="37" fillId="0" borderId="8" xfId="1" applyFont="1" applyFill="1" applyBorder="1" applyAlignment="1" applyProtection="1">
      <alignment vertical="top" wrapText="1"/>
      <protection locked="0"/>
    </xf>
    <xf numFmtId="14" fontId="37" fillId="0" borderId="8" xfId="1" applyNumberFormat="1" applyFont="1" applyFill="1" applyBorder="1" applyAlignment="1" applyProtection="1">
      <alignment vertical="top"/>
      <protection locked="0"/>
    </xf>
    <xf numFmtId="164" fontId="37" fillId="0" borderId="8" xfId="1" applyNumberFormat="1" applyFont="1" applyFill="1" applyBorder="1" applyAlignment="1" applyProtection="1">
      <alignment horizontal="center" vertical="top"/>
    </xf>
    <xf numFmtId="0" fontId="37" fillId="0" borderId="8" xfId="1" applyFont="1" applyFill="1" applyBorder="1" applyAlignment="1" applyProtection="1">
      <alignment vertical="top"/>
      <protection locked="0"/>
    </xf>
    <xf numFmtId="164" fontId="37" fillId="0" borderId="8" xfId="1" applyNumberFormat="1" applyFont="1" applyFill="1" applyBorder="1" applyAlignment="1" applyProtection="1">
      <alignment horizontal="center" vertical="top"/>
      <protection locked="0"/>
    </xf>
    <xf numFmtId="164" fontId="1" fillId="0" borderId="8" xfId="1" applyNumberFormat="1" applyFill="1" applyBorder="1" applyAlignment="1" applyProtection="1">
      <alignment horizontal="center" vertical="top"/>
      <protection locked="0"/>
    </xf>
    <xf numFmtId="0" fontId="20" fillId="0" borderId="0" xfId="1" applyFont="1" applyFill="1" applyBorder="1"/>
    <xf numFmtId="0" fontId="20" fillId="0" borderId="0" xfId="1" applyFont="1" applyFill="1" applyBorder="1" applyAlignment="1">
      <alignment horizontal="center" wrapText="1"/>
    </xf>
    <xf numFmtId="0" fontId="37" fillId="0" borderId="27" xfId="1" applyFont="1" applyBorder="1" applyAlignment="1">
      <alignment vertical="top" wrapText="1"/>
    </xf>
    <xf numFmtId="0" fontId="1" fillId="0" borderId="0" xfId="1" applyBorder="1" applyAlignment="1">
      <alignment vertical="top" wrapText="1"/>
    </xf>
    <xf numFmtId="0" fontId="37" fillId="0" borderId="27" xfId="1" applyFont="1" applyBorder="1" applyAlignment="1">
      <alignment horizontal="center" vertical="top" wrapText="1"/>
    </xf>
    <xf numFmtId="0" fontId="1" fillId="0" borderId="0" xfId="1" applyBorder="1" applyAlignment="1">
      <alignment horizontal="center" vertical="top" wrapText="1"/>
    </xf>
    <xf numFmtId="0" fontId="11" fillId="0" borderId="34" xfId="1" applyFont="1" applyBorder="1" applyAlignment="1" applyProtection="1">
      <alignment vertical="top"/>
      <protection locked="0"/>
    </xf>
    <xf numFmtId="0" fontId="6" fillId="0" borderId="0" xfId="0" applyFont="1" applyBorder="1" applyAlignment="1" applyProtection="1">
      <protection locked="0"/>
    </xf>
    <xf numFmtId="0" fontId="11" fillId="0" borderId="92" xfId="1" applyFont="1" applyBorder="1" applyAlignment="1" applyProtection="1">
      <alignment vertical="top"/>
      <protection locked="0"/>
    </xf>
    <xf numFmtId="0" fontId="11" fillId="0" borderId="44" xfId="1" applyFont="1" applyBorder="1" applyAlignment="1" applyProtection="1">
      <alignment vertical="top"/>
      <protection locked="0"/>
    </xf>
    <xf numFmtId="0" fontId="11" fillId="0" borderId="76" xfId="1" applyFont="1" applyBorder="1" applyAlignment="1" applyProtection="1">
      <alignment vertical="top"/>
      <protection locked="0"/>
    </xf>
    <xf numFmtId="0" fontId="11" fillId="0" borderId="41" xfId="1" applyFont="1" applyBorder="1" applyAlignment="1" applyProtection="1">
      <alignment vertical="top"/>
      <protection locked="0"/>
    </xf>
    <xf numFmtId="0" fontId="10" fillId="0" borderId="58" xfId="0" applyFont="1" applyFill="1" applyBorder="1" applyAlignment="1" applyProtection="1">
      <alignment vertical="top"/>
      <protection locked="0"/>
    </xf>
    <xf numFmtId="1" fontId="11" fillId="0" borderId="0" xfId="1" applyNumberFormat="1" applyFont="1" applyFill="1" applyBorder="1" applyAlignment="1" applyProtection="1">
      <alignment horizontal="center" vertical="top"/>
      <protection locked="0"/>
    </xf>
    <xf numFmtId="0" fontId="10" fillId="0" borderId="0" xfId="0" applyFont="1" applyFill="1" applyBorder="1" applyAlignment="1" applyProtection="1">
      <alignment vertical="top"/>
      <protection locked="0"/>
    </xf>
    <xf numFmtId="0" fontId="35" fillId="5" borderId="32" xfId="1" applyFont="1" applyFill="1" applyBorder="1" applyAlignment="1" applyProtection="1">
      <alignment wrapText="1"/>
      <protection locked="0"/>
    </xf>
    <xf numFmtId="0" fontId="35" fillId="5" borderId="3" xfId="1" applyFont="1" applyFill="1" applyBorder="1" applyAlignment="1" applyProtection="1">
      <alignment wrapText="1"/>
      <protection locked="0"/>
    </xf>
    <xf numFmtId="0" fontId="35" fillId="5" borderId="3" xfId="1" applyFont="1" applyFill="1" applyBorder="1" applyAlignment="1" applyProtection="1">
      <alignment horizontal="left" wrapText="1"/>
      <protection locked="0"/>
    </xf>
    <xf numFmtId="0" fontId="35" fillId="5" borderId="3" xfId="1" applyFont="1" applyFill="1" applyBorder="1" applyAlignment="1" applyProtection="1">
      <alignment horizontal="center" wrapText="1"/>
      <protection locked="0"/>
    </xf>
    <xf numFmtId="0" fontId="35" fillId="5" borderId="29" xfId="1" applyFont="1" applyFill="1" applyBorder="1" applyAlignment="1" applyProtection="1">
      <alignment wrapText="1"/>
      <protection locked="0"/>
    </xf>
    <xf numFmtId="0" fontId="15" fillId="0" borderId="34" xfId="1" applyFont="1" applyBorder="1" applyAlignment="1" applyProtection="1">
      <alignment vertical="top" wrapText="1"/>
      <protection locked="0"/>
    </xf>
    <xf numFmtId="14" fontId="14" fillId="2" borderId="94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95" xfId="0" applyBorder="1"/>
    <xf numFmtId="0" fontId="0" fillId="0" borderId="95" xfId="0" applyBorder="1" applyAlignment="1">
      <alignment horizontal="center"/>
    </xf>
    <xf numFmtId="0" fontId="6" fillId="0" borderId="26" xfId="0" applyFont="1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6" fillId="0" borderId="25" xfId="0" applyFont="1" applyBorder="1"/>
    <xf numFmtId="0" fontId="0" fillId="0" borderId="25" xfId="0" applyBorder="1" applyAlignment="1">
      <alignment horizontal="left" indent="1"/>
    </xf>
    <xf numFmtId="0" fontId="0" fillId="0" borderId="25" xfId="0" applyBorder="1" applyAlignment="1">
      <alignment horizontal="left" indent="2"/>
    </xf>
    <xf numFmtId="0" fontId="0" fillId="0" borderId="57" xfId="0" applyBorder="1"/>
    <xf numFmtId="0" fontId="0" fillId="7" borderId="55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0" borderId="50" xfId="0" applyBorder="1"/>
    <xf numFmtId="0" fontId="0" fillId="6" borderId="49" xfId="0" applyFill="1" applyBorder="1" applyAlignment="1">
      <alignment horizontal="center"/>
    </xf>
    <xf numFmtId="0" fontId="0" fillId="0" borderId="27" xfId="0" applyBorder="1"/>
    <xf numFmtId="0" fontId="0" fillId="0" borderId="27" xfId="0" applyBorder="1" applyAlignment="1">
      <alignment textRotation="45"/>
    </xf>
    <xf numFmtId="0" fontId="42" fillId="9" borderId="75" xfId="1" applyFont="1" applyFill="1" applyBorder="1" applyAlignment="1" applyProtection="1">
      <alignment horizontal="left" vertical="top" wrapText="1"/>
      <protection locked="0"/>
    </xf>
    <xf numFmtId="0" fontId="11" fillId="0" borderId="30" xfId="1" applyFont="1" applyBorder="1" applyAlignment="1" applyProtection="1">
      <alignment horizontal="center" wrapText="1"/>
      <protection locked="0"/>
    </xf>
    <xf numFmtId="2" fontId="11" fillId="0" borderId="0" xfId="1" applyNumberFormat="1" applyFont="1" applyAlignment="1" applyProtection="1">
      <alignment wrapText="1"/>
      <protection locked="0"/>
    </xf>
    <xf numFmtId="9" fontId="11" fillId="0" borderId="5" xfId="1" applyNumberFormat="1" applyFont="1" applyBorder="1" applyAlignment="1" applyProtection="1">
      <alignment horizontal="center"/>
      <protection locked="0"/>
    </xf>
    <xf numFmtId="0" fontId="0" fillId="5" borderId="0" xfId="0" applyFill="1"/>
    <xf numFmtId="0" fontId="0" fillId="9" borderId="0" xfId="0" applyFill="1"/>
    <xf numFmtId="0" fontId="43" fillId="9" borderId="96" xfId="0" applyFont="1" applyFill="1" applyBorder="1" applyAlignment="1">
      <alignment textRotation="45" wrapText="1"/>
    </xf>
    <xf numFmtId="0" fontId="43" fillId="9" borderId="96" xfId="0" applyFont="1" applyFill="1" applyBorder="1" applyAlignment="1">
      <alignment textRotation="45"/>
    </xf>
    <xf numFmtId="0" fontId="43" fillId="5" borderId="96" xfId="0" applyFont="1" applyFill="1" applyBorder="1" applyAlignment="1">
      <alignment textRotation="45" wrapText="1"/>
    </xf>
    <xf numFmtId="0" fontId="43" fillId="5" borderId="96" xfId="0" applyFont="1" applyFill="1" applyBorder="1" applyAlignment="1">
      <alignment textRotation="45"/>
    </xf>
    <xf numFmtId="0" fontId="44" fillId="5" borderId="65" xfId="0" applyFont="1" applyFill="1" applyBorder="1"/>
    <xf numFmtId="0" fontId="35" fillId="9" borderId="25" xfId="0" applyFont="1" applyFill="1" applyBorder="1"/>
    <xf numFmtId="0" fontId="11" fillId="0" borderId="21" xfId="1" applyFont="1" applyBorder="1" applyProtection="1">
      <protection locked="0"/>
    </xf>
    <xf numFmtId="16" fontId="11" fillId="0" borderId="8" xfId="1" applyNumberFormat="1" applyFont="1" applyBorder="1" applyAlignment="1" applyProtection="1">
      <alignment vertical="top"/>
      <protection locked="0"/>
    </xf>
    <xf numFmtId="0" fontId="11" fillId="0" borderId="45" xfId="1" applyFont="1" applyBorder="1" applyAlignment="1" applyProtection="1">
      <alignment vertical="top" wrapText="1"/>
      <protection locked="0"/>
    </xf>
    <xf numFmtId="0" fontId="11" fillId="0" borderId="51" xfId="1" applyFont="1" applyBorder="1" applyAlignment="1" applyProtection="1">
      <alignment horizontal="left" vertical="top" indent="1"/>
      <protection locked="0"/>
    </xf>
    <xf numFmtId="0" fontId="11" fillId="0" borderId="6" xfId="1" applyFont="1" applyBorder="1" applyAlignment="1" applyProtection="1">
      <alignment vertical="top"/>
      <protection locked="0"/>
    </xf>
    <xf numFmtId="14" fontId="11" fillId="0" borderId="6" xfId="1" applyNumberFormat="1" applyFont="1" applyBorder="1" applyAlignment="1" applyProtection="1">
      <alignment horizontal="center" vertical="top"/>
      <protection locked="0"/>
    </xf>
    <xf numFmtId="0" fontId="11" fillId="0" borderId="29" xfId="1" applyFont="1" applyBorder="1" applyAlignment="1" applyProtection="1">
      <alignment vertical="top" wrapText="1"/>
      <protection locked="0"/>
    </xf>
    <xf numFmtId="0" fontId="11" fillId="0" borderId="8" xfId="1" applyFont="1" applyBorder="1" applyAlignment="1" applyProtection="1">
      <alignment horizontal="left" vertical="top"/>
      <protection locked="0"/>
    </xf>
    <xf numFmtId="0" fontId="14" fillId="0" borderId="0" xfId="1" applyFont="1" applyAlignment="1" applyProtection="1">
      <alignment vertical="top"/>
      <protection locked="0"/>
    </xf>
    <xf numFmtId="0" fontId="14" fillId="0" borderId="0" xfId="1" applyFont="1" applyAlignment="1" applyProtection="1">
      <alignment horizontal="left" vertical="top" indent="1"/>
      <protection locked="0"/>
    </xf>
    <xf numFmtId="0" fontId="11" fillId="0" borderId="72" xfId="1" applyFont="1" applyBorder="1" applyAlignment="1" applyProtection="1">
      <alignment horizontal="left" vertical="top" wrapText="1"/>
      <protection locked="0"/>
    </xf>
    <xf numFmtId="0" fontId="11" fillId="0" borderId="74" xfId="1" applyFont="1" applyBorder="1" applyAlignment="1" applyProtection="1">
      <alignment horizontal="left" vertical="top" wrapText="1"/>
      <protection locked="0"/>
    </xf>
    <xf numFmtId="0" fontId="11" fillId="0" borderId="51" xfId="1" applyFont="1" applyBorder="1" applyAlignment="1" applyProtection="1">
      <alignment horizontal="left" vertical="top" wrapText="1"/>
      <protection locked="0"/>
    </xf>
    <xf numFmtId="9" fontId="11" fillId="0" borderId="72" xfId="1" applyNumberFormat="1" applyFont="1" applyBorder="1" applyAlignment="1" applyProtection="1">
      <alignment horizontal="left" vertical="top" wrapText="1"/>
      <protection locked="0"/>
    </xf>
    <xf numFmtId="0" fontId="11" fillId="0" borderId="77" xfId="1" applyFont="1" applyBorder="1" applyAlignment="1" applyProtection="1">
      <alignment horizontal="left" vertical="top" indent="2"/>
      <protection locked="0"/>
    </xf>
    <xf numFmtId="0" fontId="11" fillId="0" borderId="43" xfId="1" applyFont="1" applyBorder="1" applyAlignment="1" applyProtection="1">
      <alignment horizontal="center" vertical="top" wrapText="1"/>
      <protection locked="0"/>
    </xf>
    <xf numFmtId="0" fontId="42" fillId="9" borderId="71" xfId="1" applyFont="1" applyFill="1" applyBorder="1" applyAlignment="1" applyProtection="1">
      <protection locked="0"/>
    </xf>
    <xf numFmtId="0" fontId="42" fillId="9" borderId="75" xfId="1" applyFont="1" applyFill="1" applyBorder="1" applyAlignment="1" applyProtection="1">
      <protection locked="0"/>
    </xf>
    <xf numFmtId="0" fontId="11" fillId="0" borderId="0" xfId="1" applyFont="1" applyAlignment="1" applyProtection="1">
      <alignment horizontal="center" wrapText="1"/>
      <protection locked="0"/>
    </xf>
    <xf numFmtId="0" fontId="42" fillId="9" borderId="28" xfId="1" applyFont="1" applyFill="1" applyBorder="1" applyAlignment="1" applyProtection="1">
      <protection locked="0"/>
    </xf>
    <xf numFmtId="0" fontId="42" fillId="9" borderId="75" xfId="1" applyFont="1" applyFill="1" applyBorder="1" applyAlignment="1" applyProtection="1">
      <alignment vertical="top"/>
      <protection locked="0"/>
    </xf>
    <xf numFmtId="14" fontId="14" fillId="0" borderId="69" xfId="1" applyNumberFormat="1" applyFont="1" applyFill="1" applyBorder="1" applyAlignment="1" applyProtection="1">
      <alignment horizontal="center"/>
      <protection locked="0"/>
    </xf>
    <xf numFmtId="1" fontId="9" fillId="0" borderId="69" xfId="1" applyNumberFormat="1" applyFont="1" applyFill="1" applyBorder="1" applyAlignment="1" applyProtection="1">
      <alignment horizontal="center" vertical="center"/>
    </xf>
    <xf numFmtId="1" fontId="9" fillId="0" borderId="21" xfId="1" applyNumberFormat="1" applyFont="1" applyFill="1" applyBorder="1" applyAlignment="1" applyProtection="1">
      <alignment horizontal="center" vertical="center"/>
    </xf>
    <xf numFmtId="1" fontId="9" fillId="0" borderId="7" xfId="1" applyNumberFormat="1" applyFont="1" applyFill="1" applyBorder="1" applyAlignment="1" applyProtection="1">
      <alignment horizontal="center" vertical="center"/>
    </xf>
    <xf numFmtId="0" fontId="0" fillId="0" borderId="69" xfId="0" applyBorder="1" applyAlignment="1" applyProtection="1">
      <alignment horizontal="left" vertical="top" wrapText="1"/>
      <protection locked="0"/>
    </xf>
    <xf numFmtId="1" fontId="1" fillId="0" borderId="0" xfId="1" applyNumberFormat="1" applyFont="1" applyFill="1" applyBorder="1" applyAlignment="1" applyProtection="1">
      <alignment horizontal="center" vertical="top"/>
      <protection locked="0"/>
    </xf>
    <xf numFmtId="0" fontId="1" fillId="0" borderId="0" xfId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20" fillId="5" borderId="32" xfId="1" applyFont="1" applyFill="1" applyBorder="1" applyAlignment="1" applyProtection="1">
      <alignment wrapText="1"/>
      <protection locked="0"/>
    </xf>
    <xf numFmtId="0" fontId="20" fillId="5" borderId="29" xfId="1" applyFont="1" applyFill="1" applyBorder="1" applyAlignment="1" applyProtection="1">
      <alignment wrapText="1"/>
      <protection locked="0"/>
    </xf>
    <xf numFmtId="0" fontId="41" fillId="0" borderId="69" xfId="0" applyFont="1" applyFill="1" applyBorder="1" applyAlignment="1" applyProtection="1">
      <alignment vertical="top"/>
      <protection locked="0"/>
    </xf>
    <xf numFmtId="1" fontId="9" fillId="0" borderId="14" xfId="1" applyNumberFormat="1" applyFont="1" applyFill="1" applyBorder="1" applyAlignment="1" applyProtection="1">
      <alignment horizontal="center" vertical="center"/>
    </xf>
    <xf numFmtId="0" fontId="43" fillId="0" borderId="0" xfId="0" applyFont="1" applyFill="1" applyBorder="1" applyAlignment="1" applyProtection="1">
      <protection locked="0"/>
    </xf>
    <xf numFmtId="0" fontId="46" fillId="9" borderId="72" xfId="1" applyFont="1" applyFill="1" applyBorder="1" applyAlignment="1" applyProtection="1">
      <alignment horizontal="left" vertical="top" wrapText="1" indent="1"/>
      <protection locked="0"/>
    </xf>
    <xf numFmtId="0" fontId="18" fillId="0" borderId="30" xfId="0" applyFont="1" applyFill="1" applyBorder="1" applyAlignment="1" applyProtection="1">
      <alignment horizontal="left" wrapText="1"/>
      <protection locked="0"/>
    </xf>
    <xf numFmtId="0" fontId="11" fillId="0" borderId="28" xfId="0" applyFont="1" applyBorder="1" applyAlignment="1" applyProtection="1">
      <alignment horizontal="left" indent="1"/>
      <protection locked="0"/>
    </xf>
    <xf numFmtId="0" fontId="11" fillId="0" borderId="8" xfId="1" applyFont="1" applyBorder="1" applyAlignment="1" applyProtection="1">
      <alignment horizontal="left" vertical="top" wrapText="1"/>
      <protection locked="0"/>
    </xf>
    <xf numFmtId="0" fontId="8" fillId="0" borderId="0" xfId="0" applyFont="1" applyFill="1" applyBorder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  <protection locked="0"/>
    </xf>
    <xf numFmtId="0" fontId="35" fillId="5" borderId="33" xfId="1" applyFont="1" applyFill="1" applyBorder="1" applyAlignment="1" applyProtection="1">
      <alignment wrapText="1"/>
      <protection locked="0"/>
    </xf>
    <xf numFmtId="0" fontId="35" fillId="5" borderId="32" xfId="1" applyFont="1" applyFill="1" applyBorder="1" applyAlignment="1" applyProtection="1">
      <alignment vertical="top" wrapText="1"/>
      <protection locked="0"/>
    </xf>
    <xf numFmtId="0" fontId="35" fillId="5" borderId="3" xfId="1" applyFont="1" applyFill="1" applyBorder="1" applyAlignment="1" applyProtection="1">
      <alignment vertical="top" wrapText="1"/>
      <protection locked="0"/>
    </xf>
    <xf numFmtId="0" fontId="35" fillId="5" borderId="3" xfId="1" applyFont="1" applyFill="1" applyBorder="1" applyAlignment="1" applyProtection="1">
      <alignment horizontal="left" vertical="top" wrapText="1"/>
      <protection locked="0"/>
    </xf>
    <xf numFmtId="0" fontId="35" fillId="5" borderId="3" xfId="1" applyFont="1" applyFill="1" applyBorder="1" applyAlignment="1" applyProtection="1">
      <alignment horizontal="center" vertical="top" wrapText="1"/>
      <protection locked="0"/>
    </xf>
    <xf numFmtId="0" fontId="35" fillId="5" borderId="33" xfId="1" applyFont="1" applyFill="1" applyBorder="1" applyAlignment="1" applyProtection="1">
      <alignment vertical="top" wrapText="1"/>
      <protection locked="0"/>
    </xf>
    <xf numFmtId="0" fontId="22" fillId="0" borderId="0" xfId="1" applyFont="1" applyAlignment="1" applyProtection="1">
      <alignment vertical="top" wrapText="1"/>
      <protection locked="0"/>
    </xf>
    <xf numFmtId="0" fontId="22" fillId="0" borderId="0" xfId="1" applyFont="1" applyFill="1" applyAlignment="1" applyProtection="1">
      <alignment vertical="top" wrapText="1"/>
      <protection locked="0"/>
    </xf>
    <xf numFmtId="0" fontId="43" fillId="9" borderId="71" xfId="0" applyFont="1" applyFill="1" applyBorder="1" applyAlignment="1" applyProtection="1">
      <protection locked="0"/>
    </xf>
    <xf numFmtId="0" fontId="50" fillId="0" borderId="25" xfId="1" applyFont="1" applyFill="1" applyBorder="1" applyAlignment="1" applyProtection="1">
      <alignment horizontal="right" wrapText="1"/>
      <protection locked="0"/>
    </xf>
    <xf numFmtId="0" fontId="50" fillId="0" borderId="0" xfId="4" applyNumberFormat="1" applyFont="1" applyBorder="1" applyAlignment="1" applyProtection="1">
      <alignment horizontal="left"/>
    </xf>
    <xf numFmtId="0" fontId="50" fillId="0" borderId="0" xfId="1" applyFont="1" applyBorder="1" applyAlignment="1" applyProtection="1">
      <alignment horizontal="right"/>
      <protection locked="0"/>
    </xf>
    <xf numFmtId="0" fontId="50" fillId="0" borderId="0" xfId="0" applyFont="1" applyFill="1" applyBorder="1" applyAlignment="1" applyProtection="1">
      <alignment horizontal="center"/>
    </xf>
    <xf numFmtId="0" fontId="50" fillId="0" borderId="0" xfId="1" applyFont="1" applyBorder="1" applyAlignment="1" applyProtection="1">
      <alignment horizontal="center"/>
    </xf>
    <xf numFmtId="0" fontId="50" fillId="0" borderId="0" xfId="1" applyFont="1" applyBorder="1" applyAlignment="1" applyProtection="1">
      <alignment horizontal="center"/>
      <protection locked="0"/>
    </xf>
    <xf numFmtId="0" fontId="16" fillId="0" borderId="0" xfId="1" applyFont="1" applyBorder="1" applyAlignment="1" applyProtection="1">
      <alignment horizontal="center"/>
      <protection locked="0"/>
    </xf>
    <xf numFmtId="0" fontId="16" fillId="0" borderId="0" xfId="1" applyFont="1" applyBorder="1" applyAlignment="1" applyProtection="1">
      <alignment wrapText="1"/>
      <protection locked="0"/>
    </xf>
    <xf numFmtId="0" fontId="16" fillId="0" borderId="0" xfId="1" applyFont="1" applyBorder="1" applyProtection="1">
      <protection locked="0"/>
    </xf>
    <xf numFmtId="0" fontId="16" fillId="0" borderId="30" xfId="1" applyFont="1" applyBorder="1" applyProtection="1">
      <protection locked="0"/>
    </xf>
    <xf numFmtId="22" fontId="51" fillId="0" borderId="0" xfId="1" applyNumberFormat="1" applyFont="1" applyProtection="1">
      <protection locked="0"/>
    </xf>
    <xf numFmtId="0" fontId="51" fillId="0" borderId="0" xfId="1" applyFont="1" applyFill="1" applyProtection="1">
      <protection locked="0"/>
    </xf>
    <xf numFmtId="0" fontId="51" fillId="0" borderId="0" xfId="1" applyFont="1" applyProtection="1">
      <protection locked="0"/>
    </xf>
    <xf numFmtId="9" fontId="50" fillId="0" borderId="0" xfId="4" applyFont="1" applyBorder="1" applyAlignment="1" applyProtection="1">
      <alignment horizontal="center"/>
    </xf>
    <xf numFmtId="9" fontId="50" fillId="0" borderId="0" xfId="4" applyFont="1" applyBorder="1" applyAlignment="1" applyProtection="1">
      <alignment horizontal="left"/>
      <protection locked="0"/>
    </xf>
    <xf numFmtId="0" fontId="50" fillId="0" borderId="25" xfId="1" applyFont="1" applyFill="1" applyBorder="1" applyAlignment="1" applyProtection="1">
      <alignment wrapText="1"/>
      <protection locked="0"/>
    </xf>
    <xf numFmtId="14" fontId="50" fillId="0" borderId="0" xfId="1" applyNumberFormat="1" applyFont="1" applyBorder="1" applyAlignment="1" applyProtection="1">
      <alignment horizontal="right"/>
      <protection locked="0"/>
    </xf>
    <xf numFmtId="0" fontId="50" fillId="0" borderId="0" xfId="1" quotePrefix="1" applyFont="1" applyFill="1" applyBorder="1" applyAlignment="1" applyProtection="1">
      <alignment vertical="top" wrapText="1"/>
      <protection locked="0"/>
    </xf>
    <xf numFmtId="0" fontId="50" fillId="0" borderId="0" xfId="1" applyFont="1" applyBorder="1" applyProtection="1">
      <protection locked="0"/>
    </xf>
    <xf numFmtId="0" fontId="14" fillId="0" borderId="0" xfId="1" applyFont="1" applyBorder="1" applyAlignment="1" applyProtection="1">
      <alignment horizontal="center"/>
      <protection locked="0"/>
    </xf>
    <xf numFmtId="0" fontId="14" fillId="0" borderId="0" xfId="1" applyFont="1" applyBorder="1" applyAlignment="1" applyProtection="1">
      <alignment wrapText="1"/>
      <protection locked="0"/>
    </xf>
    <xf numFmtId="0" fontId="14" fillId="0" borderId="30" xfId="1" applyFont="1" applyBorder="1" applyAlignment="1" applyProtection="1">
      <alignment wrapText="1"/>
      <protection locked="0"/>
    </xf>
    <xf numFmtId="22" fontId="3" fillId="0" borderId="0" xfId="1" applyNumberFormat="1" applyFont="1" applyFill="1" applyProtection="1">
      <protection locked="0"/>
    </xf>
    <xf numFmtId="0" fontId="3" fillId="0" borderId="0" xfId="1" applyFont="1" applyFill="1" applyProtection="1">
      <protection locked="0"/>
    </xf>
    <xf numFmtId="0" fontId="3" fillId="0" borderId="0" xfId="1" applyFont="1" applyProtection="1">
      <protection locked="0"/>
    </xf>
    <xf numFmtId="9" fontId="50" fillId="0" borderId="0" xfId="4" applyFont="1" applyBorder="1" applyProtection="1"/>
    <xf numFmtId="0" fontId="16" fillId="0" borderId="25" xfId="1" applyFont="1" applyFill="1" applyBorder="1" applyAlignment="1" applyProtection="1">
      <alignment wrapText="1"/>
      <protection locked="0"/>
    </xf>
    <xf numFmtId="9" fontId="16" fillId="0" borderId="0" xfId="4" applyFont="1" applyBorder="1" applyAlignment="1" applyProtection="1">
      <alignment horizontal="left"/>
      <protection locked="0"/>
    </xf>
    <xf numFmtId="9" fontId="50" fillId="0" borderId="0" xfId="4" applyFont="1" applyBorder="1" applyProtection="1">
      <protection locked="0"/>
    </xf>
    <xf numFmtId="0" fontId="48" fillId="0" borderId="0" xfId="1" applyFont="1" applyBorder="1" applyAlignment="1" applyProtection="1">
      <alignment horizontal="center"/>
      <protection locked="0"/>
    </xf>
    <xf numFmtId="0" fontId="48" fillId="0" borderId="0" xfId="1" applyFont="1" applyBorder="1" applyProtection="1">
      <protection locked="0"/>
    </xf>
    <xf numFmtId="0" fontId="48" fillId="0" borderId="0" xfId="1" applyFont="1" applyBorder="1" applyAlignment="1" applyProtection="1">
      <alignment wrapText="1"/>
      <protection locked="0"/>
    </xf>
    <xf numFmtId="0" fontId="48" fillId="0" borderId="30" xfId="1" applyFont="1" applyBorder="1" applyAlignment="1" applyProtection="1">
      <alignment wrapText="1"/>
      <protection locked="0"/>
    </xf>
    <xf numFmtId="22" fontId="48" fillId="0" borderId="0" xfId="1" applyNumberFormat="1" applyFont="1" applyFill="1" applyProtection="1">
      <protection locked="0"/>
    </xf>
    <xf numFmtId="0" fontId="48" fillId="0" borderId="0" xfId="1" applyFont="1" applyFill="1" applyProtection="1">
      <protection locked="0"/>
    </xf>
    <xf numFmtId="0" fontId="48" fillId="0" borderId="0" xfId="1" applyFont="1" applyProtection="1">
      <protection locked="0"/>
    </xf>
    <xf numFmtId="0" fontId="50" fillId="0" borderId="25" xfId="1" applyFont="1" applyFill="1" applyBorder="1" applyAlignment="1" applyProtection="1">
      <alignment horizontal="right" vertical="center" wrapText="1"/>
      <protection locked="0"/>
    </xf>
    <xf numFmtId="0" fontId="9" fillId="0" borderId="83" xfId="1" applyFont="1" applyBorder="1" applyAlignment="1" applyProtection="1">
      <alignment vertical="center" wrapText="1"/>
      <protection locked="0"/>
    </xf>
    <xf numFmtId="0" fontId="9" fillId="0" borderId="82" xfId="1" applyFont="1" applyBorder="1" applyAlignment="1" applyProtection="1">
      <alignment horizontal="center" vertical="center" wrapText="1"/>
      <protection locked="0"/>
    </xf>
    <xf numFmtId="0" fontId="9" fillId="0" borderId="80" xfId="1" applyFont="1" applyBorder="1" applyAlignment="1" applyProtection="1">
      <alignment horizontal="center" vertical="center" wrapText="1"/>
      <protection locked="0"/>
    </xf>
    <xf numFmtId="0" fontId="24" fillId="0" borderId="80" xfId="1" applyFont="1" applyBorder="1" applyAlignment="1" applyProtection="1">
      <alignment horizontal="center" vertical="center" wrapText="1"/>
      <protection locked="0"/>
    </xf>
    <xf numFmtId="0" fontId="24" fillId="0" borderId="81" xfId="1" applyFont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 applyProtection="1">
      <alignment wrapText="1"/>
      <protection locked="0"/>
    </xf>
    <xf numFmtId="0" fontId="11" fillId="0" borderId="51" xfId="3" applyFont="1" applyBorder="1" applyAlignment="1" applyProtection="1">
      <alignment horizontal="left" wrapText="1" indent="1"/>
      <protection locked="0"/>
    </xf>
    <xf numFmtId="0" fontId="9" fillId="0" borderId="1" xfId="1" applyFont="1" applyBorder="1" applyAlignment="1" applyProtection="1">
      <alignment vertical="center" wrapText="1"/>
      <protection locked="0"/>
    </xf>
    <xf numFmtId="0" fontId="9" fillId="0" borderId="1" xfId="1" applyFont="1" applyBorder="1" applyAlignment="1" applyProtection="1">
      <alignment horizontal="center" vertical="center" wrapText="1"/>
      <protection locked="0"/>
    </xf>
    <xf numFmtId="164" fontId="9" fillId="0" borderId="1" xfId="1" applyNumberFormat="1" applyFont="1" applyBorder="1" applyAlignment="1" applyProtection="1">
      <alignment horizontal="center" vertical="center"/>
      <protection locked="0"/>
    </xf>
    <xf numFmtId="0" fontId="24" fillId="0" borderId="83" xfId="1" applyFont="1" applyBorder="1" applyAlignment="1" applyProtection="1">
      <alignment vertical="center" wrapText="1"/>
      <protection locked="0"/>
    </xf>
    <xf numFmtId="0" fontId="9" fillId="0" borderId="81" xfId="1" applyFont="1" applyBorder="1" applyAlignment="1" applyProtection="1">
      <alignment horizontal="center" vertical="center" wrapText="1"/>
      <protection locked="0"/>
    </xf>
    <xf numFmtId="0" fontId="9" fillId="0" borderId="84" xfId="1" applyFont="1" applyBorder="1" applyAlignment="1" applyProtection="1">
      <alignment horizontal="center" vertical="center" wrapText="1"/>
      <protection locked="0"/>
    </xf>
    <xf numFmtId="0" fontId="18" fillId="0" borderId="0" xfId="0" applyFont="1" applyBorder="1" applyAlignment="1" applyProtection="1">
      <alignment horizontal="left" vertical="center" wrapText="1" indent="3"/>
      <protection locked="0"/>
    </xf>
    <xf numFmtId="0" fontId="18" fillId="0" borderId="16" xfId="0" applyFont="1" applyBorder="1" applyAlignment="1" applyProtection="1">
      <alignment horizontal="left" vertical="center" wrapText="1" indent="1"/>
      <protection locked="0"/>
    </xf>
    <xf numFmtId="22" fontId="52" fillId="0" borderId="0" xfId="1" applyNumberFormat="1" applyFont="1" applyProtection="1">
      <protection locked="0"/>
    </xf>
    <xf numFmtId="0" fontId="52" fillId="0" borderId="0" xfId="1" applyFont="1" applyProtection="1">
      <protection locked="0"/>
    </xf>
    <xf numFmtId="0" fontId="50" fillId="0" borderId="0" xfId="1" applyFont="1" applyBorder="1" applyAlignment="1" applyProtection="1">
      <alignment wrapText="1"/>
      <protection locked="0"/>
    </xf>
    <xf numFmtId="0" fontId="50" fillId="0" borderId="30" xfId="1" applyFont="1" applyBorder="1" applyAlignment="1" applyProtection="1">
      <alignment wrapText="1"/>
      <protection locked="0"/>
    </xf>
    <xf numFmtId="22" fontId="55" fillId="0" borderId="0" xfId="1" applyNumberFormat="1" applyFont="1" applyProtection="1">
      <protection locked="0"/>
    </xf>
    <xf numFmtId="0" fontId="55" fillId="0" borderId="0" xfId="1" applyFont="1" applyProtection="1">
      <protection locked="0"/>
    </xf>
    <xf numFmtId="0" fontId="50" fillId="0" borderId="0" xfId="1" quotePrefix="1" applyFont="1" applyBorder="1" applyAlignment="1" applyProtection="1">
      <alignment horizontal="center"/>
      <protection locked="0"/>
    </xf>
    <xf numFmtId="0" fontId="35" fillId="5" borderId="6" xfId="1" applyFont="1" applyFill="1" applyBorder="1" applyAlignment="1" applyProtection="1">
      <alignment horizontal="left" wrapText="1"/>
      <protection locked="0"/>
    </xf>
    <xf numFmtId="0" fontId="35" fillId="5" borderId="6" xfId="1" applyFont="1" applyFill="1" applyBorder="1" applyAlignment="1" applyProtection="1">
      <alignment horizontal="center" wrapText="1"/>
      <protection locked="0"/>
    </xf>
    <xf numFmtId="0" fontId="11" fillId="0" borderId="105" xfId="1" applyFont="1" applyBorder="1" applyAlignment="1" applyProtection="1">
      <alignment vertical="top"/>
      <protection locked="0"/>
    </xf>
    <xf numFmtId="0" fontId="11" fillId="0" borderId="104" xfId="1" applyFont="1" applyBorder="1" applyAlignment="1" applyProtection="1">
      <alignment wrapText="1"/>
      <protection locked="0"/>
    </xf>
    <xf numFmtId="0" fontId="57" fillId="0" borderId="25" xfId="1" applyFont="1" applyBorder="1" applyProtection="1">
      <protection locked="0"/>
    </xf>
    <xf numFmtId="0" fontId="57" fillId="0" borderId="25" xfId="1" applyFont="1" applyFill="1" applyBorder="1" applyProtection="1">
      <protection locked="0"/>
    </xf>
    <xf numFmtId="0" fontId="56" fillId="0" borderId="25" xfId="1" applyFont="1" applyBorder="1" applyAlignment="1" applyProtection="1">
      <alignment horizontal="left" indent="1"/>
      <protection locked="0"/>
    </xf>
    <xf numFmtId="0" fontId="57" fillId="0" borderId="26" xfId="1" applyFont="1" applyFill="1" applyBorder="1" applyProtection="1">
      <protection locked="0"/>
    </xf>
    <xf numFmtId="0" fontId="57" fillId="0" borderId="26" xfId="1" applyFont="1" applyBorder="1" applyProtection="1">
      <protection locked="0"/>
    </xf>
    <xf numFmtId="14" fontId="50" fillId="0" borderId="0" xfId="1" applyNumberFormat="1" applyFont="1" applyBorder="1" applyAlignment="1" applyProtection="1">
      <alignment horizontal="center"/>
      <protection locked="0"/>
    </xf>
    <xf numFmtId="0" fontId="50" fillId="0" borderId="30" xfId="1" applyFont="1" applyBorder="1" applyProtection="1">
      <protection locked="0"/>
    </xf>
    <xf numFmtId="9" fontId="50" fillId="0" borderId="0" xfId="4" quotePrefix="1" applyFont="1" applyBorder="1" applyAlignment="1" applyProtection="1">
      <alignment horizontal="left"/>
      <protection locked="0"/>
    </xf>
    <xf numFmtId="14" fontId="14" fillId="2" borderId="68" xfId="1" applyNumberFormat="1" applyFont="1" applyFill="1" applyBorder="1" applyAlignment="1" applyProtection="1">
      <alignment horizontal="center"/>
      <protection locked="0"/>
    </xf>
    <xf numFmtId="14" fontId="11" fillId="0" borderId="24" xfId="1" applyNumberFormat="1" applyFont="1" applyFill="1" applyBorder="1" applyAlignment="1" applyProtection="1">
      <alignment horizontal="center"/>
      <protection locked="0"/>
    </xf>
    <xf numFmtId="14" fontId="11" fillId="0" borderId="53" xfId="1" applyNumberFormat="1" applyFont="1" applyFill="1" applyBorder="1" applyAlignment="1" applyProtection="1">
      <alignment horizontal="center"/>
      <protection locked="0"/>
    </xf>
    <xf numFmtId="14" fontId="14" fillId="2" borderId="54" xfId="1" applyNumberFormat="1" applyFont="1" applyFill="1" applyBorder="1" applyAlignment="1" applyProtection="1">
      <alignment horizontal="center"/>
      <protection locked="0"/>
    </xf>
    <xf numFmtId="14" fontId="11" fillId="0" borderId="52" xfId="1" applyNumberFormat="1" applyFont="1" applyFill="1" applyBorder="1" applyAlignment="1" applyProtection="1">
      <alignment horizontal="center"/>
      <protection locked="0"/>
    </xf>
    <xf numFmtId="0" fontId="20" fillId="5" borderId="6" xfId="1" applyFont="1" applyFill="1" applyBorder="1" applyAlignment="1" applyProtection="1">
      <alignment wrapText="1"/>
      <protection locked="0"/>
    </xf>
    <xf numFmtId="0" fontId="20" fillId="5" borderId="6" xfId="1" applyFont="1" applyFill="1" applyBorder="1" applyAlignment="1" applyProtection="1">
      <alignment horizontal="left" wrapText="1"/>
      <protection locked="0"/>
    </xf>
    <xf numFmtId="0" fontId="20" fillId="5" borderId="6" xfId="1" applyFont="1" applyFill="1" applyBorder="1" applyAlignment="1" applyProtection="1">
      <alignment horizontal="center" wrapText="1"/>
      <protection locked="0"/>
    </xf>
    <xf numFmtId="14" fontId="20" fillId="5" borderId="6" xfId="1" applyNumberFormat="1" applyFont="1" applyFill="1" applyBorder="1" applyAlignment="1" applyProtection="1">
      <alignment horizontal="center" wrapText="1"/>
      <protection locked="0"/>
    </xf>
    <xf numFmtId="0" fontId="56" fillId="0" borderId="38" xfId="1" applyFont="1" applyBorder="1" applyAlignment="1" applyProtection="1">
      <alignment vertical="center" textRotation="90"/>
      <protection locked="0"/>
    </xf>
    <xf numFmtId="0" fontId="56" fillId="0" borderId="39" xfId="1" applyFont="1" applyBorder="1" applyAlignment="1" applyProtection="1">
      <alignment vertical="center" textRotation="90"/>
      <protection locked="0"/>
    </xf>
    <xf numFmtId="0" fontId="56" fillId="0" borderId="25" xfId="1" applyFont="1" applyBorder="1" applyAlignment="1" applyProtection="1">
      <alignment vertical="center" textRotation="90"/>
      <protection locked="0"/>
    </xf>
    <xf numFmtId="0" fontId="56" fillId="0" borderId="46" xfId="1" applyFont="1" applyBorder="1" applyAlignment="1" applyProtection="1">
      <alignment vertical="center" textRotation="90"/>
      <protection locked="0"/>
    </xf>
    <xf numFmtId="0" fontId="43" fillId="9" borderId="75" xfId="1" applyFont="1" applyFill="1" applyBorder="1" applyAlignment="1" applyProtection="1">
      <alignment vertical="top"/>
      <protection locked="0"/>
    </xf>
    <xf numFmtId="14" fontId="11" fillId="0" borderId="19" xfId="1" applyNumberFormat="1" applyFont="1" applyFill="1" applyBorder="1" applyAlignment="1" applyProtection="1">
      <alignment horizontal="center"/>
      <protection locked="0"/>
    </xf>
    <xf numFmtId="14" fontId="11" fillId="0" borderId="6" xfId="1" applyNumberFormat="1" applyFont="1" applyFill="1" applyBorder="1" applyAlignment="1" applyProtection="1">
      <alignment horizontal="center"/>
      <protection locked="0"/>
    </xf>
    <xf numFmtId="14" fontId="14" fillId="2" borderId="7" xfId="1" applyNumberFormat="1" applyFont="1" applyFill="1" applyBorder="1" applyAlignment="1" applyProtection="1">
      <alignment horizontal="center"/>
      <protection locked="0"/>
    </xf>
    <xf numFmtId="1" fontId="14" fillId="2" borderId="7" xfId="1" applyNumberFormat="1" applyFont="1" applyFill="1" applyBorder="1" applyAlignment="1" applyProtection="1">
      <alignment horizontal="center"/>
      <protection locked="0"/>
    </xf>
    <xf numFmtId="1" fontId="9" fillId="0" borderId="6" xfId="1" applyNumberFormat="1" applyFont="1" applyFill="1" applyBorder="1" applyAlignment="1" applyProtection="1">
      <alignment horizontal="center" vertical="center"/>
    </xf>
    <xf numFmtId="1" fontId="9" fillId="0" borderId="42" xfId="1" applyNumberFormat="1" applyFont="1" applyFill="1" applyBorder="1" applyAlignment="1" applyProtection="1">
      <alignment horizontal="center" vertical="center"/>
    </xf>
    <xf numFmtId="0" fontId="11" fillId="0" borderId="21" xfId="1" applyFont="1" applyBorder="1" applyAlignment="1" applyProtection="1">
      <alignment horizontal="left" vertical="top"/>
      <protection locked="0"/>
    </xf>
    <xf numFmtId="0" fontId="35" fillId="5" borderId="6" xfId="1" applyFont="1" applyFill="1" applyBorder="1" applyAlignment="1" applyProtection="1">
      <alignment wrapText="1"/>
      <protection locked="0"/>
    </xf>
    <xf numFmtId="14" fontId="35" fillId="5" borderId="6" xfId="1" applyNumberFormat="1" applyFont="1" applyFill="1" applyBorder="1" applyAlignment="1" applyProtection="1">
      <alignment horizontal="center" wrapText="1"/>
      <protection locked="0"/>
    </xf>
    <xf numFmtId="14" fontId="11" fillId="0" borderId="99" xfId="1" applyNumberFormat="1" applyFont="1" applyFill="1" applyBorder="1" applyAlignment="1" applyProtection="1">
      <alignment horizontal="center"/>
      <protection locked="0"/>
    </xf>
    <xf numFmtId="14" fontId="14" fillId="2" borderId="108" xfId="1" applyNumberFormat="1" applyFont="1" applyFill="1" applyBorder="1" applyAlignment="1" applyProtection="1">
      <alignment horizontal="center"/>
      <protection locked="0"/>
    </xf>
    <xf numFmtId="14" fontId="11" fillId="0" borderId="106" xfId="1" applyNumberFormat="1" applyFont="1" applyFill="1" applyBorder="1" applyAlignment="1" applyProtection="1">
      <alignment horizontal="center"/>
      <protection locked="0"/>
    </xf>
    <xf numFmtId="1" fontId="14" fillId="2" borderId="108" xfId="1" applyNumberFormat="1" applyFont="1" applyFill="1" applyBorder="1" applyAlignment="1" applyProtection="1">
      <alignment horizontal="center"/>
      <protection locked="0"/>
    </xf>
    <xf numFmtId="14" fontId="11" fillId="0" borderId="14" xfId="1" applyNumberFormat="1" applyFont="1" applyFill="1" applyBorder="1" applyAlignment="1" applyProtection="1">
      <alignment horizontal="center"/>
      <protection locked="0"/>
    </xf>
    <xf numFmtId="14" fontId="11" fillId="0" borderId="109" xfId="1" applyNumberFormat="1" applyFont="1" applyFill="1" applyBorder="1" applyAlignment="1" applyProtection="1">
      <alignment horizontal="center"/>
      <protection locked="0"/>
    </xf>
    <xf numFmtId="1" fontId="9" fillId="0" borderId="8" xfId="1" applyNumberFormat="1" applyFont="1" applyFill="1" applyBorder="1" applyAlignment="1" applyProtection="1">
      <alignment horizontal="center" vertical="center"/>
      <protection locked="0"/>
    </xf>
    <xf numFmtId="14" fontId="11" fillId="0" borderId="7" xfId="1" applyNumberFormat="1" applyFont="1" applyBorder="1" applyAlignment="1" applyProtection="1">
      <alignment horizontal="center"/>
      <protection locked="0"/>
    </xf>
    <xf numFmtId="22" fontId="50" fillId="0" borderId="0" xfId="1" applyNumberFormat="1" applyFont="1" applyFill="1" applyProtection="1">
      <protection locked="0"/>
    </xf>
    <xf numFmtId="0" fontId="50" fillId="0" borderId="0" xfId="1" applyFont="1" applyFill="1" applyProtection="1">
      <protection locked="0"/>
    </xf>
    <xf numFmtId="0" fontId="50" fillId="0" borderId="0" xfId="1" applyFont="1" applyProtection="1">
      <protection locked="0"/>
    </xf>
    <xf numFmtId="0" fontId="56" fillId="0" borderId="25" xfId="1" applyFont="1" applyFill="1" applyBorder="1" applyAlignment="1" applyProtection="1">
      <alignment wrapText="1"/>
      <protection locked="0"/>
    </xf>
    <xf numFmtId="0" fontId="57" fillId="0" borderId="25" xfId="1" applyFont="1" applyFill="1" applyBorder="1" applyAlignment="1" applyProtection="1">
      <alignment horizontal="left" indent="1"/>
      <protection locked="0"/>
    </xf>
    <xf numFmtId="0" fontId="57" fillId="0" borderId="26" xfId="1" applyFont="1" applyBorder="1" applyAlignment="1" applyProtection="1">
      <alignment wrapText="1"/>
      <protection locked="0"/>
    </xf>
    <xf numFmtId="0" fontId="48" fillId="11" borderId="103" xfId="1" applyFont="1" applyFill="1" applyBorder="1" applyAlignment="1" applyProtection="1">
      <alignment horizontal="center"/>
      <protection locked="0"/>
    </xf>
    <xf numFmtId="0" fontId="43" fillId="9" borderId="75" xfId="1" applyFont="1" applyFill="1" applyBorder="1" applyAlignment="1" applyProtection="1">
      <alignment wrapText="1"/>
      <protection locked="0"/>
    </xf>
    <xf numFmtId="0" fontId="11" fillId="0" borderId="69" xfId="1" applyFont="1" applyFill="1" applyBorder="1" applyAlignment="1" applyProtection="1">
      <alignment vertical="top"/>
      <protection locked="0"/>
    </xf>
    <xf numFmtId="0" fontId="11" fillId="0" borderId="69" xfId="1" applyFont="1" applyFill="1" applyBorder="1" applyAlignment="1" applyProtection="1">
      <alignment vertical="top" wrapText="1"/>
      <protection locked="0"/>
    </xf>
    <xf numFmtId="0" fontId="11" fillId="0" borderId="72" xfId="1" applyFont="1" applyBorder="1" applyAlignment="1" applyProtection="1">
      <alignment horizontal="left" wrapText="1" indent="1"/>
      <protection locked="0"/>
    </xf>
    <xf numFmtId="0" fontId="11" fillId="0" borderId="72" xfId="1" applyFont="1" applyBorder="1" applyAlignment="1" applyProtection="1">
      <alignment horizontal="left" wrapText="1" indent="2"/>
      <protection locked="0"/>
    </xf>
    <xf numFmtId="0" fontId="43" fillId="9" borderId="72" xfId="1" applyFont="1" applyFill="1" applyBorder="1" applyAlignment="1" applyProtection="1">
      <alignment wrapText="1"/>
      <protection locked="0"/>
    </xf>
    <xf numFmtId="14" fontId="14" fillId="2" borderId="8" xfId="1" applyNumberFormat="1" applyFont="1" applyFill="1" applyBorder="1" applyAlignment="1" applyProtection="1">
      <alignment horizontal="center"/>
      <protection locked="0"/>
    </xf>
    <xf numFmtId="0" fontId="11" fillId="0" borderId="34" xfId="1" applyFont="1" applyFill="1" applyBorder="1" applyAlignment="1" applyProtection="1">
      <alignment wrapText="1"/>
      <protection locked="0"/>
    </xf>
    <xf numFmtId="0" fontId="11" fillId="0" borderId="72" xfId="1" applyFont="1" applyBorder="1" applyAlignment="1" applyProtection="1">
      <alignment horizontal="left" wrapText="1" indent="3"/>
      <protection locked="0"/>
    </xf>
    <xf numFmtId="0" fontId="11" fillId="0" borderId="72" xfId="1" applyFont="1" applyFill="1" applyBorder="1" applyAlignment="1" applyProtection="1">
      <alignment horizontal="left" wrapText="1" indent="1"/>
      <protection locked="0"/>
    </xf>
    <xf numFmtId="0" fontId="14" fillId="2" borderId="8" xfId="1" applyFont="1" applyFill="1" applyBorder="1" applyAlignment="1" applyProtection="1">
      <alignment horizontal="center"/>
      <protection locked="0"/>
    </xf>
    <xf numFmtId="1" fontId="11" fillId="0" borderId="8" xfId="1" applyNumberFormat="1" applyFont="1" applyFill="1" applyBorder="1" applyAlignment="1" applyProtection="1">
      <alignment horizontal="center" vertical="center"/>
      <protection locked="0"/>
    </xf>
    <xf numFmtId="1" fontId="11" fillId="0" borderId="34" xfId="1" applyNumberFormat="1" applyFont="1" applyFill="1" applyBorder="1" applyAlignment="1" applyProtection="1">
      <alignment horizontal="center" vertical="center"/>
      <protection locked="0"/>
    </xf>
    <xf numFmtId="0" fontId="11" fillId="0" borderId="78" xfId="1" applyFont="1" applyBorder="1" applyAlignment="1" applyProtection="1">
      <alignment horizontal="left" wrapText="1" indent="1"/>
      <protection locked="0"/>
    </xf>
    <xf numFmtId="0" fontId="11" fillId="0" borderId="42" xfId="1" applyFont="1" applyBorder="1" applyAlignment="1" applyProtection="1">
      <alignment horizontal="center"/>
      <protection locked="0"/>
    </xf>
    <xf numFmtId="0" fontId="11" fillId="0" borderId="42" xfId="1" applyFont="1" applyBorder="1" applyProtection="1">
      <protection locked="0"/>
    </xf>
    <xf numFmtId="0" fontId="11" fillId="0" borderId="42" xfId="1" applyFont="1" applyBorder="1" applyAlignment="1" applyProtection="1">
      <alignment wrapText="1"/>
      <protection locked="0"/>
    </xf>
    <xf numFmtId="0" fontId="11" fillId="0" borderId="43" xfId="1" applyFont="1" applyBorder="1" applyAlignment="1" applyProtection="1">
      <alignment wrapText="1"/>
      <protection locked="0"/>
    </xf>
    <xf numFmtId="1" fontId="11" fillId="0" borderId="69" xfId="1" applyNumberFormat="1" applyFont="1" applyFill="1" applyBorder="1" applyAlignment="1" applyProtection="1">
      <alignment horizontal="center" vertical="center"/>
    </xf>
    <xf numFmtId="1" fontId="11" fillId="0" borderId="8" xfId="1" applyNumberFormat="1" applyFont="1" applyFill="1" applyBorder="1" applyAlignment="1" applyProtection="1">
      <alignment horizontal="center" vertical="center"/>
    </xf>
    <xf numFmtId="1" fontId="11" fillId="0" borderId="42" xfId="1" applyNumberFormat="1" applyFont="1" applyFill="1" applyBorder="1" applyAlignment="1" applyProtection="1">
      <alignment horizontal="center" vertical="center"/>
    </xf>
    <xf numFmtId="0" fontId="50" fillId="0" borderId="25" xfId="1" applyFont="1" applyBorder="1" applyAlignment="1" applyProtection="1">
      <alignment wrapText="1"/>
      <protection locked="0"/>
    </xf>
    <xf numFmtId="0" fontId="50" fillId="0" borderId="0" xfId="1" applyFont="1" applyAlignment="1" applyProtection="1">
      <alignment horizontal="center"/>
      <protection locked="0"/>
    </xf>
    <xf numFmtId="14" fontId="50" fillId="0" borderId="0" xfId="1" applyNumberFormat="1" applyFont="1" applyAlignment="1" applyProtection="1">
      <alignment horizontal="center"/>
      <protection locked="0"/>
    </xf>
    <xf numFmtId="0" fontId="50" fillId="0" borderId="0" xfId="1" applyFont="1" applyAlignment="1" applyProtection="1">
      <alignment wrapText="1"/>
      <protection locked="0"/>
    </xf>
    <xf numFmtId="0" fontId="50" fillId="0" borderId="25" xfId="1" applyFont="1" applyBorder="1" applyAlignment="1" applyProtection="1">
      <alignment horizontal="right" wrapText="1"/>
      <protection locked="0"/>
    </xf>
    <xf numFmtId="0" fontId="50" fillId="0" borderId="0" xfId="1" applyFont="1" applyAlignment="1" applyProtection="1">
      <alignment horizontal="right"/>
      <protection locked="0"/>
    </xf>
    <xf numFmtId="14" fontId="50" fillId="0" borderId="0" xfId="1" applyNumberFormat="1" applyFont="1" applyAlignment="1" applyProtection="1">
      <alignment horizontal="right"/>
      <protection locked="0"/>
    </xf>
    <xf numFmtId="0" fontId="50" fillId="0" borderId="0" xfId="0" applyFont="1" applyAlignment="1" applyProtection="1">
      <alignment horizontal="center"/>
    </xf>
    <xf numFmtId="0" fontId="50" fillId="0" borderId="0" xfId="1" applyFont="1" applyAlignment="1" applyProtection="1">
      <alignment horizontal="center"/>
    </xf>
    <xf numFmtId="1" fontId="9" fillId="0" borderId="8" xfId="1" applyNumberFormat="1" applyFont="1" applyBorder="1" applyAlignment="1" applyProtection="1">
      <alignment horizontal="center" vertical="center"/>
      <protection locked="0"/>
    </xf>
    <xf numFmtId="1" fontId="14" fillId="2" borderId="8" xfId="1" applyNumberFormat="1" applyFont="1" applyFill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11" fillId="0" borderId="34" xfId="1" applyFont="1" applyBorder="1" applyAlignment="1" applyProtection="1">
      <alignment horizontal="left" vertical="top" wrapText="1"/>
      <protection locked="0"/>
    </xf>
    <xf numFmtId="0" fontId="18" fillId="0" borderId="34" xfId="0" applyFont="1" applyBorder="1" applyAlignment="1" applyProtection="1">
      <alignment vertical="center" wrapText="1"/>
      <protection locked="0"/>
    </xf>
    <xf numFmtId="0" fontId="11" fillId="0" borderId="8" xfId="1" applyFont="1" applyBorder="1" applyAlignment="1" applyProtection="1">
      <alignment horizontal="left" vertical="top" indent="1"/>
      <protection locked="0"/>
    </xf>
    <xf numFmtId="1" fontId="9" fillId="0" borderId="42" xfId="1" applyNumberFormat="1" applyFont="1" applyBorder="1" applyAlignment="1" applyProtection="1">
      <alignment horizontal="center" vertical="center"/>
      <protection locked="0"/>
    </xf>
    <xf numFmtId="0" fontId="43" fillId="9" borderId="72" xfId="1" applyFont="1" applyFill="1" applyBorder="1" applyAlignment="1" applyProtection="1">
      <alignment vertical="top"/>
      <protection locked="0"/>
    </xf>
    <xf numFmtId="0" fontId="11" fillId="0" borderId="69" xfId="1" applyFont="1" applyBorder="1" applyAlignment="1" applyProtection="1">
      <alignment horizontal="left" vertical="top" wrapText="1"/>
      <protection locked="0"/>
    </xf>
    <xf numFmtId="0" fontId="11" fillId="0" borderId="21" xfId="1" applyFont="1" applyBorder="1" applyAlignment="1" applyProtection="1">
      <alignment horizontal="left" vertical="top" wrapText="1"/>
      <protection locked="0"/>
    </xf>
    <xf numFmtId="0" fontId="11" fillId="0" borderId="7" xfId="1" applyFont="1" applyBorder="1" applyAlignment="1" applyProtection="1">
      <alignment horizontal="left" vertical="top" wrapText="1"/>
      <protection locked="0"/>
    </xf>
    <xf numFmtId="0" fontId="11" fillId="0" borderId="42" xfId="1" applyFont="1" applyBorder="1" applyAlignment="1" applyProtection="1">
      <alignment horizontal="left" vertical="top" wrapText="1"/>
      <protection locked="0"/>
    </xf>
    <xf numFmtId="0" fontId="11" fillId="0" borderId="20" xfId="1" applyFont="1" applyBorder="1" applyAlignment="1" applyProtection="1">
      <alignment horizontal="left" vertical="top" wrapText="1"/>
      <protection locked="0"/>
    </xf>
    <xf numFmtId="14" fontId="11" fillId="2" borderId="18" xfId="1" applyNumberFormat="1" applyFont="1" applyFill="1" applyBorder="1" applyAlignment="1" applyProtection="1">
      <alignment horizontal="center"/>
      <protection locked="0"/>
    </xf>
    <xf numFmtId="14" fontId="14" fillId="2" borderId="20" xfId="1" applyNumberFormat="1" applyFont="1" applyFill="1" applyBorder="1" applyAlignment="1" applyProtection="1">
      <alignment horizontal="center"/>
      <protection locked="0"/>
    </xf>
    <xf numFmtId="14" fontId="11" fillId="0" borderId="18" xfId="1" applyNumberFormat="1" applyFont="1" applyBorder="1" applyAlignment="1" applyProtection="1">
      <alignment horizontal="center" vertical="top"/>
      <protection locked="0"/>
    </xf>
    <xf numFmtId="0" fontId="11" fillId="0" borderId="18" xfId="1" applyFont="1" applyBorder="1" applyAlignment="1" applyProtection="1">
      <alignment vertical="top"/>
      <protection locked="0"/>
    </xf>
    <xf numFmtId="0" fontId="11" fillId="0" borderId="18" xfId="1" applyFont="1" applyBorder="1" applyAlignment="1" applyProtection="1">
      <alignment vertical="top" wrapText="1"/>
      <protection locked="0"/>
    </xf>
    <xf numFmtId="0" fontId="11" fillId="0" borderId="20" xfId="1" applyFont="1" applyBorder="1" applyAlignment="1" applyProtection="1">
      <alignment vertical="top"/>
      <protection locked="0"/>
    </xf>
    <xf numFmtId="0" fontId="11" fillId="0" borderId="17" xfId="1" applyFont="1" applyBorder="1" applyAlignment="1" applyProtection="1">
      <alignment horizontal="left" vertical="top" wrapText="1"/>
      <protection locked="0"/>
    </xf>
    <xf numFmtId="14" fontId="11" fillId="0" borderId="17" xfId="1" applyNumberFormat="1" applyFont="1" applyBorder="1" applyAlignment="1" applyProtection="1">
      <alignment horizontal="center"/>
      <protection locked="0"/>
    </xf>
    <xf numFmtId="14" fontId="11" fillId="0" borderId="17" xfId="1" applyNumberFormat="1" applyFont="1" applyBorder="1" applyAlignment="1" applyProtection="1">
      <alignment horizontal="center" vertical="top"/>
      <protection locked="0"/>
    </xf>
    <xf numFmtId="0" fontId="11" fillId="0" borderId="17" xfId="1" applyFont="1" applyBorder="1" applyAlignment="1" applyProtection="1">
      <alignment vertical="top"/>
      <protection locked="0"/>
    </xf>
    <xf numFmtId="0" fontId="11" fillId="0" borderId="17" xfId="1" applyFont="1" applyBorder="1" applyAlignment="1" applyProtection="1">
      <alignment vertical="top" wrapText="1"/>
      <protection locked="0"/>
    </xf>
    <xf numFmtId="0" fontId="14" fillId="0" borderId="17" xfId="1" applyFont="1" applyBorder="1" applyAlignment="1" applyProtection="1">
      <alignment vertical="top" wrapText="1"/>
      <protection locked="0"/>
    </xf>
    <xf numFmtId="14" fontId="11" fillId="2" borderId="17" xfId="1" applyNumberFormat="1" applyFont="1" applyFill="1" applyBorder="1" applyAlignment="1" applyProtection="1">
      <alignment horizontal="center"/>
      <protection locked="0"/>
    </xf>
    <xf numFmtId="0" fontId="15" fillId="0" borderId="23" xfId="1" applyFont="1" applyBorder="1" applyAlignment="1" applyProtection="1">
      <alignment horizontal="left" vertical="top" wrapText="1" indent="2"/>
      <protection locked="0"/>
    </xf>
    <xf numFmtId="0" fontId="15" fillId="0" borderId="23" xfId="1" applyFont="1" applyBorder="1" applyAlignment="1" applyProtection="1">
      <alignment horizontal="left" vertical="top" wrapText="1" indent="1"/>
      <protection locked="0"/>
    </xf>
    <xf numFmtId="0" fontId="14" fillId="0" borderId="17" xfId="1" applyFont="1" applyBorder="1" applyAlignment="1" applyProtection="1">
      <alignment horizontal="left" vertical="top" wrapText="1"/>
      <protection locked="0"/>
    </xf>
    <xf numFmtId="0" fontId="11" fillId="0" borderId="19" xfId="1" applyFont="1" applyBorder="1" applyAlignment="1" applyProtection="1">
      <alignment horizontal="left" vertical="top" wrapText="1" indent="1"/>
      <protection locked="0"/>
    </xf>
    <xf numFmtId="0" fontId="11" fillId="0" borderId="19" xfId="1" applyFont="1" applyBorder="1" applyAlignment="1" applyProtection="1">
      <alignment horizontal="left" vertical="top" wrapText="1" indent="2"/>
      <protection locked="0"/>
    </xf>
    <xf numFmtId="14" fontId="15" fillId="0" borderId="17" xfId="1" applyNumberFormat="1" applyFont="1" applyBorder="1" applyAlignment="1" applyProtection="1">
      <alignment horizontal="center"/>
      <protection locked="0"/>
    </xf>
    <xf numFmtId="0" fontId="11" fillId="0" borderId="19" xfId="1" applyFont="1" applyBorder="1" applyAlignment="1" applyProtection="1">
      <alignment horizontal="left" vertical="top" wrapText="1" indent="3"/>
      <protection locked="0"/>
    </xf>
    <xf numFmtId="0" fontId="11" fillId="0" borderId="19" xfId="1" applyFont="1" applyBorder="1" applyAlignment="1" applyProtection="1">
      <alignment vertical="top" wrapText="1"/>
      <protection locked="0"/>
    </xf>
    <xf numFmtId="14" fontId="14" fillId="2" borderId="17" xfId="1" applyNumberFormat="1" applyFont="1" applyFill="1" applyBorder="1" applyAlignment="1" applyProtection="1">
      <alignment horizontal="center"/>
      <protection locked="0"/>
    </xf>
    <xf numFmtId="0" fontId="15" fillId="0" borderId="19" xfId="1" applyFont="1" applyBorder="1" applyAlignment="1" applyProtection="1">
      <alignment horizontal="left" vertical="top" wrapText="1" indent="1"/>
      <protection locked="0"/>
    </xf>
    <xf numFmtId="14" fontId="14" fillId="0" borderId="17" xfId="1" applyNumberFormat="1" applyFont="1" applyBorder="1" applyAlignment="1" applyProtection="1">
      <alignment horizontal="center"/>
      <protection locked="0"/>
    </xf>
    <xf numFmtId="1" fontId="11" fillId="0" borderId="20" xfId="1" applyNumberFormat="1" applyFont="1" applyBorder="1" applyAlignment="1" applyProtection="1">
      <alignment horizontal="center" vertical="center"/>
    </xf>
    <xf numFmtId="1" fontId="11" fillId="0" borderId="17" xfId="1" applyNumberFormat="1" applyFont="1" applyBorder="1" applyAlignment="1" applyProtection="1">
      <alignment horizontal="center" vertical="center"/>
    </xf>
    <xf numFmtId="1" fontId="9" fillId="0" borderId="7" xfId="1" applyNumberFormat="1" applyFont="1" applyBorder="1" applyAlignment="1" applyProtection="1">
      <alignment horizontal="center" vertical="center"/>
    </xf>
    <xf numFmtId="1" fontId="9" fillId="0" borderId="8" xfId="1" applyNumberFormat="1" applyFont="1" applyBorder="1" applyAlignment="1" applyProtection="1">
      <alignment horizontal="center" vertical="center"/>
    </xf>
    <xf numFmtId="1" fontId="9" fillId="0" borderId="42" xfId="1" applyNumberFormat="1" applyFont="1" applyBorder="1" applyAlignment="1" applyProtection="1">
      <alignment horizontal="center" vertical="center"/>
    </xf>
    <xf numFmtId="1" fontId="11" fillId="0" borderId="21" xfId="1" applyNumberFormat="1" applyFont="1" applyFill="1" applyBorder="1" applyAlignment="1" applyProtection="1">
      <alignment horizontal="center" vertical="center"/>
    </xf>
    <xf numFmtId="1" fontId="11" fillId="0" borderId="7" xfId="1" applyNumberFormat="1" applyFont="1" applyFill="1" applyBorder="1" applyAlignment="1" applyProtection="1">
      <alignment horizontal="center" vertical="center"/>
    </xf>
    <xf numFmtId="14" fontId="11" fillId="2" borderId="7" xfId="1" applyNumberFormat="1" applyFont="1" applyFill="1" applyBorder="1" applyAlignment="1" applyProtection="1">
      <alignment horizontal="center"/>
      <protection locked="0"/>
    </xf>
    <xf numFmtId="0" fontId="50" fillId="0" borderId="0" xfId="1" applyFont="1" applyBorder="1" applyAlignment="1" applyProtection="1">
      <alignment vertical="center" wrapText="1"/>
      <protection locked="0"/>
    </xf>
    <xf numFmtId="9" fontId="50" fillId="0" borderId="0" xfId="4" applyFont="1" applyBorder="1" applyAlignment="1" applyProtection="1">
      <alignment horizontal="left"/>
    </xf>
    <xf numFmtId="0" fontId="59" fillId="0" borderId="48" xfId="1" applyFont="1" applyBorder="1" applyAlignment="1" applyProtection="1">
      <alignment vertical="top"/>
      <protection locked="0"/>
    </xf>
    <xf numFmtId="0" fontId="59" fillId="0" borderId="25" xfId="1" applyFont="1" applyBorder="1" applyAlignment="1" applyProtection="1">
      <alignment vertical="top"/>
      <protection locked="0"/>
    </xf>
    <xf numFmtId="0" fontId="43" fillId="9" borderId="22" xfId="1" applyFont="1" applyFill="1" applyBorder="1" applyAlignment="1" applyProtection="1">
      <alignment vertical="top" wrapText="1"/>
      <protection locked="0"/>
    </xf>
    <xf numFmtId="22" fontId="49" fillId="0" borderId="0" xfId="1" applyNumberFormat="1" applyFont="1" applyAlignment="1" applyProtection="1">
      <alignment horizontal="center" vertical="center"/>
      <protection locked="0"/>
    </xf>
    <xf numFmtId="0" fontId="49" fillId="0" borderId="0" xfId="1" applyFont="1" applyAlignment="1" applyProtection="1">
      <alignment horizontal="center" vertical="center"/>
      <protection locked="0"/>
    </xf>
    <xf numFmtId="22" fontId="50" fillId="0" borderId="0" xfId="1" applyNumberFormat="1" applyFont="1" applyProtection="1">
      <protection locked="0"/>
    </xf>
    <xf numFmtId="14" fontId="14" fillId="0" borderId="7" xfId="1" applyNumberFormat="1" applyFont="1" applyFill="1" applyBorder="1" applyAlignment="1" applyProtection="1">
      <alignment horizontal="center"/>
      <protection locked="0"/>
    </xf>
    <xf numFmtId="0" fontId="50" fillId="0" borderId="0" xfId="4" applyNumberFormat="1" applyFont="1" applyBorder="1" applyAlignment="1" applyProtection="1">
      <alignment horizontal="left" wrapText="1"/>
    </xf>
    <xf numFmtId="9" fontId="50" fillId="0" borderId="0" xfId="4" applyFont="1" applyBorder="1" applyAlignment="1" applyProtection="1">
      <alignment horizontal="left" wrapText="1"/>
      <protection locked="0"/>
    </xf>
    <xf numFmtId="9" fontId="50" fillId="0" borderId="0" xfId="4" quotePrefix="1" applyFont="1" applyBorder="1" applyAlignment="1" applyProtection="1">
      <alignment horizontal="left" wrapText="1"/>
      <protection locked="0"/>
    </xf>
    <xf numFmtId="0" fontId="43" fillId="9" borderId="75" xfId="1" applyFont="1" applyFill="1" applyBorder="1" applyAlignment="1" applyProtection="1">
      <alignment vertical="top" wrapText="1"/>
      <protection locked="0"/>
    </xf>
    <xf numFmtId="0" fontId="11" fillId="0" borderId="72" xfId="1" applyFont="1" applyFill="1" applyBorder="1" applyAlignment="1" applyProtection="1">
      <alignment horizontal="left" vertical="top" wrapText="1"/>
      <protection locked="0"/>
    </xf>
    <xf numFmtId="0" fontId="11" fillId="0" borderId="74" xfId="1" applyFont="1" applyFill="1" applyBorder="1" applyAlignment="1" applyProtection="1">
      <alignment horizontal="left" vertical="top" wrapText="1"/>
      <protection locked="0"/>
    </xf>
    <xf numFmtId="0" fontId="9" fillId="0" borderId="28" xfId="1" applyFont="1" applyBorder="1" applyAlignment="1" applyProtection="1">
      <alignment horizontal="left" vertical="top" wrapText="1"/>
      <protection locked="0"/>
    </xf>
    <xf numFmtId="0" fontId="11" fillId="0" borderId="28" xfId="1" applyFont="1" applyBorder="1" applyAlignment="1" applyProtection="1">
      <alignment horizontal="left" vertical="top" wrapText="1"/>
      <protection locked="0"/>
    </xf>
    <xf numFmtId="0" fontId="11" fillId="0" borderId="58" xfId="1" applyFont="1" applyBorder="1" applyAlignment="1" applyProtection="1">
      <alignment horizontal="left" wrapText="1"/>
      <protection locked="0"/>
    </xf>
    <xf numFmtId="1" fontId="9" fillId="0" borderId="21" xfId="1" applyNumberFormat="1" applyFont="1" applyBorder="1" applyAlignment="1" applyProtection="1">
      <alignment horizontal="center" vertical="center"/>
    </xf>
    <xf numFmtId="1" fontId="9" fillId="0" borderId="69" xfId="1" applyNumberFormat="1" applyFont="1" applyBorder="1" applyAlignment="1" applyProtection="1">
      <alignment horizontal="center" vertical="center"/>
    </xf>
    <xf numFmtId="1" fontId="11" fillId="0" borderId="8" xfId="1" applyNumberFormat="1" applyFont="1" applyBorder="1" applyAlignment="1" applyProtection="1">
      <alignment horizontal="center" vertical="center"/>
    </xf>
    <xf numFmtId="0" fontId="43" fillId="9" borderId="72" xfId="1" applyFont="1" applyFill="1" applyBorder="1" applyAlignment="1" applyProtection="1">
      <alignment vertical="top" wrapText="1"/>
      <protection locked="0"/>
    </xf>
    <xf numFmtId="14" fontId="11" fillId="2" borderId="8" xfId="1" applyNumberFormat="1" applyFont="1" applyFill="1" applyBorder="1" applyAlignment="1" applyProtection="1">
      <alignment horizontal="center"/>
      <protection locked="0"/>
    </xf>
    <xf numFmtId="0" fontId="11" fillId="0" borderId="72" xfId="1" applyFont="1" applyBorder="1" applyAlignment="1" applyProtection="1">
      <alignment horizontal="left" wrapText="1"/>
      <protection locked="0"/>
    </xf>
    <xf numFmtId="0" fontId="61" fillId="0" borderId="0" xfId="1" applyFont="1" applyBorder="1" applyProtection="1">
      <protection locked="0"/>
    </xf>
    <xf numFmtId="0" fontId="61" fillId="0" borderId="0" xfId="1" applyFont="1" applyProtection="1">
      <protection locked="0"/>
    </xf>
    <xf numFmtId="1" fontId="9" fillId="0" borderId="6" xfId="1" applyNumberFormat="1" applyFont="1" applyBorder="1" applyAlignment="1" applyProtection="1">
      <alignment horizontal="center" vertical="center"/>
    </xf>
    <xf numFmtId="14" fontId="11" fillId="0" borderId="93" xfId="1" applyNumberFormat="1" applyFont="1" applyFill="1" applyBorder="1" applyAlignment="1" applyProtection="1">
      <alignment horizontal="center"/>
      <protection locked="0"/>
    </xf>
    <xf numFmtId="0" fontId="50" fillId="11" borderId="103" xfId="1" applyFont="1" applyFill="1" applyBorder="1" applyAlignment="1" applyProtection="1">
      <alignment horizontal="center"/>
      <protection locked="0"/>
    </xf>
    <xf numFmtId="0" fontId="50" fillId="0" borderId="25" xfId="1" applyFont="1" applyBorder="1" applyAlignment="1" applyProtection="1">
      <alignment horizontal="right" vertical="center" wrapText="1"/>
      <protection locked="0"/>
    </xf>
    <xf numFmtId="0" fontId="11" fillId="0" borderId="78" xfId="1" applyFont="1" applyBorder="1" applyAlignment="1" applyProtection="1">
      <alignment horizontal="left" vertical="top" wrapText="1"/>
      <protection locked="0"/>
    </xf>
    <xf numFmtId="1" fontId="10" fillId="0" borderId="8" xfId="1" applyNumberFormat="1" applyFont="1" applyBorder="1" applyAlignment="1" applyProtection="1">
      <alignment horizontal="center" vertical="center"/>
    </xf>
    <xf numFmtId="0" fontId="62" fillId="5" borderId="67" xfId="1" applyFont="1" applyFill="1" applyBorder="1" applyProtection="1">
      <protection locked="0"/>
    </xf>
    <xf numFmtId="0" fontId="62" fillId="5" borderId="6" xfId="1" applyFont="1" applyFill="1" applyBorder="1" applyAlignment="1" applyProtection="1">
      <alignment wrapText="1"/>
      <protection locked="0"/>
    </xf>
    <xf numFmtId="0" fontId="62" fillId="5" borderId="15" xfId="1" applyFont="1" applyFill="1" applyBorder="1" applyProtection="1">
      <protection locked="0"/>
    </xf>
    <xf numFmtId="0" fontId="62" fillId="5" borderId="6" xfId="1" applyFont="1" applyFill="1" applyBorder="1" applyProtection="1">
      <protection locked="0"/>
    </xf>
    <xf numFmtId="0" fontId="62" fillId="5" borderId="9" xfId="1" applyFont="1" applyFill="1" applyBorder="1" applyAlignment="1" applyProtection="1">
      <protection locked="0"/>
    </xf>
    <xf numFmtId="0" fontId="62" fillId="5" borderId="9" xfId="1" applyFont="1" applyFill="1" applyBorder="1" applyAlignment="1" applyProtection="1">
      <alignment horizontal="center"/>
      <protection locked="0"/>
    </xf>
    <xf numFmtId="0" fontId="62" fillId="5" borderId="0" xfId="1" applyFont="1" applyFill="1" applyBorder="1" applyProtection="1">
      <protection locked="0"/>
    </xf>
    <xf numFmtId="0" fontId="62" fillId="5" borderId="0" xfId="1" applyFont="1" applyFill="1" applyBorder="1" applyAlignment="1" applyProtection="1">
      <alignment wrapText="1"/>
      <protection locked="0"/>
    </xf>
    <xf numFmtId="0" fontId="62" fillId="5" borderId="11" xfId="1" applyFont="1" applyFill="1" applyBorder="1" applyAlignment="1" applyProtection="1">
      <protection locked="0"/>
    </xf>
    <xf numFmtId="0" fontId="62" fillId="5" borderId="88" xfId="1" applyFont="1" applyFill="1" applyBorder="1" applyAlignment="1" applyProtection="1">
      <alignment horizontal="center"/>
      <protection locked="0"/>
    </xf>
    <xf numFmtId="0" fontId="63" fillId="9" borderId="25" xfId="1" applyFont="1" applyFill="1" applyBorder="1" applyProtection="1">
      <protection locked="0"/>
    </xf>
    <xf numFmtId="0" fontId="64" fillId="0" borderId="0" xfId="1" applyFont="1" applyBorder="1" applyAlignment="1" applyProtection="1">
      <alignment wrapText="1"/>
      <protection locked="0"/>
    </xf>
    <xf numFmtId="0" fontId="64" fillId="0" borderId="16" xfId="1" applyFont="1" applyBorder="1" applyAlignment="1" applyProtection="1">
      <alignment wrapText="1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/>
    </xf>
    <xf numFmtId="1" fontId="1" fillId="0" borderId="0" xfId="1" applyNumberFormat="1" applyFont="1" applyFill="1" applyBorder="1" applyAlignment="1" applyProtection="1">
      <alignment horizontal="center"/>
      <protection locked="0"/>
    </xf>
    <xf numFmtId="0" fontId="42" fillId="5" borderId="0" xfId="1" applyFont="1" applyFill="1" applyBorder="1" applyAlignment="1" applyProtection="1">
      <alignment horizontal="right"/>
      <protection locked="0"/>
    </xf>
    <xf numFmtId="14" fontId="42" fillId="5" borderId="0" xfId="1" applyNumberFormat="1" applyFont="1" applyFill="1" applyBorder="1" applyProtection="1">
      <protection locked="0"/>
    </xf>
    <xf numFmtId="44" fontId="42" fillId="5" borderId="0" xfId="5" applyFont="1" applyFill="1" applyBorder="1" applyProtection="1">
      <protection locked="0"/>
    </xf>
    <xf numFmtId="44" fontId="42" fillId="5" borderId="0" xfId="5" applyFont="1" applyFill="1" applyBorder="1" applyProtection="1"/>
    <xf numFmtId="44" fontId="42" fillId="5" borderId="30" xfId="5" applyFont="1" applyFill="1" applyBorder="1" applyProtection="1"/>
    <xf numFmtId="0" fontId="11" fillId="5" borderId="0" xfId="1" applyFont="1" applyFill="1" applyBorder="1" applyProtection="1">
      <protection locked="0"/>
    </xf>
    <xf numFmtId="0" fontId="42" fillId="5" borderId="25" xfId="1" applyFont="1" applyFill="1" applyBorder="1" applyAlignment="1" applyProtection="1">
      <alignment horizontal="right"/>
      <protection locked="0"/>
    </xf>
    <xf numFmtId="0" fontId="42" fillId="5" borderId="0" xfId="1" applyFont="1" applyFill="1" applyBorder="1" applyProtection="1">
      <protection locked="0"/>
    </xf>
    <xf numFmtId="44" fontId="42" fillId="5" borderId="10" xfId="5" applyFont="1" applyFill="1" applyBorder="1" applyProtection="1"/>
    <xf numFmtId="0" fontId="42" fillId="5" borderId="0" xfId="1" applyFont="1" applyFill="1" applyBorder="1" applyAlignment="1" applyProtection="1">
      <alignment wrapText="1"/>
      <protection locked="0"/>
    </xf>
    <xf numFmtId="0" fontId="36" fillId="5" borderId="0" xfId="1" applyFont="1" applyFill="1" applyBorder="1" applyAlignment="1" applyProtection="1">
      <alignment wrapText="1"/>
      <protection locked="0"/>
    </xf>
    <xf numFmtId="14" fontId="36" fillId="5" borderId="0" xfId="1" applyNumberFormat="1" applyFont="1" applyFill="1" applyBorder="1" applyAlignment="1" applyProtection="1">
      <alignment wrapText="1"/>
      <protection locked="0"/>
    </xf>
    <xf numFmtId="0" fontId="12" fillId="5" borderId="0" xfId="1" applyFont="1" applyFill="1" applyBorder="1" applyAlignment="1" applyProtection="1">
      <alignment horizontal="center" wrapText="1"/>
      <protection locked="0"/>
    </xf>
    <xf numFmtId="14" fontId="11" fillId="5" borderId="0" xfId="1" applyNumberFormat="1" applyFont="1" applyFill="1" applyBorder="1" applyProtection="1">
      <protection locked="0"/>
    </xf>
    <xf numFmtId="14" fontId="1" fillId="5" borderId="0" xfId="1" applyNumberFormat="1" applyFill="1" applyBorder="1" applyProtection="1">
      <protection locked="0"/>
    </xf>
    <xf numFmtId="0" fontId="1" fillId="5" borderId="0" xfId="1" applyFill="1" applyBorder="1" applyProtection="1">
      <protection locked="0"/>
    </xf>
    <xf numFmtId="0" fontId="1" fillId="5" borderId="16" xfId="1" applyFill="1" applyBorder="1" applyProtection="1">
      <protection locked="0"/>
    </xf>
    <xf numFmtId="44" fontId="64" fillId="0" borderId="10" xfId="1" applyNumberFormat="1" applyFont="1" applyBorder="1" applyProtection="1"/>
    <xf numFmtId="44" fontId="64" fillId="0" borderId="59" xfId="1" applyNumberFormat="1" applyFont="1" applyBorder="1" applyProtection="1"/>
    <xf numFmtId="0" fontId="42" fillId="5" borderId="2" xfId="1" applyFont="1" applyFill="1" applyBorder="1" applyProtection="1">
      <protection locked="0"/>
    </xf>
    <xf numFmtId="0" fontId="43" fillId="5" borderId="3" xfId="1" applyFont="1" applyFill="1" applyBorder="1" applyAlignment="1" applyProtection="1">
      <alignment wrapText="1"/>
      <protection locked="0"/>
    </xf>
    <xf numFmtId="0" fontId="43" fillId="5" borderId="3" xfId="1" applyFont="1" applyFill="1" applyBorder="1" applyAlignment="1" applyProtection="1">
      <alignment horizontal="center" wrapText="1"/>
      <protection locked="0"/>
    </xf>
    <xf numFmtId="14" fontId="43" fillId="5" borderId="3" xfId="1" applyNumberFormat="1" applyFont="1" applyFill="1" applyBorder="1" applyAlignment="1" applyProtection="1">
      <alignment horizontal="center" wrapText="1"/>
      <protection locked="0"/>
    </xf>
    <xf numFmtId="0" fontId="42" fillId="5" borderId="5" xfId="1" applyFont="1" applyFill="1" applyBorder="1" applyProtection="1">
      <protection locked="0"/>
    </xf>
    <xf numFmtId="0" fontId="36" fillId="5" borderId="5" xfId="1" applyFont="1" applyFill="1" applyBorder="1" applyProtection="1">
      <protection locked="0"/>
    </xf>
    <xf numFmtId="0" fontId="43" fillId="9" borderId="5" xfId="1" applyFont="1" applyFill="1" applyBorder="1" applyProtection="1">
      <protection locked="0"/>
    </xf>
    <xf numFmtId="0" fontId="43" fillId="9" borderId="5" xfId="1" applyFont="1" applyFill="1" applyBorder="1" applyAlignment="1" applyProtection="1">
      <alignment wrapText="1"/>
      <protection locked="0"/>
    </xf>
    <xf numFmtId="0" fontId="43" fillId="9" borderId="5" xfId="1" applyFont="1" applyFill="1" applyBorder="1" applyAlignment="1" applyProtection="1">
      <alignment horizontal="center"/>
      <protection locked="0"/>
    </xf>
    <xf numFmtId="0" fontId="53" fillId="0" borderId="0" xfId="1" applyFont="1" applyProtection="1">
      <protection locked="0"/>
    </xf>
    <xf numFmtId="0" fontId="65" fillId="0" borderId="0" xfId="1" applyFont="1" applyAlignment="1" applyProtection="1">
      <alignment wrapText="1"/>
      <protection locked="0"/>
    </xf>
    <xf numFmtId="14" fontId="11" fillId="0" borderId="0" xfId="1" applyNumberFormat="1" applyFont="1" applyBorder="1" applyAlignment="1" applyProtection="1">
      <alignment horizontal="center" wrapText="1"/>
      <protection locked="0"/>
    </xf>
    <xf numFmtId="14" fontId="1" fillId="0" borderId="0" xfId="1" applyNumberFormat="1" applyBorder="1" applyAlignment="1" applyProtection="1">
      <alignment horizontal="center" wrapText="1"/>
      <protection locked="0"/>
    </xf>
    <xf numFmtId="14" fontId="1" fillId="0" borderId="0" xfId="1" applyNumberFormat="1" applyAlignment="1" applyProtection="1">
      <alignment horizontal="center" wrapText="1"/>
      <protection locked="0"/>
    </xf>
    <xf numFmtId="14" fontId="41" fillId="9" borderId="5" xfId="1" applyNumberFormat="1" applyFont="1" applyFill="1" applyBorder="1" applyAlignment="1" applyProtection="1">
      <alignment horizontal="center"/>
    </xf>
    <xf numFmtId="164" fontId="41" fillId="9" borderId="5" xfId="1" applyNumberFormat="1" applyFont="1" applyFill="1" applyBorder="1" applyAlignment="1" applyProtection="1">
      <alignment horizontal="center"/>
    </xf>
    <xf numFmtId="1" fontId="41" fillId="9" borderId="5" xfId="1" applyNumberFormat="1" applyFont="1" applyFill="1" applyBorder="1" applyAlignment="1" applyProtection="1">
      <alignment horizontal="center"/>
    </xf>
    <xf numFmtId="0" fontId="43" fillId="9" borderId="5" xfId="1" applyFont="1" applyFill="1" applyBorder="1" applyAlignment="1" applyProtection="1">
      <alignment horizontal="center"/>
    </xf>
    <xf numFmtId="0" fontId="11" fillId="0" borderId="5" xfId="1" applyFont="1" applyFill="1" applyBorder="1" applyAlignment="1" applyProtection="1">
      <alignment horizontal="center"/>
      <protection locked="0"/>
    </xf>
    <xf numFmtId="2" fontId="11" fillId="0" borderId="0" xfId="1" applyNumberFormat="1" applyFont="1" applyProtection="1"/>
    <xf numFmtId="0" fontId="11" fillId="0" borderId="0" xfId="1" applyFont="1" applyProtection="1"/>
    <xf numFmtId="22" fontId="47" fillId="0" borderId="0" xfId="1" applyNumberFormat="1" applyFont="1" applyAlignment="1" applyProtection="1">
      <alignment horizontal="center" vertical="center" wrapText="1"/>
      <protection locked="0"/>
    </xf>
    <xf numFmtId="0" fontId="50" fillId="0" borderId="0" xfId="1" applyFont="1" applyAlignment="1" applyProtection="1">
      <alignment horizontal="center" vertical="center" wrapText="1"/>
      <protection locked="0"/>
    </xf>
    <xf numFmtId="0" fontId="47" fillId="0" borderId="0" xfId="1" applyFont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</xf>
    <xf numFmtId="1" fontId="11" fillId="0" borderId="5" xfId="1" applyNumberFormat="1" applyFont="1" applyBorder="1" applyAlignment="1" applyProtection="1">
      <alignment horizontal="center" vertical="center" wrapText="1"/>
    </xf>
    <xf numFmtId="0" fontId="11" fillId="0" borderId="5" xfId="1" applyFont="1" applyBorder="1" applyAlignment="1" applyProtection="1">
      <alignment horizontal="center" vertical="center" wrapText="1"/>
    </xf>
    <xf numFmtId="0" fontId="11" fillId="0" borderId="28" xfId="1" applyFont="1" applyBorder="1" applyAlignment="1" applyProtection="1">
      <alignment horizontal="center" vertical="center" wrapText="1"/>
      <protection locked="0"/>
    </xf>
    <xf numFmtId="0" fontId="11" fillId="0" borderId="28" xfId="1" applyFont="1" applyBorder="1" applyAlignment="1" applyProtection="1">
      <alignment horizontal="center" vertical="center"/>
      <protection locked="0"/>
    </xf>
    <xf numFmtId="0" fontId="11" fillId="0" borderId="0" xfId="1" applyFont="1" applyBorder="1" applyAlignment="1" applyProtection="1">
      <alignment horizontal="center" wrapText="1"/>
      <protection locked="0"/>
    </xf>
    <xf numFmtId="9" fontId="11" fillId="0" borderId="30" xfId="1" applyNumberFormat="1" applyFont="1" applyBorder="1" applyAlignment="1" applyProtection="1">
      <alignment horizontal="center"/>
      <protection locked="0"/>
    </xf>
    <xf numFmtId="0" fontId="11" fillId="0" borderId="30" xfId="1" applyFont="1" applyBorder="1" applyAlignment="1" applyProtection="1">
      <alignment horizontal="center"/>
      <protection locked="0"/>
    </xf>
    <xf numFmtId="0" fontId="11" fillId="0" borderId="16" xfId="1" applyFont="1" applyBorder="1" applyAlignment="1" applyProtection="1">
      <alignment horizontal="center" vertical="center" wrapText="1"/>
      <protection locked="0"/>
    </xf>
    <xf numFmtId="0" fontId="11" fillId="0" borderId="58" xfId="1" applyFont="1" applyBorder="1" applyAlignment="1" applyProtection="1">
      <alignment horizontal="center" vertical="center"/>
      <protection locked="0"/>
    </xf>
    <xf numFmtId="0" fontId="11" fillId="0" borderId="16" xfId="1" applyFont="1" applyBorder="1" applyAlignment="1" applyProtection="1">
      <alignment horizontal="center" vertical="center"/>
      <protection locked="0"/>
    </xf>
    <xf numFmtId="0" fontId="11" fillId="0" borderId="31" xfId="1" applyFont="1" applyBorder="1" applyAlignment="1" applyProtection="1">
      <alignment horizontal="center" vertical="center"/>
      <protection locked="0"/>
    </xf>
    <xf numFmtId="22" fontId="47" fillId="0" borderId="10" xfId="1" applyNumberFormat="1" applyFont="1" applyBorder="1" applyAlignment="1" applyProtection="1">
      <alignment horizontal="center" vertical="center" wrapText="1"/>
      <protection locked="0"/>
    </xf>
    <xf numFmtId="0" fontId="43" fillId="9" borderId="26" xfId="1" applyFont="1" applyFill="1" applyBorder="1" applyProtection="1">
      <protection locked="0"/>
    </xf>
    <xf numFmtId="0" fontId="43" fillId="9" borderId="16" xfId="1" applyFont="1" applyFill="1" applyBorder="1" applyProtection="1">
      <protection locked="0"/>
    </xf>
    <xf numFmtId="0" fontId="43" fillId="9" borderId="16" xfId="1" applyFont="1" applyFill="1" applyBorder="1" applyAlignment="1" applyProtection="1">
      <alignment horizontal="center" wrapText="1"/>
      <protection locked="0"/>
    </xf>
    <xf numFmtId="0" fontId="43" fillId="9" borderId="31" xfId="1" applyFont="1" applyFill="1" applyBorder="1" applyAlignment="1" applyProtection="1">
      <alignment horizontal="center" wrapText="1"/>
      <protection locked="0"/>
    </xf>
    <xf numFmtId="0" fontId="9" fillId="9" borderId="58" xfId="1" applyFont="1" applyFill="1" applyBorder="1" applyAlignment="1" applyProtection="1">
      <alignment horizontal="center" wrapText="1"/>
      <protection locked="0"/>
    </xf>
    <xf numFmtId="0" fontId="19" fillId="5" borderId="0" xfId="1" applyFont="1" applyFill="1" applyProtection="1">
      <protection locked="0"/>
    </xf>
    <xf numFmtId="0" fontId="11" fillId="5" borderId="0" xfId="1" applyFont="1" applyFill="1" applyAlignment="1" applyProtection="1">
      <alignment horizontal="center" wrapText="1"/>
      <protection locked="0"/>
    </xf>
    <xf numFmtId="0" fontId="11" fillId="5" borderId="0" xfId="1" applyFont="1" applyFill="1" applyAlignment="1" applyProtection="1">
      <alignment horizontal="center"/>
      <protection locked="0"/>
    </xf>
    <xf numFmtId="0" fontId="11" fillId="5" borderId="0" xfId="1" applyFont="1" applyFill="1" applyProtection="1">
      <protection locked="0"/>
    </xf>
    <xf numFmtId="0" fontId="11" fillId="5" borderId="16" xfId="1" applyFont="1" applyFill="1" applyBorder="1" applyProtection="1">
      <protection locked="0"/>
    </xf>
    <xf numFmtId="0" fontId="9" fillId="5" borderId="39" xfId="1" applyFont="1" applyFill="1" applyBorder="1" applyAlignment="1" applyProtection="1">
      <alignment horizontal="center" wrapText="1"/>
      <protection locked="0"/>
    </xf>
    <xf numFmtId="9" fontId="11" fillId="0" borderId="0" xfId="4" applyFont="1" applyAlignment="1" applyProtection="1">
      <alignment horizontal="center" vertical="center"/>
    </xf>
    <xf numFmtId="9" fontId="11" fillId="0" borderId="30" xfId="4" applyFont="1" applyBorder="1" applyAlignment="1" applyProtection="1">
      <alignment horizontal="center" vertical="center"/>
    </xf>
    <xf numFmtId="0" fontId="11" fillId="0" borderId="30" xfId="1" applyFont="1" applyBorder="1" applyAlignment="1" applyProtection="1">
      <alignment horizontal="center" vertical="center" wrapText="1"/>
    </xf>
    <xf numFmtId="0" fontId="11" fillId="0" borderId="0" xfId="1" applyFont="1" applyAlignment="1" applyProtection="1">
      <alignment horizontal="center" vertical="center"/>
    </xf>
    <xf numFmtId="0" fontId="11" fillId="0" borderId="30" xfId="1" applyFont="1" applyBorder="1" applyAlignment="1" applyProtection="1">
      <alignment horizontal="center" vertical="center"/>
    </xf>
    <xf numFmtId="0" fontId="11" fillId="0" borderId="114" xfId="1" applyFont="1" applyBorder="1" applyProtection="1">
      <protection locked="0"/>
    </xf>
    <xf numFmtId="0" fontId="11" fillId="0" borderId="115" xfId="1" applyFont="1" applyBorder="1" applyAlignment="1" applyProtection="1">
      <alignment wrapText="1"/>
      <protection locked="0"/>
    </xf>
    <xf numFmtId="0" fontId="11" fillId="0" borderId="115" xfId="1" applyFont="1" applyBorder="1" applyProtection="1">
      <protection locked="0"/>
    </xf>
    <xf numFmtId="0" fontId="11" fillId="0" borderId="115" xfId="1" applyFont="1" applyBorder="1" applyAlignment="1" applyProtection="1">
      <alignment horizontal="center"/>
      <protection locked="0"/>
    </xf>
    <xf numFmtId="14" fontId="11" fillId="0" borderId="115" xfId="1" applyNumberFormat="1" applyFont="1" applyBorder="1" applyAlignment="1" applyProtection="1">
      <alignment horizontal="center" wrapText="1"/>
      <protection locked="0"/>
    </xf>
    <xf numFmtId="0" fontId="11" fillId="0" borderId="116" xfId="1" applyFont="1" applyBorder="1" applyProtection="1">
      <protection locked="0"/>
    </xf>
    <xf numFmtId="0" fontId="54" fillId="0" borderId="116" xfId="1" applyFont="1" applyBorder="1" applyProtection="1">
      <protection locked="0"/>
    </xf>
    <xf numFmtId="0" fontId="43" fillId="5" borderId="118" xfId="1" applyFont="1" applyFill="1" applyBorder="1" applyAlignment="1" applyProtection="1">
      <alignment wrapText="1"/>
      <protection locked="0"/>
    </xf>
    <xf numFmtId="0" fontId="43" fillId="9" borderId="119" xfId="1" applyFont="1" applyFill="1" applyBorder="1" applyProtection="1">
      <protection locked="0"/>
    </xf>
    <xf numFmtId="0" fontId="43" fillId="9" borderId="117" xfId="1" applyFont="1" applyFill="1" applyBorder="1" applyAlignment="1" applyProtection="1">
      <alignment wrapText="1"/>
      <protection locked="0"/>
    </xf>
    <xf numFmtId="0" fontId="17" fillId="0" borderId="5" xfId="1" applyFont="1" applyFill="1" applyBorder="1" applyAlignment="1" applyProtection="1">
      <alignment vertical="center" wrapText="1"/>
      <protection locked="0"/>
    </xf>
    <xf numFmtId="0" fontId="17" fillId="0" borderId="5" xfId="1" applyFont="1" applyFill="1" applyBorder="1" applyAlignment="1" applyProtection="1">
      <alignment vertical="center"/>
      <protection locked="0"/>
    </xf>
    <xf numFmtId="14" fontId="9" fillId="0" borderId="5" xfId="1" applyNumberFormat="1" applyFont="1" applyFill="1" applyBorder="1" applyAlignment="1" applyProtection="1">
      <alignment horizontal="center" vertical="center"/>
    </xf>
    <xf numFmtId="0" fontId="9" fillId="0" borderId="5" xfId="1" applyNumberFormat="1" applyFont="1" applyFill="1" applyBorder="1" applyAlignment="1" applyProtection="1">
      <alignment horizontal="center" vertical="center"/>
    </xf>
    <xf numFmtId="14" fontId="9" fillId="0" borderId="5" xfId="2" applyNumberFormat="1" applyFont="1" applyFill="1" applyBorder="1" applyAlignment="1" applyProtection="1">
      <alignment horizontal="center" vertical="center" wrapText="1"/>
    </xf>
    <xf numFmtId="0" fontId="17" fillId="0" borderId="5" xfId="1" applyFont="1" applyFill="1" applyBorder="1" applyAlignment="1" applyProtection="1">
      <alignment horizontal="center" vertical="center"/>
      <protection locked="0"/>
    </xf>
    <xf numFmtId="0" fontId="9" fillId="0" borderId="5" xfId="1" applyFont="1" applyFill="1" applyBorder="1" applyAlignment="1" applyProtection="1">
      <alignment horizontal="center" vertical="center"/>
    </xf>
    <xf numFmtId="0" fontId="17" fillId="0" borderId="117" xfId="1" applyFont="1" applyFill="1" applyBorder="1" applyAlignment="1" applyProtection="1">
      <alignment vertical="center" wrapText="1"/>
      <protection locked="0"/>
    </xf>
    <xf numFmtId="0" fontId="9" fillId="0" borderId="5" xfId="1" applyFont="1" applyBorder="1" applyAlignment="1" applyProtection="1">
      <alignment vertical="center" wrapText="1"/>
      <protection locked="0"/>
    </xf>
    <xf numFmtId="0" fontId="9" fillId="0" borderId="5" xfId="1" applyFont="1" applyBorder="1" applyAlignment="1" applyProtection="1">
      <alignment vertical="center"/>
      <protection locked="0"/>
    </xf>
    <xf numFmtId="14" fontId="9" fillId="3" borderId="5" xfId="1" applyNumberFormat="1" applyFont="1" applyFill="1" applyBorder="1" applyAlignment="1" applyProtection="1">
      <alignment horizontal="center" vertical="center"/>
    </xf>
    <xf numFmtId="14" fontId="9" fillId="0" borderId="5" xfId="1" applyNumberFormat="1" applyFont="1" applyBorder="1" applyAlignment="1" applyProtection="1">
      <alignment horizontal="center" vertical="center"/>
    </xf>
    <xf numFmtId="1" fontId="9" fillId="0" borderId="5" xfId="1" applyNumberFormat="1" applyFont="1" applyFill="1" applyBorder="1" applyAlignment="1" applyProtection="1">
      <alignment horizontal="center" vertical="center"/>
    </xf>
    <xf numFmtId="0" fontId="9" fillId="0" borderId="5" xfId="1" applyFont="1" applyBorder="1" applyAlignment="1" applyProtection="1">
      <alignment horizontal="center" vertical="center"/>
      <protection locked="0"/>
    </xf>
    <xf numFmtId="0" fontId="9" fillId="0" borderId="117" xfId="1" applyFont="1" applyBorder="1" applyAlignment="1" applyProtection="1">
      <alignment vertical="center" wrapText="1"/>
      <protection locked="0"/>
    </xf>
    <xf numFmtId="0" fontId="9" fillId="0" borderId="5" xfId="1" applyFont="1" applyBorder="1" applyAlignment="1" applyProtection="1">
      <alignment horizontal="center" vertical="center"/>
    </xf>
    <xf numFmtId="0" fontId="9" fillId="0" borderId="121" xfId="1" applyFont="1" applyBorder="1" applyAlignment="1" applyProtection="1">
      <alignment vertical="center" wrapText="1"/>
      <protection locked="0"/>
    </xf>
    <xf numFmtId="0" fontId="9" fillId="0" borderId="121" xfId="1" applyFont="1" applyBorder="1" applyAlignment="1" applyProtection="1">
      <alignment vertical="center"/>
      <protection locked="0"/>
    </xf>
    <xf numFmtId="14" fontId="9" fillId="3" borderId="121" xfId="1" applyNumberFormat="1" applyFont="1" applyFill="1" applyBorder="1" applyAlignment="1" applyProtection="1">
      <alignment horizontal="center" vertical="center"/>
    </xf>
    <xf numFmtId="14" fontId="9" fillId="0" borderId="121" xfId="1" applyNumberFormat="1" applyFont="1" applyBorder="1" applyAlignment="1" applyProtection="1">
      <alignment horizontal="center" vertical="center"/>
    </xf>
    <xf numFmtId="1" fontId="9" fillId="0" borderId="121" xfId="1" applyNumberFormat="1" applyFont="1" applyFill="1" applyBorder="1" applyAlignment="1" applyProtection="1">
      <alignment horizontal="center" vertical="center"/>
    </xf>
    <xf numFmtId="0" fontId="9" fillId="0" borderId="121" xfId="1" applyFont="1" applyBorder="1" applyAlignment="1" applyProtection="1">
      <alignment horizontal="center" vertical="center"/>
      <protection locked="0"/>
    </xf>
    <xf numFmtId="0" fontId="9" fillId="0" borderId="121" xfId="1" applyFont="1" applyBorder="1" applyAlignment="1" applyProtection="1">
      <alignment horizontal="center" vertical="center"/>
    </xf>
    <xf numFmtId="0" fontId="9" fillId="0" borderId="122" xfId="1" applyFont="1" applyBorder="1" applyAlignment="1" applyProtection="1">
      <alignment vertical="center" wrapText="1"/>
      <protection locked="0"/>
    </xf>
    <xf numFmtId="0" fontId="29" fillId="0" borderId="119" xfId="6" applyFill="1" applyBorder="1" applyAlignment="1" applyProtection="1">
      <alignment vertical="center"/>
      <protection locked="0"/>
    </xf>
    <xf numFmtId="0" fontId="29" fillId="0" borderId="119" xfId="6" applyBorder="1" applyAlignment="1" applyProtection="1">
      <alignment vertical="center"/>
      <protection locked="0"/>
    </xf>
    <xf numFmtId="0" fontId="29" fillId="0" borderId="120" xfId="6" applyBorder="1" applyAlignment="1" applyProtection="1">
      <alignment vertical="center"/>
      <protection locked="0"/>
    </xf>
    <xf numFmtId="0" fontId="43" fillId="5" borderId="1" xfId="1" applyFont="1" applyFill="1" applyBorder="1" applyAlignment="1" applyProtection="1">
      <alignment horizontal="center" wrapText="1"/>
      <protection locked="0"/>
    </xf>
    <xf numFmtId="0" fontId="43" fillId="5" borderId="123" xfId="1" applyFont="1" applyFill="1" applyBorder="1" applyAlignment="1" applyProtection="1">
      <alignment wrapText="1"/>
      <protection locked="0"/>
    </xf>
    <xf numFmtId="0" fontId="46" fillId="10" borderId="125" xfId="1" applyFont="1" applyFill="1" applyBorder="1" applyProtection="1">
      <protection locked="0"/>
    </xf>
    <xf numFmtId="0" fontId="47" fillId="2" borderId="125" xfId="1" applyFont="1" applyFill="1" applyBorder="1" applyProtection="1">
      <protection locked="0"/>
    </xf>
    <xf numFmtId="0" fontId="11" fillId="6" borderId="127" xfId="1" applyFont="1" applyFill="1" applyBorder="1" applyProtection="1">
      <protection locked="0"/>
    </xf>
    <xf numFmtId="0" fontId="47" fillId="0" borderId="129" xfId="1" applyFont="1" applyFill="1" applyBorder="1" applyProtection="1">
      <protection locked="0"/>
    </xf>
    <xf numFmtId="0" fontId="64" fillId="0" borderId="39" xfId="1" applyFont="1" applyBorder="1" applyProtection="1">
      <protection locked="0"/>
    </xf>
    <xf numFmtId="0" fontId="64" fillId="0" borderId="46" xfId="1" applyFont="1" applyBorder="1" applyProtection="1">
      <protection locked="0"/>
    </xf>
    <xf numFmtId="0" fontId="53" fillId="0" borderId="0" xfId="0" applyFont="1"/>
    <xf numFmtId="0" fontId="0" fillId="10" borderId="25" xfId="0" applyFill="1" applyBorder="1" applyAlignment="1">
      <alignment horizontal="center"/>
    </xf>
    <xf numFmtId="0" fontId="41" fillId="8" borderId="25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center"/>
    </xf>
    <xf numFmtId="1" fontId="11" fillId="0" borderId="42" xfId="1" applyNumberFormat="1" applyFont="1" applyBorder="1" applyAlignment="1" applyProtection="1">
      <alignment horizontal="center" vertical="center"/>
    </xf>
    <xf numFmtId="0" fontId="50" fillId="0" borderId="114" xfId="1" applyFont="1" applyBorder="1" applyAlignment="1" applyProtection="1">
      <alignment horizontal="right" wrapText="1"/>
      <protection locked="0"/>
    </xf>
    <xf numFmtId="0" fontId="50" fillId="0" borderId="115" xfId="4" applyNumberFormat="1" applyFont="1" applyBorder="1" applyAlignment="1" applyProtection="1">
      <alignment horizontal="left"/>
    </xf>
    <xf numFmtId="0" fontId="50" fillId="0" borderId="115" xfId="1" applyFont="1" applyBorder="1" applyAlignment="1" applyProtection="1">
      <alignment horizontal="right"/>
      <protection locked="0"/>
    </xf>
    <xf numFmtId="0" fontId="50" fillId="0" borderId="115" xfId="0" applyFont="1" applyBorder="1" applyAlignment="1" applyProtection="1">
      <alignment horizontal="center"/>
    </xf>
    <xf numFmtId="0" fontId="50" fillId="0" borderId="115" xfId="1" applyFont="1" applyBorder="1" applyAlignment="1" applyProtection="1">
      <alignment horizontal="center"/>
    </xf>
    <xf numFmtId="0" fontId="50" fillId="0" borderId="115" xfId="1" applyFont="1" applyBorder="1" applyAlignment="1" applyProtection="1">
      <alignment horizontal="center"/>
      <protection locked="0"/>
    </xf>
    <xf numFmtId="0" fontId="50" fillId="0" borderId="115" xfId="1" applyFont="1" applyBorder="1" applyProtection="1">
      <protection locked="0"/>
    </xf>
    <xf numFmtId="0" fontId="50" fillId="0" borderId="115" xfId="1" applyFont="1" applyBorder="1" applyAlignment="1" applyProtection="1">
      <alignment wrapText="1"/>
      <protection locked="0"/>
    </xf>
    <xf numFmtId="0" fontId="50" fillId="0" borderId="130" xfId="1" applyFont="1" applyBorder="1" applyProtection="1">
      <protection locked="0"/>
    </xf>
    <xf numFmtId="0" fontId="50" fillId="0" borderId="116" xfId="1" applyFont="1" applyBorder="1" applyAlignment="1" applyProtection="1">
      <alignment horizontal="right" wrapText="1"/>
      <protection locked="0"/>
    </xf>
    <xf numFmtId="0" fontId="50" fillId="0" borderId="131" xfId="1" applyFont="1" applyBorder="1" applyProtection="1">
      <protection locked="0"/>
    </xf>
    <xf numFmtId="0" fontId="50" fillId="0" borderId="116" xfId="1" applyFont="1" applyBorder="1" applyAlignment="1" applyProtection="1">
      <alignment wrapText="1"/>
      <protection locked="0"/>
    </xf>
    <xf numFmtId="0" fontId="50" fillId="0" borderId="0" xfId="4" applyNumberFormat="1" applyFont="1" applyBorder="1" applyAlignment="1" applyProtection="1">
      <alignment horizontal="left" wrapText="1"/>
      <protection locked="0"/>
    </xf>
    <xf numFmtId="9" fontId="50" fillId="0" borderId="0" xfId="4" applyFont="1" applyBorder="1" applyAlignment="1" applyProtection="1">
      <alignment horizontal="left" vertical="top" wrapText="1"/>
      <protection locked="0"/>
    </xf>
    <xf numFmtId="0" fontId="35" fillId="5" borderId="118" xfId="1" applyFont="1" applyFill="1" applyBorder="1" applyAlignment="1" applyProtection="1">
      <alignment wrapText="1"/>
      <protection locked="0"/>
    </xf>
    <xf numFmtId="0" fontId="35" fillId="5" borderId="132" xfId="1" applyFont="1" applyFill="1" applyBorder="1" applyAlignment="1" applyProtection="1">
      <alignment wrapText="1"/>
      <protection locked="0"/>
    </xf>
    <xf numFmtId="0" fontId="11" fillId="0" borderId="134" xfId="1" applyFont="1" applyBorder="1" applyAlignment="1" applyProtection="1">
      <alignment vertical="top" wrapText="1"/>
      <protection locked="0"/>
    </xf>
    <xf numFmtId="0" fontId="11" fillId="0" borderId="136" xfId="1" applyFont="1" applyBorder="1" applyAlignment="1" applyProtection="1">
      <alignment vertical="top" wrapText="1"/>
      <protection locked="0"/>
    </xf>
    <xf numFmtId="0" fontId="11" fillId="0" borderId="136" xfId="1" applyFont="1" applyBorder="1" applyAlignment="1" applyProtection="1">
      <alignment horizontal="center" vertical="top" wrapText="1"/>
      <protection locked="0"/>
    </xf>
    <xf numFmtId="0" fontId="15" fillId="0" borderId="136" xfId="1" applyFont="1" applyBorder="1" applyAlignment="1" applyProtection="1">
      <alignment vertical="top" wrapText="1"/>
      <protection locked="0"/>
    </xf>
    <xf numFmtId="0" fontId="11" fillId="0" borderId="144" xfId="1" applyFont="1" applyBorder="1" applyAlignment="1" applyProtection="1">
      <alignment horizontal="left" vertical="top" wrapText="1" indent="1"/>
      <protection locked="0"/>
    </xf>
    <xf numFmtId="0" fontId="11" fillId="0" borderId="145" xfId="1" applyFont="1" applyBorder="1" applyAlignment="1" applyProtection="1">
      <alignment horizontal="left" vertical="top" wrapText="1"/>
      <protection locked="0"/>
    </xf>
    <xf numFmtId="14" fontId="11" fillId="0" borderId="145" xfId="1" applyNumberFormat="1" applyFont="1" applyBorder="1" applyAlignment="1" applyProtection="1">
      <alignment horizontal="center"/>
      <protection locked="0"/>
    </xf>
    <xf numFmtId="1" fontId="11" fillId="0" borderId="145" xfId="1" applyNumberFormat="1" applyFont="1" applyBorder="1" applyAlignment="1" applyProtection="1">
      <alignment horizontal="center" vertical="center"/>
    </xf>
    <xf numFmtId="14" fontId="11" fillId="0" borderId="145" xfId="1" applyNumberFormat="1" applyFont="1" applyBorder="1" applyAlignment="1" applyProtection="1">
      <alignment horizontal="center" vertical="top"/>
      <protection locked="0"/>
    </xf>
    <xf numFmtId="0" fontId="11" fillId="0" borderId="145" xfId="1" applyFont="1" applyBorder="1" applyAlignment="1" applyProtection="1">
      <alignment vertical="top"/>
      <protection locked="0"/>
    </xf>
    <xf numFmtId="0" fontId="11" fillId="0" borderId="145" xfId="1" applyFont="1" applyBorder="1" applyAlignment="1" applyProtection="1">
      <alignment vertical="top" wrapText="1"/>
      <protection locked="0"/>
    </xf>
    <xf numFmtId="0" fontId="11" fillId="0" borderId="146" xfId="1" applyFont="1" applyBorder="1" applyAlignment="1" applyProtection="1">
      <alignment vertical="top" wrapText="1"/>
      <protection locked="0"/>
    </xf>
    <xf numFmtId="0" fontId="11" fillId="0" borderId="78" xfId="1" applyFont="1" applyBorder="1" applyAlignment="1" applyProtection="1">
      <alignment horizontal="left" vertical="top" indent="1"/>
      <protection locked="0"/>
    </xf>
    <xf numFmtId="0" fontId="50" fillId="0" borderId="114" xfId="1" applyFont="1" applyFill="1" applyBorder="1" applyAlignment="1" applyProtection="1">
      <alignment horizontal="right" wrapText="1"/>
      <protection locked="0"/>
    </xf>
    <xf numFmtId="0" fontId="50" fillId="0" borderId="115" xfId="0" applyFont="1" applyFill="1" applyBorder="1" applyAlignment="1" applyProtection="1">
      <alignment horizontal="center"/>
    </xf>
    <xf numFmtId="14" fontId="50" fillId="0" borderId="115" xfId="1" applyNumberFormat="1" applyFont="1" applyBorder="1" applyAlignment="1" applyProtection="1">
      <alignment horizontal="center"/>
      <protection locked="0"/>
    </xf>
    <xf numFmtId="0" fontId="50" fillId="0" borderId="116" xfId="1" applyFont="1" applyFill="1" applyBorder="1" applyAlignment="1" applyProtection="1">
      <alignment horizontal="right" wrapText="1"/>
      <protection locked="0"/>
    </xf>
    <xf numFmtId="0" fontId="50" fillId="0" borderId="116" xfId="1" applyFont="1" applyFill="1" applyBorder="1" applyAlignment="1" applyProtection="1">
      <alignment wrapText="1"/>
      <protection locked="0"/>
    </xf>
    <xf numFmtId="0" fontId="56" fillId="0" borderId="133" xfId="1" applyFont="1" applyBorder="1" applyAlignment="1" applyProtection="1">
      <alignment vertical="center" textRotation="90"/>
      <protection locked="0"/>
    </xf>
    <xf numFmtId="0" fontId="11" fillId="0" borderId="132" xfId="1" applyFont="1" applyBorder="1" applyAlignment="1" applyProtection="1">
      <alignment horizontal="center" vertical="top" wrapText="1"/>
      <protection locked="0"/>
    </xf>
    <xf numFmtId="0" fontId="56" fillId="0" borderId="135" xfId="1" applyFont="1" applyBorder="1" applyAlignment="1" applyProtection="1">
      <alignment vertical="center" textRotation="90"/>
      <protection locked="0"/>
    </xf>
    <xf numFmtId="0" fontId="11" fillId="0" borderId="147" xfId="1" applyFont="1" applyBorder="1" applyAlignment="1" applyProtection="1">
      <alignment horizontal="center" vertical="top" wrapText="1"/>
      <protection locked="0"/>
    </xf>
    <xf numFmtId="0" fontId="11" fillId="0" borderId="123" xfId="1" applyFont="1" applyBorder="1" applyAlignment="1" applyProtection="1">
      <alignment horizontal="center" vertical="top" wrapText="1"/>
      <protection locked="0"/>
    </xf>
    <xf numFmtId="0" fontId="11" fillId="0" borderId="148" xfId="1" applyFont="1" applyBorder="1" applyAlignment="1" applyProtection="1">
      <alignment horizontal="center" vertical="top" wrapText="1"/>
      <protection locked="0"/>
    </xf>
    <xf numFmtId="0" fontId="11" fillId="0" borderId="149" xfId="1" applyFont="1" applyBorder="1" applyAlignment="1" applyProtection="1">
      <alignment horizontal="center" vertical="top" wrapText="1"/>
      <protection locked="0"/>
    </xf>
    <xf numFmtId="0" fontId="56" fillId="0" borderId="116" xfId="1" applyFont="1" applyBorder="1" applyAlignment="1" applyProtection="1">
      <alignment vertical="center" textRotation="90"/>
      <protection locked="0"/>
    </xf>
    <xf numFmtId="0" fontId="11" fillId="0" borderId="150" xfId="1" applyFont="1" applyBorder="1" applyAlignment="1" applyProtection="1">
      <alignment horizontal="center" vertical="top" wrapText="1"/>
      <protection locked="0"/>
    </xf>
    <xf numFmtId="0" fontId="11" fillId="0" borderId="131" xfId="1" applyFont="1" applyBorder="1" applyAlignment="1" applyProtection="1">
      <alignment horizontal="center" vertical="top" wrapText="1"/>
      <protection locked="0"/>
    </xf>
    <xf numFmtId="0" fontId="56" fillId="0" borderId="143" xfId="1" applyFont="1" applyBorder="1" applyAlignment="1" applyProtection="1">
      <alignment vertical="center" textRotation="90"/>
      <protection locked="0"/>
    </xf>
    <xf numFmtId="0" fontId="11" fillId="0" borderId="151" xfId="1" applyFont="1" applyBorder="1" applyAlignment="1" applyProtection="1">
      <alignment horizontal="left" wrapText="1" indent="1"/>
      <protection locked="0"/>
    </xf>
    <xf numFmtId="0" fontId="11" fillId="0" borderId="113" xfId="1" applyFont="1" applyBorder="1" applyProtection="1">
      <protection locked="0"/>
    </xf>
    <xf numFmtId="14" fontId="11" fillId="0" borderId="152" xfId="1" applyNumberFormat="1" applyFont="1" applyFill="1" applyBorder="1" applyAlignment="1" applyProtection="1">
      <alignment horizontal="center"/>
      <protection locked="0"/>
    </xf>
    <xf numFmtId="14" fontId="11" fillId="0" borderId="153" xfId="1" applyNumberFormat="1" applyFont="1" applyBorder="1" applyAlignment="1" applyProtection="1">
      <alignment horizontal="center"/>
      <protection locked="0"/>
    </xf>
    <xf numFmtId="1" fontId="9" fillId="0" borderId="154" xfId="1" applyNumberFormat="1" applyFont="1" applyFill="1" applyBorder="1" applyAlignment="1" applyProtection="1">
      <alignment horizontal="center" vertical="center"/>
    </xf>
    <xf numFmtId="14" fontId="11" fillId="0" borderId="113" xfId="1" applyNumberFormat="1" applyFont="1" applyBorder="1" applyAlignment="1" applyProtection="1">
      <alignment horizontal="center"/>
      <protection locked="0"/>
    </xf>
    <xf numFmtId="0" fontId="11" fillId="0" borderId="113" xfId="1" applyFont="1" applyBorder="1" applyAlignment="1" applyProtection="1">
      <alignment wrapText="1"/>
      <protection locked="0"/>
    </xf>
    <xf numFmtId="0" fontId="11" fillId="0" borderId="152" xfId="1" applyFont="1" applyBorder="1" applyAlignment="1" applyProtection="1">
      <alignment vertical="top"/>
    </xf>
    <xf numFmtId="0" fontId="11" fillId="0" borderId="155" xfId="1" applyFont="1" applyBorder="1" applyProtection="1">
      <protection locked="0"/>
    </xf>
    <xf numFmtId="0" fontId="11" fillId="0" borderId="74" xfId="1" applyFont="1" applyBorder="1" applyAlignment="1" applyProtection="1">
      <alignment horizontal="left" vertical="top" indent="1"/>
      <protection locked="0"/>
    </xf>
    <xf numFmtId="0" fontId="43" fillId="9" borderId="75" xfId="1" applyFont="1" applyFill="1" applyBorder="1" applyAlignment="1" applyProtection="1">
      <alignment horizontal="left" vertical="top" wrapText="1"/>
      <protection locked="0"/>
    </xf>
    <xf numFmtId="0" fontId="18" fillId="0" borderId="72" xfId="0" applyFont="1" applyBorder="1" applyAlignment="1" applyProtection="1">
      <alignment horizontal="left" vertical="center" indent="1"/>
      <protection locked="0"/>
    </xf>
    <xf numFmtId="0" fontId="11" fillId="0" borderId="74" xfId="1" applyFont="1" applyBorder="1" applyAlignment="1" applyProtection="1">
      <alignment horizontal="left" indent="1"/>
      <protection locked="0"/>
    </xf>
    <xf numFmtId="0" fontId="11" fillId="0" borderId="72" xfId="1" applyFont="1" applyBorder="1" applyAlignment="1" applyProtection="1">
      <alignment horizontal="left" indent="1"/>
      <protection locked="0"/>
    </xf>
    <xf numFmtId="0" fontId="11" fillId="0" borderId="74" xfId="3" applyFont="1" applyBorder="1" applyAlignment="1" applyProtection="1">
      <alignment horizontal="left" wrapText="1" indent="1"/>
      <protection locked="0"/>
    </xf>
    <xf numFmtId="0" fontId="11" fillId="0" borderId="72" xfId="3" applyFont="1" applyBorder="1" applyAlignment="1" applyProtection="1">
      <alignment horizontal="left" wrapText="1" indent="1"/>
      <protection locked="0"/>
    </xf>
    <xf numFmtId="0" fontId="18" fillId="0" borderId="72" xfId="0" applyFont="1" applyBorder="1" applyAlignment="1" applyProtection="1">
      <alignment horizontal="left" vertical="center" indent="2"/>
      <protection locked="0"/>
    </xf>
    <xf numFmtId="0" fontId="18" fillId="0" borderId="74" xfId="0" applyFont="1" applyBorder="1" applyAlignment="1" applyProtection="1">
      <alignment horizontal="left" vertical="center" indent="1"/>
      <protection locked="0"/>
    </xf>
    <xf numFmtId="0" fontId="18" fillId="0" borderId="72" xfId="0" applyFont="1" applyBorder="1" applyAlignment="1" applyProtection="1">
      <alignment horizontal="left" indent="1"/>
      <protection locked="0"/>
    </xf>
    <xf numFmtId="0" fontId="18" fillId="0" borderId="77" xfId="0" applyFont="1" applyBorder="1" applyAlignment="1" applyProtection="1">
      <alignment horizontal="left" vertical="center" indent="1"/>
      <protection locked="0"/>
    </xf>
    <xf numFmtId="0" fontId="18" fillId="0" borderId="8" xfId="0" applyFont="1" applyBorder="1" applyAlignment="1" applyProtection="1">
      <alignment horizontal="left" vertical="center" indent="3"/>
      <protection locked="0"/>
    </xf>
    <xf numFmtId="0" fontId="9" fillId="0" borderId="19" xfId="1" applyFont="1" applyBorder="1" applyAlignment="1" applyProtection="1">
      <alignment horizontal="center" vertical="center" wrapText="1"/>
      <protection locked="0"/>
    </xf>
    <xf numFmtId="0" fontId="9" fillId="0" borderId="99" xfId="1" applyFont="1" applyBorder="1" applyAlignment="1" applyProtection="1">
      <alignment horizontal="center" vertical="center" wrapText="1"/>
      <protection locked="0"/>
    </xf>
    <xf numFmtId="0" fontId="9" fillId="0" borderId="108" xfId="1" applyFont="1" applyBorder="1" applyAlignment="1" applyProtection="1">
      <alignment horizontal="center" vertical="center" wrapText="1"/>
      <protection locked="0"/>
    </xf>
    <xf numFmtId="0" fontId="9" fillId="0" borderId="106" xfId="1" applyFont="1" applyBorder="1" applyAlignment="1" applyProtection="1">
      <alignment horizontal="center" vertical="center" wrapText="1"/>
      <protection locked="0"/>
    </xf>
    <xf numFmtId="0" fontId="9" fillId="0" borderId="94" xfId="1" applyFont="1" applyBorder="1" applyAlignment="1" applyProtection="1">
      <alignment horizontal="center" vertical="center" wrapText="1"/>
      <protection locked="0"/>
    </xf>
    <xf numFmtId="0" fontId="11" fillId="0" borderId="107" xfId="1" applyFont="1" applyBorder="1" applyAlignment="1" applyProtection="1">
      <alignment wrapText="1"/>
      <protection locked="0"/>
    </xf>
    <xf numFmtId="0" fontId="9" fillId="0" borderId="69" xfId="1" applyFont="1" applyBorder="1" applyAlignment="1" applyProtection="1">
      <alignment vertical="center" wrapText="1"/>
      <protection locked="0"/>
    </xf>
    <xf numFmtId="0" fontId="9" fillId="0" borderId="7" xfId="1" applyFont="1" applyBorder="1" applyAlignment="1" applyProtection="1">
      <alignment horizontal="center" vertical="center" wrapText="1"/>
      <protection locked="0"/>
    </xf>
    <xf numFmtId="164" fontId="17" fillId="2" borderId="7" xfId="1" applyNumberFormat="1" applyFont="1" applyFill="1" applyBorder="1" applyAlignment="1" applyProtection="1">
      <alignment horizontal="center" vertical="center"/>
      <protection locked="0"/>
    </xf>
    <xf numFmtId="164" fontId="9" fillId="0" borderId="8" xfId="1" applyNumberFormat="1" applyFont="1" applyBorder="1" applyAlignment="1" applyProtection="1">
      <alignment horizontal="center" vertical="center"/>
      <protection locked="0"/>
    </xf>
    <xf numFmtId="0" fontId="9" fillId="0" borderId="8" xfId="1" applyNumberFormat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vertical="center" wrapText="1"/>
      <protection locked="0"/>
    </xf>
    <xf numFmtId="0" fontId="9" fillId="0" borderId="8" xfId="1" applyFont="1" applyBorder="1" applyAlignment="1" applyProtection="1">
      <alignment horizontal="center" vertical="center" wrapText="1"/>
      <protection locked="0"/>
    </xf>
    <xf numFmtId="0" fontId="9" fillId="0" borderId="21" xfId="1" applyFont="1" applyBorder="1" applyAlignment="1" applyProtection="1">
      <alignment vertical="center" wrapText="1"/>
      <protection locked="0"/>
    </xf>
    <xf numFmtId="0" fontId="9" fillId="0" borderId="21" xfId="1" applyFont="1" applyBorder="1" applyAlignment="1" applyProtection="1">
      <alignment horizontal="center" vertical="center" wrapText="1"/>
      <protection locked="0"/>
    </xf>
    <xf numFmtId="164" fontId="9" fillId="0" borderId="21" xfId="1" applyNumberFormat="1" applyFont="1" applyBorder="1" applyAlignment="1" applyProtection="1">
      <alignment horizontal="center" vertical="center"/>
      <protection locked="0"/>
    </xf>
    <xf numFmtId="0" fontId="9" fillId="0" borderId="21" xfId="1" applyNumberFormat="1" applyFont="1" applyBorder="1" applyAlignment="1" applyProtection="1">
      <alignment horizontal="center" vertical="center"/>
      <protection locked="0"/>
    </xf>
    <xf numFmtId="0" fontId="9" fillId="0" borderId="7" xfId="1" applyFont="1" applyBorder="1" applyAlignment="1" applyProtection="1">
      <alignment vertical="center" wrapText="1"/>
      <protection locked="0"/>
    </xf>
    <xf numFmtId="0" fontId="9" fillId="0" borderId="7" xfId="1" applyFont="1" applyBorder="1" applyAlignment="1" applyProtection="1">
      <alignment vertical="center"/>
      <protection locked="0"/>
    </xf>
    <xf numFmtId="0" fontId="9" fillId="0" borderId="7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9" fillId="0" borderId="21" xfId="1" applyFont="1" applyBorder="1" applyAlignment="1" applyProtection="1">
      <alignment vertical="center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14" fontId="17" fillId="2" borderId="7" xfId="1" applyNumberFormat="1" applyFont="1" applyFill="1" applyBorder="1" applyAlignment="1" applyProtection="1">
      <alignment horizontal="center"/>
      <protection locked="0"/>
    </xf>
    <xf numFmtId="0" fontId="9" fillId="0" borderId="8" xfId="1" applyFont="1" applyBorder="1" applyProtection="1">
      <protection locked="0"/>
    </xf>
    <xf numFmtId="164" fontId="9" fillId="0" borderId="8" xfId="1" applyNumberFormat="1" applyFont="1" applyBorder="1" applyAlignment="1" applyProtection="1">
      <alignment horizontal="center"/>
      <protection locked="0"/>
    </xf>
    <xf numFmtId="0" fontId="9" fillId="0" borderId="21" xfId="1" applyFont="1" applyBorder="1" applyProtection="1">
      <protection locked="0"/>
    </xf>
    <xf numFmtId="14" fontId="9" fillId="0" borderId="21" xfId="1" applyNumberFormat="1" applyFont="1" applyBorder="1" applyAlignment="1" applyProtection="1">
      <alignment horizontal="center"/>
      <protection locked="0"/>
    </xf>
    <xf numFmtId="14" fontId="9" fillId="0" borderId="8" xfId="1" applyNumberFormat="1" applyFont="1" applyBorder="1" applyAlignment="1" applyProtection="1">
      <alignment horizontal="center"/>
      <protection locked="0"/>
    </xf>
    <xf numFmtId="0" fontId="9" fillId="0" borderId="69" xfId="1" applyFont="1" applyBorder="1" applyAlignment="1" applyProtection="1">
      <alignment horizontal="center" vertical="center" wrapText="1"/>
      <protection locked="0"/>
    </xf>
    <xf numFmtId="164" fontId="17" fillId="2" borderId="69" xfId="1" applyNumberFormat="1" applyFont="1" applyFill="1" applyBorder="1" applyAlignment="1" applyProtection="1">
      <alignment horizontal="center" vertical="center"/>
      <protection locked="0"/>
    </xf>
    <xf numFmtId="164" fontId="9" fillId="0" borderId="7" xfId="1" applyNumberFormat="1" applyFont="1" applyFill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/>
      <protection locked="0"/>
    </xf>
    <xf numFmtId="0" fontId="9" fillId="0" borderId="21" xfId="1" applyFont="1" applyBorder="1" applyAlignment="1" applyProtection="1">
      <alignment horizontal="center"/>
      <protection locked="0"/>
    </xf>
    <xf numFmtId="0" fontId="9" fillId="0" borderId="42" xfId="1" applyFont="1" applyBorder="1" applyProtection="1">
      <protection locked="0"/>
    </xf>
    <xf numFmtId="0" fontId="9" fillId="0" borderId="42" xfId="1" applyFont="1" applyBorder="1" applyAlignment="1" applyProtection="1">
      <alignment horizontal="center"/>
      <protection locked="0"/>
    </xf>
    <xf numFmtId="164" fontId="9" fillId="0" borderId="42" xfId="1" applyNumberFormat="1" applyFont="1" applyBorder="1" applyAlignment="1" applyProtection="1">
      <alignment horizontal="center" vertical="center"/>
      <protection locked="0"/>
    </xf>
    <xf numFmtId="0" fontId="28" fillId="0" borderId="0" xfId="0" applyFont="1" applyAlignment="1">
      <alignment horizontal="left" vertical="top"/>
    </xf>
    <xf numFmtId="0" fontId="28" fillId="0" borderId="27" xfId="0" applyFont="1" applyBorder="1" applyAlignment="1">
      <alignment horizontal="left" vertical="top"/>
    </xf>
    <xf numFmtId="0" fontId="27" fillId="0" borderId="35" xfId="0" applyFont="1" applyBorder="1" applyAlignment="1">
      <alignment horizontal="left"/>
    </xf>
    <xf numFmtId="0" fontId="27" fillId="0" borderId="36" xfId="0" applyFont="1" applyBorder="1" applyAlignment="1">
      <alignment horizontal="left"/>
    </xf>
    <xf numFmtId="0" fontId="27" fillId="0" borderId="37" xfId="0" applyFont="1" applyBorder="1" applyAlignment="1">
      <alignment horizontal="left"/>
    </xf>
    <xf numFmtId="0" fontId="27" fillId="0" borderId="55" xfId="0" quotePrefix="1" applyFont="1" applyBorder="1" applyAlignment="1">
      <alignment horizontal="left"/>
    </xf>
    <xf numFmtId="0" fontId="27" fillId="0" borderId="56" xfId="0" quotePrefix="1" applyFont="1" applyBorder="1" applyAlignment="1">
      <alignment horizontal="left"/>
    </xf>
    <xf numFmtId="0" fontId="27" fillId="0" borderId="57" xfId="0" quotePrefix="1" applyFont="1" applyBorder="1" applyAlignment="1">
      <alignment horizontal="left"/>
    </xf>
    <xf numFmtId="0" fontId="58" fillId="0" borderId="62" xfId="1" applyFont="1" applyBorder="1" applyAlignment="1" applyProtection="1">
      <alignment horizontal="center" vertical="center" wrapText="1"/>
      <protection locked="0"/>
    </xf>
    <xf numFmtId="0" fontId="58" fillId="0" borderId="63" xfId="1" applyFont="1" applyBorder="1" applyAlignment="1" applyProtection="1">
      <alignment horizontal="center" vertical="center" wrapText="1"/>
      <protection locked="0"/>
    </xf>
    <xf numFmtId="0" fontId="58" fillId="0" borderId="98" xfId="1" applyFont="1" applyBorder="1" applyAlignment="1" applyProtection="1">
      <alignment horizontal="center" vertical="center" wrapText="1"/>
      <protection locked="0"/>
    </xf>
    <xf numFmtId="22" fontId="67" fillId="0" borderId="2" xfId="1" applyNumberFormat="1" applyFont="1" applyBorder="1" applyAlignment="1" applyProtection="1">
      <alignment horizontal="center" vertical="center" wrapText="1"/>
      <protection locked="0"/>
    </xf>
    <xf numFmtId="22" fontId="67" fillId="0" borderId="3" xfId="1" applyNumberFormat="1" applyFont="1" applyBorder="1" applyAlignment="1" applyProtection="1">
      <alignment horizontal="center" vertical="center" wrapText="1"/>
      <protection locked="0"/>
    </xf>
    <xf numFmtId="22" fontId="67" fillId="0" borderId="4" xfId="1" applyNumberFormat="1" applyFont="1" applyBorder="1" applyAlignment="1" applyProtection="1">
      <alignment horizontal="center" vertical="center" wrapText="1"/>
      <protection locked="0"/>
    </xf>
    <xf numFmtId="0" fontId="66" fillId="10" borderId="2" xfId="1" applyFont="1" applyFill="1" applyBorder="1" applyAlignment="1" applyProtection="1">
      <alignment horizontal="center" vertical="center"/>
      <protection locked="0"/>
    </xf>
    <xf numFmtId="0" fontId="66" fillId="10" borderId="3" xfId="1" applyFont="1" applyFill="1" applyBorder="1" applyAlignment="1" applyProtection="1">
      <alignment horizontal="center" vertical="center"/>
      <protection locked="0"/>
    </xf>
    <xf numFmtId="0" fontId="66" fillId="10" borderId="4" xfId="1" applyFont="1" applyFill="1" applyBorder="1" applyAlignment="1" applyProtection="1">
      <alignment horizontal="center" vertical="center"/>
      <protection locked="0"/>
    </xf>
    <xf numFmtId="0" fontId="67" fillId="2" borderId="2" xfId="1" applyFont="1" applyFill="1" applyBorder="1" applyAlignment="1" applyProtection="1">
      <alignment horizontal="center" vertical="center"/>
      <protection locked="0"/>
    </xf>
    <xf numFmtId="0" fontId="67" fillId="2" borderId="3" xfId="1" applyFont="1" applyFill="1" applyBorder="1" applyAlignment="1" applyProtection="1">
      <alignment horizontal="center" vertical="center"/>
      <protection locked="0"/>
    </xf>
    <xf numFmtId="0" fontId="67" fillId="2" borderId="4" xfId="1" applyFont="1" applyFill="1" applyBorder="1" applyAlignment="1" applyProtection="1">
      <alignment horizontal="center" vertical="center"/>
      <protection locked="0"/>
    </xf>
    <xf numFmtId="0" fontId="67" fillId="6" borderId="2" xfId="1" applyFont="1" applyFill="1" applyBorder="1" applyAlignment="1" applyProtection="1">
      <alignment horizontal="center" vertical="center"/>
      <protection locked="0"/>
    </xf>
    <xf numFmtId="0" fontId="67" fillId="6" borderId="3" xfId="1" applyFont="1" applyFill="1" applyBorder="1" applyAlignment="1" applyProtection="1">
      <alignment horizontal="center" vertical="center"/>
      <protection locked="0"/>
    </xf>
    <xf numFmtId="0" fontId="67" fillId="6" borderId="4" xfId="1" applyFont="1" applyFill="1" applyBorder="1" applyAlignment="1" applyProtection="1">
      <alignment horizontal="center" vertical="center"/>
      <protection locked="0"/>
    </xf>
    <xf numFmtId="0" fontId="70" fillId="5" borderId="25" xfId="1" applyFont="1" applyFill="1" applyBorder="1" applyAlignment="1" applyProtection="1">
      <alignment horizontal="center"/>
      <protection locked="0"/>
    </xf>
    <xf numFmtId="0" fontId="70" fillId="5" borderId="0" xfId="1" applyFont="1" applyFill="1" applyBorder="1" applyAlignment="1" applyProtection="1">
      <alignment horizontal="center"/>
      <protection locked="0"/>
    </xf>
    <xf numFmtId="0" fontId="71" fillId="0" borderId="0" xfId="0" applyFont="1" applyAlignment="1">
      <alignment horizontal="center"/>
    </xf>
    <xf numFmtId="0" fontId="68" fillId="9" borderId="49" xfId="1" applyFont="1" applyFill="1" applyBorder="1" applyAlignment="1" applyProtection="1">
      <alignment horizontal="center" vertical="center" wrapText="1"/>
      <protection locked="0"/>
    </xf>
    <xf numFmtId="0" fontId="69" fillId="9" borderId="27" xfId="0" applyFont="1" applyFill="1" applyBorder="1" applyAlignment="1"/>
    <xf numFmtId="0" fontId="69" fillId="9" borderId="50" xfId="0" applyFont="1" applyFill="1" applyBorder="1" applyAlignment="1"/>
    <xf numFmtId="0" fontId="43" fillId="5" borderId="25" xfId="1" applyFont="1" applyFill="1" applyBorder="1" applyAlignment="1" applyProtection="1">
      <alignment horizontal="center"/>
      <protection locked="0"/>
    </xf>
    <xf numFmtId="0" fontId="43" fillId="5" borderId="0" xfId="1" applyFont="1" applyFill="1" applyBorder="1" applyAlignment="1" applyProtection="1">
      <alignment horizontal="center"/>
      <protection locked="0"/>
    </xf>
    <xf numFmtId="0" fontId="43" fillId="5" borderId="0" xfId="0" applyFont="1" applyFill="1" applyAlignment="1">
      <alignment horizontal="center"/>
    </xf>
    <xf numFmtId="0" fontId="11" fillId="0" borderId="25" xfId="1" applyFont="1" applyBorder="1" applyAlignment="1" applyProtection="1">
      <protection locked="0"/>
    </xf>
    <xf numFmtId="0" fontId="11" fillId="0" borderId="0" xfId="1" applyFont="1" applyBorder="1" applyAlignment="1" applyProtection="1">
      <protection locked="0"/>
    </xf>
    <xf numFmtId="0" fontId="11" fillId="0" borderId="30" xfId="1" applyFont="1" applyBorder="1" applyAlignment="1" applyProtection="1">
      <protection locked="0"/>
    </xf>
    <xf numFmtId="0" fontId="11" fillId="0" borderId="26" xfId="1" applyFont="1" applyBorder="1" applyAlignment="1" applyProtection="1">
      <protection locked="0"/>
    </xf>
    <xf numFmtId="0" fontId="11" fillId="0" borderId="16" xfId="1" applyFont="1" applyBorder="1" applyAlignment="1" applyProtection="1">
      <protection locked="0"/>
    </xf>
    <xf numFmtId="0" fontId="11" fillId="0" borderId="31" xfId="1" applyFont="1" applyBorder="1" applyAlignment="1" applyProtection="1">
      <protection locked="0"/>
    </xf>
    <xf numFmtId="0" fontId="70" fillId="5" borderId="60" xfId="1" applyFont="1" applyFill="1" applyBorder="1" applyAlignment="1" applyProtection="1">
      <alignment horizontal="center"/>
      <protection locked="0"/>
    </xf>
    <xf numFmtId="0" fontId="70" fillId="5" borderId="97" xfId="1" applyFont="1" applyFill="1" applyBorder="1" applyAlignment="1" applyProtection="1">
      <alignment horizontal="center"/>
      <protection locked="0"/>
    </xf>
    <xf numFmtId="0" fontId="43" fillId="5" borderId="55" xfId="1" applyFont="1" applyFill="1" applyBorder="1" applyAlignment="1" applyProtection="1">
      <alignment horizontal="center"/>
      <protection locked="0"/>
    </xf>
    <xf numFmtId="0" fontId="43" fillId="5" borderId="56" xfId="1" applyFont="1" applyFill="1" applyBorder="1" applyAlignment="1" applyProtection="1">
      <alignment horizontal="center"/>
      <protection locked="0"/>
    </xf>
    <xf numFmtId="0" fontId="43" fillId="5" borderId="57" xfId="1" applyFont="1" applyFill="1" applyBorder="1" applyAlignment="1" applyProtection="1">
      <alignment horizontal="center"/>
      <protection locked="0"/>
    </xf>
    <xf numFmtId="0" fontId="40" fillId="0" borderId="113" xfId="1" applyFont="1" applyBorder="1" applyAlignment="1" applyProtection="1">
      <alignment horizontal="center" vertical="center"/>
      <protection locked="0"/>
    </xf>
    <xf numFmtId="0" fontId="49" fillId="0" borderId="113" xfId="0" applyFont="1" applyBorder="1" applyAlignment="1" applyProtection="1">
      <alignment horizontal="center" vertical="center"/>
      <protection locked="0"/>
    </xf>
    <xf numFmtId="0" fontId="49" fillId="0" borderId="0" xfId="0" applyFont="1" applyBorder="1" applyAlignment="1" applyProtection="1">
      <alignment horizontal="center" vertical="center"/>
      <protection locked="0"/>
    </xf>
    <xf numFmtId="0" fontId="48" fillId="0" borderId="128" xfId="1" applyFont="1" applyBorder="1" applyAlignment="1" applyProtection="1">
      <alignment horizontal="center" vertical="center"/>
      <protection locked="0"/>
    </xf>
    <xf numFmtId="0" fontId="53" fillId="0" borderId="124" xfId="0" applyFont="1" applyBorder="1" applyAlignment="1" applyProtection="1">
      <alignment horizontal="center" vertical="center"/>
      <protection locked="0"/>
    </xf>
    <xf numFmtId="0" fontId="53" fillId="0" borderId="126" xfId="0" applyFont="1" applyBorder="1" applyAlignment="1" applyProtection="1">
      <alignment horizontal="center" vertical="center"/>
      <protection locked="0"/>
    </xf>
    <xf numFmtId="0" fontId="50" fillId="0" borderId="1" xfId="1" applyFont="1" applyBorder="1" applyAlignment="1" applyProtection="1">
      <alignment wrapText="1"/>
      <protection locked="0"/>
    </xf>
    <xf numFmtId="0" fontId="0" fillId="0" borderId="1" xfId="0" applyBorder="1" applyAlignment="1" applyProtection="1">
      <protection locked="0"/>
    </xf>
    <xf numFmtId="0" fontId="64" fillId="0" borderId="64" xfId="1" applyFont="1" applyBorder="1" applyAlignment="1" applyProtection="1">
      <alignment horizontal="center"/>
      <protection locked="0"/>
    </xf>
    <xf numFmtId="0" fontId="64" fillId="0" borderId="60" xfId="1" applyFont="1" applyBorder="1" applyAlignment="1" applyProtection="1">
      <alignment horizontal="center"/>
      <protection locked="0"/>
    </xf>
    <xf numFmtId="0" fontId="64" fillId="0" borderId="61" xfId="1" applyFont="1" applyBorder="1" applyAlignment="1" applyProtection="1">
      <alignment horizontal="center"/>
      <protection locked="0"/>
    </xf>
    <xf numFmtId="0" fontId="40" fillId="0" borderId="85" xfId="1" applyFont="1" applyBorder="1" applyAlignment="1" applyProtection="1">
      <alignment horizontal="center" vertical="center" wrapText="1"/>
      <protection locked="0"/>
    </xf>
    <xf numFmtId="0" fontId="49" fillId="0" borderId="86" xfId="0" applyFont="1" applyBorder="1" applyAlignment="1">
      <alignment horizontal="center" vertical="center" wrapText="1"/>
    </xf>
    <xf numFmtId="0" fontId="49" fillId="0" borderId="87" xfId="0" applyFont="1" applyBorder="1" applyAlignment="1">
      <alignment horizontal="center" vertical="center" wrapText="1"/>
    </xf>
    <xf numFmtId="0" fontId="0" fillId="0" borderId="8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16" xfId="0" applyBorder="1" applyAlignment="1">
      <alignment horizontal="center"/>
    </xf>
    <xf numFmtId="0" fontId="40" fillId="0" borderId="0" xfId="0" applyFont="1" applyAlignment="1">
      <alignment horizontal="center" vertical="center"/>
    </xf>
    <xf numFmtId="0" fontId="58" fillId="0" borderId="100" xfId="1" applyFont="1" applyBorder="1" applyAlignment="1" applyProtection="1">
      <alignment horizontal="center" vertical="center"/>
      <protection locked="0"/>
    </xf>
    <xf numFmtId="0" fontId="58" fillId="0" borderId="101" xfId="1" applyFont="1" applyBorder="1" applyAlignment="1" applyProtection="1">
      <alignment horizontal="center" vertical="center"/>
      <protection locked="0"/>
    </xf>
    <xf numFmtId="0" fontId="58" fillId="0" borderId="102" xfId="1" applyFont="1" applyBorder="1" applyAlignment="1" applyProtection="1">
      <alignment horizontal="center" vertical="center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9" xfId="1" applyFont="1" applyBorder="1" applyAlignment="1" applyProtection="1">
      <alignment horizontal="center" vertical="center" textRotation="90"/>
      <protection locked="0"/>
    </xf>
    <xf numFmtId="0" fontId="11" fillId="0" borderId="29" xfId="1" quotePrefix="1" applyFont="1" applyBorder="1" applyAlignment="1" applyProtection="1">
      <alignment horizontal="center" vertical="center" wrapText="1"/>
      <protection locked="0"/>
    </xf>
    <xf numFmtId="0" fontId="11" fillId="0" borderId="30" xfId="1" applyFont="1" applyBorder="1" applyAlignment="1" applyProtection="1">
      <alignment horizontal="center" vertical="center" wrapText="1"/>
      <protection locked="0"/>
    </xf>
    <xf numFmtId="0" fontId="40" fillId="0" borderId="100" xfId="1" applyFont="1" applyBorder="1" applyAlignment="1" applyProtection="1">
      <alignment horizontal="center" vertical="center"/>
      <protection locked="0"/>
    </xf>
    <xf numFmtId="0" fontId="40" fillId="0" borderId="101" xfId="1" applyFont="1" applyBorder="1" applyAlignment="1" applyProtection="1">
      <alignment horizontal="center" vertical="center"/>
      <protection locked="0"/>
    </xf>
    <xf numFmtId="0" fontId="40" fillId="0" borderId="102" xfId="1" applyFont="1" applyBorder="1" applyAlignment="1" applyProtection="1">
      <alignment horizontal="center" vertical="center"/>
      <protection locked="0"/>
    </xf>
    <xf numFmtId="0" fontId="56" fillId="0" borderId="38" xfId="1" applyFont="1" applyBorder="1" applyAlignment="1" applyProtection="1">
      <alignment horizontal="center" vertical="center" textRotation="90"/>
      <protection locked="0"/>
    </xf>
    <xf numFmtId="0" fontId="56" fillId="0" borderId="39" xfId="1" applyFont="1" applyBorder="1" applyAlignment="1" applyProtection="1">
      <alignment horizontal="center" vertical="center" textRotation="90"/>
      <protection locked="0"/>
    </xf>
    <xf numFmtId="0" fontId="56" fillId="0" borderId="40" xfId="1" applyFont="1" applyBorder="1" applyAlignment="1" applyProtection="1">
      <alignment horizontal="center" vertical="center" textRotation="90"/>
      <protection locked="0"/>
    </xf>
    <xf numFmtId="0" fontId="56" fillId="0" borderId="46" xfId="1" applyFont="1" applyBorder="1" applyAlignment="1" applyProtection="1">
      <alignment horizontal="center" vertical="center" textRotation="90"/>
      <protection locked="0"/>
    </xf>
    <xf numFmtId="0" fontId="56" fillId="0" borderId="38" xfId="1" applyFont="1" applyBorder="1" applyAlignment="1" applyProtection="1">
      <alignment horizontal="center" vertical="center" textRotation="90" wrapText="1"/>
      <protection locked="0"/>
    </xf>
    <xf numFmtId="0" fontId="56" fillId="0" borderId="39" xfId="1" applyFont="1" applyBorder="1" applyAlignment="1" applyProtection="1">
      <alignment horizontal="center" vertical="center" textRotation="90" wrapText="1"/>
      <protection locked="0"/>
    </xf>
    <xf numFmtId="0" fontId="56" fillId="0" borderId="46" xfId="1" applyFont="1" applyBorder="1" applyAlignment="1" applyProtection="1">
      <alignment horizontal="center" vertical="center" textRotation="90" wrapText="1"/>
      <protection locked="0"/>
    </xf>
    <xf numFmtId="0" fontId="59" fillId="0" borderId="133" xfId="1" applyFont="1" applyBorder="1" applyAlignment="1" applyProtection="1">
      <alignment horizontal="center" vertical="center" textRotation="90"/>
      <protection locked="0"/>
    </xf>
    <xf numFmtId="0" fontId="59" fillId="0" borderId="135" xfId="0" applyFont="1" applyBorder="1" applyAlignment="1" applyProtection="1">
      <alignment horizontal="center" vertical="center" textRotation="90"/>
      <protection locked="0"/>
    </xf>
    <xf numFmtId="0" fontId="59" fillId="0" borderId="143" xfId="0" applyFont="1" applyBorder="1" applyAlignment="1" applyProtection="1">
      <alignment horizontal="center" vertical="center" textRotation="90"/>
      <protection locked="0"/>
    </xf>
    <xf numFmtId="0" fontId="60" fillId="0" borderId="135" xfId="0" applyFont="1" applyBorder="1" applyAlignment="1" applyProtection="1">
      <alignment horizontal="center" vertical="center" textRotation="90"/>
      <protection locked="0"/>
    </xf>
    <xf numFmtId="0" fontId="60" fillId="0" borderId="137" xfId="0" applyFont="1" applyBorder="1" applyAlignment="1" applyProtection="1">
      <alignment horizontal="center" vertical="center" textRotation="90"/>
      <protection locked="0"/>
    </xf>
    <xf numFmtId="0" fontId="59" fillId="0" borderId="138" xfId="1" applyFont="1" applyBorder="1" applyAlignment="1" applyProtection="1">
      <alignment horizontal="center" vertical="center" textRotation="90" wrapText="1"/>
      <protection locked="0"/>
    </xf>
    <xf numFmtId="0" fontId="59" fillId="0" borderId="139" xfId="0" applyFont="1" applyBorder="1" applyAlignment="1" applyProtection="1">
      <alignment horizontal="center" vertical="center" textRotation="90" wrapText="1"/>
      <protection locked="0"/>
    </xf>
    <xf numFmtId="0" fontId="59" fillId="0" borderId="140" xfId="1" applyFont="1" applyBorder="1" applyAlignment="1" applyProtection="1">
      <alignment horizontal="center" vertical="center" textRotation="90"/>
      <protection locked="0"/>
    </xf>
    <xf numFmtId="0" fontId="59" fillId="0" borderId="141" xfId="0" applyFont="1" applyBorder="1" applyAlignment="1" applyProtection="1">
      <alignment horizontal="center" vertical="center" textRotation="90"/>
      <protection locked="0"/>
    </xf>
    <xf numFmtId="0" fontId="59" fillId="0" borderId="142" xfId="0" applyFont="1" applyBorder="1" applyAlignment="1" applyProtection="1">
      <alignment horizontal="center" vertical="center" textRotation="90"/>
      <protection locked="0"/>
    </xf>
    <xf numFmtId="0" fontId="56" fillId="0" borderId="110" xfId="1" applyFont="1" applyBorder="1" applyAlignment="1" applyProtection="1">
      <alignment horizontal="center" vertical="center" textRotation="90"/>
      <protection locked="0"/>
    </xf>
    <xf numFmtId="0" fontId="56" fillId="0" borderId="111" xfId="1" applyFont="1" applyBorder="1" applyAlignment="1" applyProtection="1">
      <alignment horizontal="center" vertical="center" textRotation="90"/>
      <protection locked="0"/>
    </xf>
    <xf numFmtId="0" fontId="56" fillId="0" borderId="112" xfId="1" applyFont="1" applyBorder="1" applyAlignment="1" applyProtection="1">
      <alignment horizontal="center" vertical="center" textRotation="90"/>
      <protection locked="0"/>
    </xf>
    <xf numFmtId="0" fontId="0" fillId="0" borderId="39" xfId="0" applyBorder="1" applyAlignment="1">
      <alignment vertical="center" textRotation="90"/>
    </xf>
    <xf numFmtId="0" fontId="0" fillId="0" borderId="46" xfId="0" applyBorder="1" applyAlignment="1">
      <alignment vertical="center" textRotation="90"/>
    </xf>
    <xf numFmtId="0" fontId="56" fillId="0" borderId="38" xfId="0" applyFont="1" applyBorder="1" applyAlignment="1" applyProtection="1">
      <alignment horizontal="center" vertical="center" textRotation="90" wrapText="1"/>
      <protection locked="0"/>
    </xf>
    <xf numFmtId="0" fontId="56" fillId="0" borderId="39" xfId="0" applyFont="1" applyBorder="1" applyAlignment="1" applyProtection="1">
      <alignment horizontal="center" vertical="center" textRotation="90" wrapText="1"/>
      <protection locked="0"/>
    </xf>
    <xf numFmtId="0" fontId="56" fillId="0" borderId="40" xfId="0" applyFont="1" applyBorder="1" applyAlignment="1" applyProtection="1">
      <alignment horizontal="center" vertical="center" textRotation="90" wrapText="1"/>
      <protection locked="0"/>
    </xf>
    <xf numFmtId="0" fontId="56" fillId="0" borderId="67" xfId="0" applyFont="1" applyBorder="1" applyAlignment="1" applyProtection="1">
      <alignment horizontal="center" vertical="center" textRotation="90" wrapText="1"/>
      <protection locked="0"/>
    </xf>
    <xf numFmtId="0" fontId="56" fillId="0" borderId="25" xfId="0" applyFont="1" applyBorder="1" applyAlignment="1" applyProtection="1">
      <alignment horizontal="center" vertical="center" textRotation="90" wrapText="1"/>
      <protection locked="0"/>
    </xf>
    <xf numFmtId="0" fontId="56" fillId="0" borderId="47" xfId="0" applyFont="1" applyBorder="1" applyAlignment="1" applyProtection="1">
      <alignment horizontal="center" vertical="center" textRotation="90" wrapText="1"/>
      <protection locked="0"/>
    </xf>
    <xf numFmtId="0" fontId="56" fillId="0" borderId="46" xfId="0" applyFont="1" applyBorder="1" applyAlignment="1" applyProtection="1">
      <alignment horizontal="center" vertical="center" textRotation="90" wrapText="1"/>
      <protection locked="0"/>
    </xf>
    <xf numFmtId="0" fontId="56" fillId="0" borderId="38" xfId="3" applyFont="1" applyBorder="1" applyAlignment="1" applyProtection="1">
      <alignment horizontal="center" vertical="center" textRotation="90"/>
      <protection locked="0"/>
    </xf>
    <xf numFmtId="0" fontId="56" fillId="0" borderId="39" xfId="3" applyFont="1" applyBorder="1" applyAlignment="1" applyProtection="1">
      <alignment horizontal="center" vertical="center" textRotation="90"/>
      <protection locked="0"/>
    </xf>
    <xf numFmtId="0" fontId="56" fillId="0" borderId="25" xfId="3" applyFont="1" applyBorder="1" applyAlignment="1" applyProtection="1">
      <alignment horizontal="center" vertical="center" textRotation="90"/>
      <protection locked="0"/>
    </xf>
    <xf numFmtId="0" fontId="56" fillId="0" borderId="40" xfId="3" applyFont="1" applyBorder="1" applyAlignment="1" applyProtection="1">
      <alignment horizontal="center" vertical="center" textRotation="90"/>
      <protection locked="0"/>
    </xf>
    <xf numFmtId="0" fontId="30" fillId="0" borderId="101" xfId="1" applyFont="1" applyBorder="1" applyAlignment="1" applyProtection="1">
      <alignment horizontal="center" vertical="center"/>
      <protection locked="0"/>
    </xf>
    <xf numFmtId="0" fontId="30" fillId="0" borderId="102" xfId="1" applyFont="1" applyBorder="1" applyAlignment="1" applyProtection="1">
      <alignment horizontal="center" vertical="center"/>
      <protection locked="0"/>
    </xf>
    <xf numFmtId="0" fontId="34" fillId="0" borderId="49" xfId="1" applyFont="1" applyBorder="1" applyAlignment="1">
      <alignment horizontal="center" vertical="center" wrapText="1"/>
    </xf>
    <xf numFmtId="0" fontId="34" fillId="0" borderId="27" xfId="1" applyFont="1" applyBorder="1" applyAlignment="1">
      <alignment horizontal="center" vertical="center" wrapText="1"/>
    </xf>
    <xf numFmtId="0" fontId="34" fillId="0" borderId="50" xfId="1" applyFont="1" applyBorder="1" applyAlignment="1">
      <alignment horizontal="center" vertical="center" wrapText="1"/>
    </xf>
    <xf numFmtId="0" fontId="33" fillId="0" borderId="49" xfId="1" applyFont="1" applyBorder="1" applyAlignment="1">
      <alignment horizontal="center" vertical="center"/>
    </xf>
    <xf numFmtId="0" fontId="33" fillId="0" borderId="27" xfId="1" applyFont="1" applyBorder="1" applyAlignment="1">
      <alignment horizontal="center" vertical="center"/>
    </xf>
    <xf numFmtId="0" fontId="33" fillId="0" borderId="50" xfId="1" applyFont="1" applyBorder="1" applyAlignment="1">
      <alignment horizontal="center" vertical="center"/>
    </xf>
  </cellXfs>
  <cellStyles count="7">
    <cellStyle name="Currency" xfId="5" builtinId="4"/>
    <cellStyle name="Hyperlink" xfId="6" builtinId="8"/>
    <cellStyle name="Normal" xfId="0" builtinId="0"/>
    <cellStyle name="Normal 2" xfId="1" xr:uid="{00000000-0005-0000-0000-000003000000}"/>
    <cellStyle name="Normal 3" xfId="3" xr:uid="{00000000-0005-0000-0000-000004000000}"/>
    <cellStyle name="Percent" xfId="4" builtinId="5"/>
    <cellStyle name="Percent 2" xfId="2" xr:uid="{00000000-0005-0000-0000-000006000000}"/>
  </cellStyles>
  <dxfs count="201">
    <dxf>
      <alignment horizontal="general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wrapText="1" justifyLastLine="0" shrinkToFit="0" readingOrder="0"/>
    </dxf>
    <dxf>
      <alignment vertical="top" textRotation="0" wrapText="1" justifyLastLine="0" shrinkToFit="0" readingOrder="0"/>
    </dxf>
    <dxf>
      <alignment vertical="top" textRotation="0" wrapText="1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double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9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mm/dd/yy;@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numFmt numFmtId="164" formatCode="mm/dd/yy;@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  <top style="double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1EEEC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 patternType="solid">
          <bgColor indexed="10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indexed="13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indexed="13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9.9948118533890809E-2"/>
        </patternFill>
      </fill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ndense val="0"/>
        <extend val="0"/>
        <color indexed="9"/>
      </font>
    </dxf>
    <dxf>
      <font>
        <color rgb="FF9C5700"/>
      </font>
      <fill>
        <patternFill>
          <bgColor rgb="FFFFEB9C"/>
        </patternFill>
      </fill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 patternType="solid">
          <bgColor indexed="10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 patternType="none">
          <bgColor auto="1"/>
        </patternFill>
      </fill>
    </dxf>
    <dxf>
      <font>
        <color rgb="FFC85532"/>
      </font>
    </dxf>
    <dxf>
      <font>
        <color rgb="FFC85532"/>
      </font>
    </dxf>
    <dxf>
      <font>
        <color rgb="FFC85532"/>
      </font>
    </dxf>
    <dxf>
      <font>
        <color rgb="FFC85532"/>
      </font>
    </dxf>
    <dxf>
      <font>
        <color rgb="FFC85532"/>
      </font>
    </dxf>
    <dxf>
      <fill>
        <patternFill>
          <bgColor indexed="13"/>
        </patternFill>
      </fill>
    </dxf>
    <dxf>
      <fill>
        <patternFill>
          <bgColor rgb="FF92D050"/>
        </patternFill>
      </fill>
    </dxf>
    <dxf>
      <font>
        <color rgb="FFF1EEEC"/>
      </font>
      <fill>
        <patternFill patternType="solid">
          <bgColor rgb="FFC00000"/>
        </patternFill>
      </fill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1EEEC"/>
      </font>
      <fill>
        <patternFill>
          <bgColor rgb="FFC85532"/>
        </patternFill>
      </fill>
    </dxf>
    <dxf>
      <font>
        <color rgb="FFF1EEEC"/>
      </font>
      <fill>
        <patternFill>
          <bgColor rgb="FF0C3964"/>
        </patternFill>
      </fill>
    </dxf>
    <dxf>
      <font>
        <color rgb="FFF1EEEC"/>
      </font>
      <fill>
        <patternFill>
          <bgColor rgb="FF0C3964"/>
        </patternFill>
      </fill>
    </dxf>
    <dxf>
      <font>
        <color rgb="FFF1EEEC"/>
      </font>
      <border>
        <left style="thin">
          <color rgb="FF0C3964"/>
        </left>
        <right style="thin">
          <color rgb="FF0C3964"/>
        </right>
        <top style="thin">
          <color rgb="FF0C3964"/>
        </top>
        <bottom style="thin">
          <color rgb="FF0C3964"/>
        </bottom>
        <vertical style="thin">
          <color rgb="FF0C3964"/>
        </vertical>
        <horizontal style="thin">
          <color rgb="FF0C3964"/>
        </horizontal>
      </border>
    </dxf>
  </dxfs>
  <tableStyles count="1" defaultTableStyle="RSG" defaultPivotStyle="PivotStyleLight16">
    <tableStyle name="RSG" pivot="0" count="4" xr9:uid="{0BD21715-DD3B-45C7-9577-171471EBB909}">
      <tableStyleElement type="wholeTable" dxfId="200"/>
      <tableStyleElement type="headerRow" dxfId="199"/>
      <tableStyleElement type="totalRow" dxfId="198"/>
      <tableStyleElement type="firstRowStripe" dxfId="197"/>
    </tableStyle>
  </tableStyles>
  <colors>
    <mruColors>
      <color rgb="FFC85532"/>
      <color rgb="FF0C3964"/>
      <color rgb="FFF1EEEC"/>
      <color rgb="FFE9B8A9"/>
      <color rgb="FF76E8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mmunications!A1"/><Relationship Id="rId13" Type="http://schemas.openxmlformats.org/officeDocument/2006/relationships/hyperlink" Target="#Transaction!A1"/><Relationship Id="rId18" Type="http://schemas.openxmlformats.org/officeDocument/2006/relationships/image" Target="../media/image3.emf"/><Relationship Id="rId3" Type="http://schemas.openxmlformats.org/officeDocument/2006/relationships/hyperlink" Target="#IT!A1"/><Relationship Id="rId7" Type="http://schemas.openxmlformats.org/officeDocument/2006/relationships/hyperlink" Target="#'Change Management'!A1"/><Relationship Id="rId12" Type="http://schemas.openxmlformats.org/officeDocument/2006/relationships/hyperlink" Target="#'Insurance and Property'!A1"/><Relationship Id="rId17" Type="http://schemas.openxmlformats.org/officeDocument/2006/relationships/hyperlink" Target="#'Sales and Marketing'!A1"/><Relationship Id="rId2" Type="http://schemas.openxmlformats.org/officeDocument/2006/relationships/hyperlink" Target="#Tax!A1"/><Relationship Id="rId16" Type="http://schemas.openxmlformats.org/officeDocument/2006/relationships/hyperlink" Target="#'Day 0 Compliance'!A1"/><Relationship Id="rId1" Type="http://schemas.openxmlformats.org/officeDocument/2006/relationships/hyperlink" Target="#Legal!A1"/><Relationship Id="rId6" Type="http://schemas.openxmlformats.org/officeDocument/2006/relationships/hyperlink" Target="#Compliance!A1"/><Relationship Id="rId11" Type="http://schemas.openxmlformats.org/officeDocument/2006/relationships/hyperlink" Target="#Finance!A1"/><Relationship Id="rId5" Type="http://schemas.openxmlformats.org/officeDocument/2006/relationships/hyperlink" Target="#HSE!A1"/><Relationship Id="rId15" Type="http://schemas.openxmlformats.org/officeDocument/2006/relationships/hyperlink" Target="#'Supply Chain.Procurement'!A1"/><Relationship Id="rId10" Type="http://schemas.openxmlformats.org/officeDocument/2006/relationships/hyperlink" Target="#Sales!A1"/><Relationship Id="rId4" Type="http://schemas.openxmlformats.org/officeDocument/2006/relationships/hyperlink" Target="#HR!A1"/><Relationship Id="rId9" Type="http://schemas.openxmlformats.org/officeDocument/2006/relationships/hyperlink" Target="#Marketing!A1"/><Relationship Id="rId14" Type="http://schemas.openxmlformats.org/officeDocument/2006/relationships/hyperlink" Target="#Operations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38099</xdr:colOff>
      <xdr:row>26</xdr:row>
      <xdr:rowOff>47461</xdr:rowOff>
    </xdr:from>
    <xdr:to>
      <xdr:col>15</xdr:col>
      <xdr:colOff>283885</xdr:colOff>
      <xdr:row>39</xdr:row>
      <xdr:rowOff>104279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" y="5143336"/>
          <a:ext cx="9513611" cy="2533318"/>
        </a:xfrm>
        <a:prstGeom prst="rect">
          <a:avLst/>
        </a:prstGeom>
      </xdr:spPr>
    </xdr:pic>
    <xdr:clientData/>
  </xdr:twoCellAnchor>
  <xdr:twoCellAnchor>
    <xdr:from>
      <xdr:col>10</xdr:col>
      <xdr:colOff>495300</xdr:colOff>
      <xdr:row>26</xdr:row>
      <xdr:rowOff>104775</xdr:rowOff>
    </xdr:from>
    <xdr:to>
      <xdr:col>12</xdr:col>
      <xdr:colOff>0</xdr:colOff>
      <xdr:row>26</xdr:row>
      <xdr:rowOff>114300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6591300" y="5200650"/>
          <a:ext cx="723900" cy="9525"/>
        </a:xfrm>
        <a:prstGeom prst="straightConnector1">
          <a:avLst/>
        </a:prstGeom>
        <a:ln w="603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27</xdr:row>
      <xdr:rowOff>0</xdr:rowOff>
    </xdr:from>
    <xdr:to>
      <xdr:col>11</xdr:col>
      <xdr:colOff>561975</xdr:colOff>
      <xdr:row>31</xdr:row>
      <xdr:rowOff>76200</xdr:rowOff>
    </xdr:to>
    <xdr:sp macro="" textlink="">
      <xdr:nvSpPr>
        <xdr:cNvPr id="5" name="Left Brac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48500" y="5286375"/>
          <a:ext cx="219075" cy="838200"/>
        </a:xfrm>
        <a:prstGeom prst="leftBrac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571500</xdr:colOff>
      <xdr:row>26</xdr:row>
      <xdr:rowOff>28575</xdr:rowOff>
    </xdr:from>
    <xdr:to>
      <xdr:col>43</xdr:col>
      <xdr:colOff>569366</xdr:colOff>
      <xdr:row>44</xdr:row>
      <xdr:rowOff>151956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15500" y="5124450"/>
          <a:ext cx="17066666" cy="3552381"/>
        </a:xfrm>
        <a:prstGeom prst="rect">
          <a:avLst/>
        </a:prstGeom>
      </xdr:spPr>
    </xdr:pic>
    <xdr:clientData/>
  </xdr:twoCellAnchor>
  <xdr:twoCellAnchor>
    <xdr:from>
      <xdr:col>16</xdr:col>
      <xdr:colOff>222250</xdr:colOff>
      <xdr:row>31</xdr:row>
      <xdr:rowOff>79375</xdr:rowOff>
    </xdr:from>
    <xdr:to>
      <xdr:col>20</xdr:col>
      <xdr:colOff>217714</xdr:colOff>
      <xdr:row>34</xdr:row>
      <xdr:rowOff>188232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001250" y="6254750"/>
          <a:ext cx="2408464" cy="68035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32</xdr:row>
      <xdr:rowOff>0</xdr:rowOff>
    </xdr:from>
    <xdr:to>
      <xdr:col>1</xdr:col>
      <xdr:colOff>1</xdr:colOff>
      <xdr:row>32</xdr:row>
      <xdr:rowOff>226484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E22177-8D2E-462E-82AB-AFFD2A4430AD}"/>
            </a:ext>
          </a:extLst>
        </xdr:cNvPr>
        <xdr:cNvSpPr>
          <a:spLocks noChangeArrowheads="1"/>
        </xdr:cNvSpPr>
      </xdr:nvSpPr>
      <xdr:spPr bwMode="auto">
        <a:xfrm>
          <a:off x="47626" y="7179734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Legal</a:t>
          </a:r>
        </a:p>
      </xdr:txBody>
    </xdr:sp>
    <xdr:clientData/>
  </xdr:twoCellAnchor>
  <xdr:twoCellAnchor>
    <xdr:from>
      <xdr:col>0</xdr:col>
      <xdr:colOff>47625</xdr:colOff>
      <xdr:row>34</xdr:row>
      <xdr:rowOff>15161</xdr:rowOff>
    </xdr:from>
    <xdr:to>
      <xdr:col>1</xdr:col>
      <xdr:colOff>0</xdr:colOff>
      <xdr:row>34</xdr:row>
      <xdr:rowOff>243761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AD1AF1-996A-40FF-988C-A1424ED5CFE3}"/>
            </a:ext>
          </a:extLst>
        </xdr:cNvPr>
        <xdr:cNvSpPr>
          <a:spLocks noChangeArrowheads="1"/>
        </xdr:cNvSpPr>
      </xdr:nvSpPr>
      <xdr:spPr bwMode="auto">
        <a:xfrm>
          <a:off x="47625" y="7606586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Tax</a:t>
          </a:r>
        </a:p>
      </xdr:txBody>
    </xdr:sp>
    <xdr:clientData/>
  </xdr:twoCellAnchor>
  <xdr:twoCellAnchor>
    <xdr:from>
      <xdr:col>0</xdr:col>
      <xdr:colOff>47625</xdr:colOff>
      <xdr:row>36</xdr:row>
      <xdr:rowOff>11730</xdr:rowOff>
    </xdr:from>
    <xdr:to>
      <xdr:col>1</xdr:col>
      <xdr:colOff>0</xdr:colOff>
      <xdr:row>36</xdr:row>
      <xdr:rowOff>240330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AB5E395-A7C2-436B-97C8-CCD8667A63E9}"/>
            </a:ext>
          </a:extLst>
        </xdr:cNvPr>
        <xdr:cNvSpPr>
          <a:spLocks noChangeArrowheads="1"/>
        </xdr:cNvSpPr>
      </xdr:nvSpPr>
      <xdr:spPr bwMode="auto">
        <a:xfrm>
          <a:off x="47625" y="8174655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IT</a:t>
          </a:r>
        </a:p>
      </xdr:txBody>
    </xdr:sp>
    <xdr:clientData/>
  </xdr:twoCellAnchor>
  <xdr:twoCellAnchor>
    <xdr:from>
      <xdr:col>0</xdr:col>
      <xdr:colOff>47625</xdr:colOff>
      <xdr:row>38</xdr:row>
      <xdr:rowOff>8126</xdr:rowOff>
    </xdr:from>
    <xdr:to>
      <xdr:col>1</xdr:col>
      <xdr:colOff>0</xdr:colOff>
      <xdr:row>38</xdr:row>
      <xdr:rowOff>236726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4BA42E5-C697-4108-B52C-44399EA77A88}"/>
            </a:ext>
          </a:extLst>
        </xdr:cNvPr>
        <xdr:cNvSpPr>
          <a:spLocks noChangeArrowheads="1"/>
        </xdr:cNvSpPr>
      </xdr:nvSpPr>
      <xdr:spPr bwMode="auto">
        <a:xfrm>
          <a:off x="47625" y="8742551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HR</a:t>
          </a:r>
        </a:p>
      </xdr:txBody>
    </xdr:sp>
    <xdr:clientData/>
  </xdr:twoCellAnchor>
  <xdr:twoCellAnchor>
    <xdr:from>
      <xdr:col>0</xdr:col>
      <xdr:colOff>47625</xdr:colOff>
      <xdr:row>40</xdr:row>
      <xdr:rowOff>9897</xdr:rowOff>
    </xdr:from>
    <xdr:to>
      <xdr:col>1</xdr:col>
      <xdr:colOff>0</xdr:colOff>
      <xdr:row>40</xdr:row>
      <xdr:rowOff>238497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18254AE-08E6-4687-B286-B05059722788}"/>
            </a:ext>
          </a:extLst>
        </xdr:cNvPr>
        <xdr:cNvSpPr>
          <a:spLocks noChangeArrowheads="1"/>
        </xdr:cNvSpPr>
      </xdr:nvSpPr>
      <xdr:spPr bwMode="auto">
        <a:xfrm>
          <a:off x="47625" y="8830047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HSE</a:t>
          </a:r>
        </a:p>
      </xdr:txBody>
    </xdr:sp>
    <xdr:clientData/>
  </xdr:twoCellAnchor>
  <xdr:twoCellAnchor>
    <xdr:from>
      <xdr:col>6</xdr:col>
      <xdr:colOff>200024</xdr:colOff>
      <xdr:row>57</xdr:row>
      <xdr:rowOff>4270</xdr:rowOff>
    </xdr:from>
    <xdr:to>
      <xdr:col>7</xdr:col>
      <xdr:colOff>266699</xdr:colOff>
      <xdr:row>57</xdr:row>
      <xdr:rowOff>232870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57B04EA-5D40-43E1-9FDD-EE747144A81A}"/>
            </a:ext>
          </a:extLst>
        </xdr:cNvPr>
        <xdr:cNvSpPr>
          <a:spLocks noChangeArrowheads="1"/>
        </xdr:cNvSpPr>
      </xdr:nvSpPr>
      <xdr:spPr bwMode="auto">
        <a:xfrm>
          <a:off x="2343149" y="1137745"/>
          <a:ext cx="914400" cy="228600"/>
        </a:xfrm>
        <a:prstGeom prst="rect">
          <a:avLst/>
        </a:prstGeom>
        <a:solidFill>
          <a:srgbClr val="FFFF00"/>
        </a:solidFill>
        <a:ln w="9525">
          <a:solidFill>
            <a:srgbClr val="4D4D4D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 sz="1200"/>
            <a:t>Yellow</a:t>
          </a:r>
        </a:p>
      </xdr:txBody>
    </xdr:sp>
    <xdr:clientData/>
  </xdr:twoCellAnchor>
  <xdr:twoCellAnchor>
    <xdr:from>
      <xdr:col>6</xdr:col>
      <xdr:colOff>200025</xdr:colOff>
      <xdr:row>55</xdr:row>
      <xdr:rowOff>244694</xdr:rowOff>
    </xdr:from>
    <xdr:to>
      <xdr:col>7</xdr:col>
      <xdr:colOff>266700</xdr:colOff>
      <xdr:row>56</xdr:row>
      <xdr:rowOff>225644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83DACC0-0E96-4847-B072-298D2ADD4840}"/>
            </a:ext>
          </a:extLst>
        </xdr:cNvPr>
        <xdr:cNvSpPr>
          <a:spLocks noChangeArrowheads="1"/>
        </xdr:cNvSpPr>
      </xdr:nvSpPr>
      <xdr:spPr bwMode="auto">
        <a:xfrm>
          <a:off x="2343150" y="882869"/>
          <a:ext cx="914400" cy="228600"/>
        </a:xfrm>
        <a:prstGeom prst="rect">
          <a:avLst/>
        </a:prstGeom>
        <a:solidFill>
          <a:srgbClr val="C00000"/>
        </a:solidFill>
        <a:ln w="9525">
          <a:solidFill>
            <a:schemeClr val="tx1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 sz="1200">
              <a:solidFill>
                <a:schemeClr val="bg1"/>
              </a:solidFill>
            </a:rPr>
            <a:t>Red</a:t>
          </a:r>
        </a:p>
      </xdr:txBody>
    </xdr:sp>
    <xdr:clientData/>
  </xdr:twoCellAnchor>
  <xdr:twoCellAnchor>
    <xdr:from>
      <xdr:col>6</xdr:col>
      <xdr:colOff>200024</xdr:colOff>
      <xdr:row>58</xdr:row>
      <xdr:rowOff>13796</xdr:rowOff>
    </xdr:from>
    <xdr:to>
      <xdr:col>7</xdr:col>
      <xdr:colOff>266699</xdr:colOff>
      <xdr:row>58</xdr:row>
      <xdr:rowOff>242396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56A78A4-5845-4A18-8675-5B021808B937}"/>
            </a:ext>
          </a:extLst>
        </xdr:cNvPr>
        <xdr:cNvSpPr>
          <a:spLocks noChangeArrowheads="1"/>
        </xdr:cNvSpPr>
      </xdr:nvSpPr>
      <xdr:spPr bwMode="auto">
        <a:xfrm>
          <a:off x="2343149" y="1394921"/>
          <a:ext cx="914400" cy="228600"/>
        </a:xfrm>
        <a:prstGeom prst="rect">
          <a:avLst/>
        </a:prstGeom>
        <a:solidFill>
          <a:srgbClr val="92D050"/>
        </a:solidFill>
        <a:ln w="9525">
          <a:solidFill>
            <a:schemeClr val="tx1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 sz="1200"/>
            <a:t>Green</a:t>
          </a:r>
        </a:p>
      </xdr:txBody>
    </xdr:sp>
    <xdr:clientData/>
  </xdr:twoCellAnchor>
  <xdr:twoCellAnchor>
    <xdr:from>
      <xdr:col>0</xdr:col>
      <xdr:colOff>47625</xdr:colOff>
      <xdr:row>42</xdr:row>
      <xdr:rowOff>7918</xdr:rowOff>
    </xdr:from>
    <xdr:to>
      <xdr:col>1</xdr:col>
      <xdr:colOff>0</xdr:colOff>
      <xdr:row>42</xdr:row>
      <xdr:rowOff>236518</xdr:rowOff>
    </xdr:to>
    <xdr:sp macro="" textlink="">
      <xdr:nvSpPr>
        <xdr:cNvPr id="12" name="Rectangle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47C04A3-E827-47D1-9ECD-8EC0D81986C0}"/>
            </a:ext>
          </a:extLst>
        </xdr:cNvPr>
        <xdr:cNvSpPr>
          <a:spLocks noChangeArrowheads="1"/>
        </xdr:cNvSpPr>
      </xdr:nvSpPr>
      <xdr:spPr bwMode="auto">
        <a:xfrm>
          <a:off x="47625" y="10714018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Compliance</a:t>
          </a:r>
        </a:p>
      </xdr:txBody>
    </xdr:sp>
    <xdr:clientData/>
  </xdr:twoCellAnchor>
  <xdr:twoCellAnchor>
    <xdr:from>
      <xdr:col>6</xdr:col>
      <xdr:colOff>189843</xdr:colOff>
      <xdr:row>55</xdr:row>
      <xdr:rowOff>12809</xdr:rowOff>
    </xdr:from>
    <xdr:to>
      <xdr:col>7</xdr:col>
      <xdr:colOff>256518</xdr:colOff>
      <xdr:row>55</xdr:row>
      <xdr:rowOff>241409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EE1DD09A-C5F3-4D23-9CBE-73DD4D2C5E26}"/>
            </a:ext>
          </a:extLst>
        </xdr:cNvPr>
        <xdr:cNvSpPr>
          <a:spLocks noChangeArrowheads="1"/>
        </xdr:cNvSpPr>
      </xdr:nvSpPr>
      <xdr:spPr bwMode="auto">
        <a:xfrm>
          <a:off x="2332968" y="650984"/>
          <a:ext cx="914400" cy="22860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 sz="1200">
              <a:solidFill>
                <a:sysClr val="windowText" lastClr="000000"/>
              </a:solidFill>
            </a:rPr>
            <a:t>Blank</a:t>
          </a:r>
        </a:p>
      </xdr:txBody>
    </xdr:sp>
    <xdr:clientData/>
  </xdr:twoCellAnchor>
  <xdr:twoCellAnchor>
    <xdr:from>
      <xdr:col>0</xdr:col>
      <xdr:colOff>47625</xdr:colOff>
      <xdr:row>14</xdr:row>
      <xdr:rowOff>17086</xdr:rowOff>
    </xdr:from>
    <xdr:to>
      <xdr:col>1</xdr:col>
      <xdr:colOff>0</xdr:colOff>
      <xdr:row>14</xdr:row>
      <xdr:rowOff>245686</xdr:rowOff>
    </xdr:to>
    <xdr:sp macro="" textlink="">
      <xdr:nvSpPr>
        <xdr:cNvPr id="14" name="Rectangle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385F9F-6604-4D81-8800-5DC41C91EBBE}"/>
            </a:ext>
          </a:extLst>
        </xdr:cNvPr>
        <xdr:cNvSpPr>
          <a:spLocks noChangeArrowheads="1"/>
        </xdr:cNvSpPr>
      </xdr:nvSpPr>
      <xdr:spPr bwMode="auto">
        <a:xfrm>
          <a:off x="47625" y="3512761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Change Management</a:t>
          </a:r>
        </a:p>
      </xdr:txBody>
    </xdr:sp>
    <xdr:clientData/>
  </xdr:twoCellAnchor>
  <xdr:twoCellAnchor>
    <xdr:from>
      <xdr:col>0</xdr:col>
      <xdr:colOff>47625</xdr:colOff>
      <xdr:row>15</xdr:row>
      <xdr:rowOff>161924</xdr:rowOff>
    </xdr:from>
    <xdr:to>
      <xdr:col>1</xdr:col>
      <xdr:colOff>0</xdr:colOff>
      <xdr:row>16</xdr:row>
      <xdr:rowOff>228599</xdr:rowOff>
    </xdr:to>
    <xdr:sp macro="" textlink="">
      <xdr:nvSpPr>
        <xdr:cNvPr id="15" name="Rectangle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6746250-2BE0-48E8-B072-A3D547431BFA}"/>
            </a:ext>
          </a:extLst>
        </xdr:cNvPr>
        <xdr:cNvSpPr>
          <a:spLocks noChangeArrowheads="1"/>
        </xdr:cNvSpPr>
      </xdr:nvSpPr>
      <xdr:spPr bwMode="auto">
        <a:xfrm>
          <a:off x="47625" y="3743324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Communications</a:t>
          </a:r>
        </a:p>
      </xdr:txBody>
    </xdr:sp>
    <xdr:clientData/>
  </xdr:twoCellAnchor>
  <xdr:twoCellAnchor>
    <xdr:from>
      <xdr:col>0</xdr:col>
      <xdr:colOff>47625</xdr:colOff>
      <xdr:row>20</xdr:row>
      <xdr:rowOff>21255</xdr:rowOff>
    </xdr:from>
    <xdr:to>
      <xdr:col>1</xdr:col>
      <xdr:colOff>0</xdr:colOff>
      <xdr:row>21</xdr:row>
      <xdr:rowOff>2205</xdr:rowOff>
    </xdr:to>
    <xdr:sp macro="" textlink="">
      <xdr:nvSpPr>
        <xdr:cNvPr id="16" name="Rectangle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DD6D526-1F7A-4FC8-8D01-B9F216A96F91}"/>
            </a:ext>
          </a:extLst>
        </xdr:cNvPr>
        <xdr:cNvSpPr>
          <a:spLocks noChangeArrowheads="1"/>
        </xdr:cNvSpPr>
      </xdr:nvSpPr>
      <xdr:spPr bwMode="auto">
        <a:xfrm>
          <a:off x="47625" y="4583730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Marketing</a:t>
          </a:r>
        </a:p>
      </xdr:txBody>
    </xdr:sp>
    <xdr:clientData/>
  </xdr:twoCellAnchor>
  <xdr:twoCellAnchor>
    <xdr:from>
      <xdr:col>0</xdr:col>
      <xdr:colOff>47625</xdr:colOff>
      <xdr:row>22</xdr:row>
      <xdr:rowOff>8126</xdr:rowOff>
    </xdr:from>
    <xdr:to>
      <xdr:col>1</xdr:col>
      <xdr:colOff>0</xdr:colOff>
      <xdr:row>22</xdr:row>
      <xdr:rowOff>236726</xdr:rowOff>
    </xdr:to>
    <xdr:sp macro="" textlink="">
      <xdr:nvSpPr>
        <xdr:cNvPr id="17" name="Rectangle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30B2676-93B0-4706-9524-5E78D9EFF5D9}"/>
            </a:ext>
          </a:extLst>
        </xdr:cNvPr>
        <xdr:cNvSpPr>
          <a:spLocks noChangeArrowheads="1"/>
        </xdr:cNvSpPr>
      </xdr:nvSpPr>
      <xdr:spPr bwMode="auto">
        <a:xfrm>
          <a:off x="47625" y="5142101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Sales</a:t>
          </a:r>
        </a:p>
      </xdr:txBody>
    </xdr:sp>
    <xdr:clientData/>
  </xdr:twoCellAnchor>
  <xdr:twoCellAnchor>
    <xdr:from>
      <xdr:col>0</xdr:col>
      <xdr:colOff>47625</xdr:colOff>
      <xdr:row>28</xdr:row>
      <xdr:rowOff>9897</xdr:rowOff>
    </xdr:from>
    <xdr:to>
      <xdr:col>1</xdr:col>
      <xdr:colOff>0</xdr:colOff>
      <xdr:row>28</xdr:row>
      <xdr:rowOff>238497</xdr:rowOff>
    </xdr:to>
    <xdr:sp macro="" textlink="">
      <xdr:nvSpPr>
        <xdr:cNvPr id="18" name="Rectangle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CBE229A-064E-4A9D-8D90-DA34D238B9AB}"/>
            </a:ext>
          </a:extLst>
        </xdr:cNvPr>
        <xdr:cNvSpPr>
          <a:spLocks noChangeArrowheads="1"/>
        </xdr:cNvSpPr>
      </xdr:nvSpPr>
      <xdr:spPr bwMode="auto">
        <a:xfrm>
          <a:off x="47625" y="6372597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Finance</a:t>
          </a:r>
        </a:p>
      </xdr:txBody>
    </xdr:sp>
    <xdr:clientData/>
  </xdr:twoCellAnchor>
  <xdr:twoCellAnchor>
    <xdr:from>
      <xdr:col>0</xdr:col>
      <xdr:colOff>47625</xdr:colOff>
      <xdr:row>30</xdr:row>
      <xdr:rowOff>17443</xdr:rowOff>
    </xdr:from>
    <xdr:to>
      <xdr:col>1</xdr:col>
      <xdr:colOff>0</xdr:colOff>
      <xdr:row>30</xdr:row>
      <xdr:rowOff>246043</xdr:rowOff>
    </xdr:to>
    <xdr:sp macro="" textlink="">
      <xdr:nvSpPr>
        <xdr:cNvPr id="19" name="Rectangle 1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820EF75-726B-4A30-A024-7EE545BD465F}"/>
            </a:ext>
          </a:extLst>
        </xdr:cNvPr>
        <xdr:cNvSpPr>
          <a:spLocks noChangeArrowheads="1"/>
        </xdr:cNvSpPr>
      </xdr:nvSpPr>
      <xdr:spPr bwMode="auto">
        <a:xfrm>
          <a:off x="47625" y="6789718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Insurance and Property</a:t>
          </a:r>
        </a:p>
      </xdr:txBody>
    </xdr:sp>
    <xdr:clientData/>
  </xdr:twoCellAnchor>
  <xdr:twoCellAnchor>
    <xdr:from>
      <xdr:col>0</xdr:col>
      <xdr:colOff>47626</xdr:colOff>
      <xdr:row>12</xdr:row>
      <xdr:rowOff>0</xdr:rowOff>
    </xdr:from>
    <xdr:to>
      <xdr:col>1</xdr:col>
      <xdr:colOff>1</xdr:colOff>
      <xdr:row>12</xdr:row>
      <xdr:rowOff>228600</xdr:rowOff>
    </xdr:to>
    <xdr:sp macro="" textlink="">
      <xdr:nvSpPr>
        <xdr:cNvPr id="20" name="Rectangle 1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32CDE26-AC38-478E-9C09-47318F0E088F}"/>
            </a:ext>
          </a:extLst>
        </xdr:cNvPr>
        <xdr:cNvSpPr>
          <a:spLocks noChangeArrowheads="1"/>
        </xdr:cNvSpPr>
      </xdr:nvSpPr>
      <xdr:spPr bwMode="auto">
        <a:xfrm>
          <a:off x="47626" y="2924175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Transaction</a:t>
          </a:r>
        </a:p>
      </xdr:txBody>
    </xdr:sp>
    <xdr:clientData/>
  </xdr:twoCellAnchor>
  <xdr:twoCellAnchor>
    <xdr:from>
      <xdr:col>0</xdr:col>
      <xdr:colOff>47625</xdr:colOff>
      <xdr:row>24</xdr:row>
      <xdr:rowOff>7918</xdr:rowOff>
    </xdr:from>
    <xdr:to>
      <xdr:col>1</xdr:col>
      <xdr:colOff>0</xdr:colOff>
      <xdr:row>24</xdr:row>
      <xdr:rowOff>236518</xdr:rowOff>
    </xdr:to>
    <xdr:sp macro="" textlink="">
      <xdr:nvSpPr>
        <xdr:cNvPr id="21" name="Rectangle 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A3C11A9-E8AE-4EB9-8A1A-3CA3E499FB91}"/>
            </a:ext>
          </a:extLst>
        </xdr:cNvPr>
        <xdr:cNvSpPr>
          <a:spLocks noChangeArrowheads="1"/>
        </xdr:cNvSpPr>
      </xdr:nvSpPr>
      <xdr:spPr bwMode="auto">
        <a:xfrm>
          <a:off x="47625" y="5551468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Operations</a:t>
          </a:r>
        </a:p>
      </xdr:txBody>
    </xdr:sp>
    <xdr:clientData/>
  </xdr:twoCellAnchor>
  <xdr:twoCellAnchor>
    <xdr:from>
      <xdr:col>0</xdr:col>
      <xdr:colOff>47625</xdr:colOff>
      <xdr:row>26</xdr:row>
      <xdr:rowOff>21770</xdr:rowOff>
    </xdr:from>
    <xdr:to>
      <xdr:col>1</xdr:col>
      <xdr:colOff>0</xdr:colOff>
      <xdr:row>27</xdr:row>
      <xdr:rowOff>2720</xdr:rowOff>
    </xdr:to>
    <xdr:sp macro="" textlink="">
      <xdr:nvSpPr>
        <xdr:cNvPr id="22" name="Rectangle 2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1C0D45C-6D8A-4C1A-8376-BE4662ABF7BB}"/>
            </a:ext>
          </a:extLst>
        </xdr:cNvPr>
        <xdr:cNvSpPr>
          <a:spLocks noChangeArrowheads="1"/>
        </xdr:cNvSpPr>
      </xdr:nvSpPr>
      <xdr:spPr bwMode="auto">
        <a:xfrm>
          <a:off x="47625" y="5936795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chemeClr val="bg1"/>
              </a:solidFill>
            </a:rPr>
            <a:t>Supply Chain/</a:t>
          </a:r>
          <a:r>
            <a:rPr lang="en-US" altLang="en-US">
              <a:solidFill>
                <a:srgbClr val="F1EEEC"/>
              </a:solidFill>
            </a:rPr>
            <a:t>Procurement</a:t>
          </a:r>
        </a:p>
      </xdr:txBody>
    </xdr:sp>
    <xdr:clientData/>
  </xdr:twoCellAnchor>
  <xdr:twoCellAnchor>
    <xdr:from>
      <xdr:col>0</xdr:col>
      <xdr:colOff>58831</xdr:colOff>
      <xdr:row>10</xdr:row>
      <xdr:rowOff>34177</xdr:rowOff>
    </xdr:from>
    <xdr:to>
      <xdr:col>1</xdr:col>
      <xdr:colOff>11206</xdr:colOff>
      <xdr:row>10</xdr:row>
      <xdr:rowOff>243727</xdr:rowOff>
    </xdr:to>
    <xdr:sp macro="" textlink="">
      <xdr:nvSpPr>
        <xdr:cNvPr id="23" name="Rectangle 2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FB8F59D-2CD4-4543-ABC2-5737868D4CAC}"/>
            </a:ext>
          </a:extLst>
        </xdr:cNvPr>
        <xdr:cNvSpPr>
          <a:spLocks noChangeArrowheads="1"/>
        </xdr:cNvSpPr>
      </xdr:nvSpPr>
      <xdr:spPr bwMode="auto">
        <a:xfrm>
          <a:off x="58831" y="2548777"/>
          <a:ext cx="1828800" cy="20955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Day 0</a:t>
          </a:r>
        </a:p>
      </xdr:txBody>
    </xdr:sp>
    <xdr:clientData/>
  </xdr:twoCellAnchor>
  <xdr:twoCellAnchor>
    <xdr:from>
      <xdr:col>0</xdr:col>
      <xdr:colOff>47625</xdr:colOff>
      <xdr:row>18</xdr:row>
      <xdr:rowOff>19049</xdr:rowOff>
    </xdr:from>
    <xdr:to>
      <xdr:col>1</xdr:col>
      <xdr:colOff>0</xdr:colOff>
      <xdr:row>18</xdr:row>
      <xdr:rowOff>247649</xdr:rowOff>
    </xdr:to>
    <xdr:sp macro="" textlink="">
      <xdr:nvSpPr>
        <xdr:cNvPr id="24" name="Rectangle 2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3D33993-586A-4BE9-9337-CCA5F252020A}"/>
            </a:ext>
          </a:extLst>
        </xdr:cNvPr>
        <xdr:cNvSpPr>
          <a:spLocks noChangeArrowheads="1"/>
        </xdr:cNvSpPr>
      </xdr:nvSpPr>
      <xdr:spPr bwMode="auto">
        <a:xfrm>
          <a:off x="47625" y="4171949"/>
          <a:ext cx="1828800" cy="228600"/>
        </a:xfrm>
        <a:prstGeom prst="rect">
          <a:avLst/>
        </a:prstGeom>
        <a:solidFill>
          <a:srgbClr val="0C3964"/>
        </a:solidFill>
        <a:ln w="9525">
          <a:solidFill>
            <a:srgbClr val="0C3964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1000" b="1"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+mn-cs"/>
            </a:defRPr>
          </a:lvl9pPr>
        </a:lstStyle>
        <a:p>
          <a:pPr algn="ctr"/>
          <a:r>
            <a:rPr lang="en-US" altLang="en-US">
              <a:solidFill>
                <a:srgbClr val="F1EEEC"/>
              </a:solidFill>
            </a:rPr>
            <a:t>Sales and Marketing</a:t>
          </a:r>
        </a:p>
      </xdr:txBody>
    </xdr:sp>
    <xdr:clientData/>
  </xdr:twoCellAnchor>
  <xdr:twoCellAnchor editAs="oneCell">
    <xdr:from>
      <xdr:col>8</xdr:col>
      <xdr:colOff>161925</xdr:colOff>
      <xdr:row>46</xdr:row>
      <xdr:rowOff>19050</xdr:rowOff>
    </xdr:from>
    <xdr:to>
      <xdr:col>16</xdr:col>
      <xdr:colOff>676274</xdr:colOff>
      <xdr:row>50</xdr:row>
      <xdr:rowOff>180975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8AFBFAC-9A4D-4046-B425-1860346729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2150" y="9363075"/>
          <a:ext cx="4238624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</xdr:row>
      <xdr:rowOff>9524</xdr:rowOff>
    </xdr:from>
    <xdr:to>
      <xdr:col>3</xdr:col>
      <xdr:colOff>152400</xdr:colOff>
      <xdr:row>2</xdr:row>
      <xdr:rowOff>361949</xdr:rowOff>
    </xdr:to>
    <xdr:cxnSp macro="">
      <xdr:nvCxnSpPr>
        <xdr:cNvPr id="2" name="Curved Connector 1">
          <a:extLst>
            <a:ext uri="{FF2B5EF4-FFF2-40B4-BE49-F238E27FC236}">
              <a16:creationId xmlns:a16="http://schemas.microsoft.com/office/drawing/2014/main" id="{55AD211F-26F9-476E-81F0-63748BC0B765}"/>
            </a:ext>
          </a:extLst>
        </xdr:cNvPr>
        <xdr:cNvCxnSpPr/>
      </xdr:nvCxnSpPr>
      <xdr:spPr>
        <a:xfrm rot="16200000" flipH="1">
          <a:off x="1585912" y="176212"/>
          <a:ext cx="180975" cy="609600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2076450</xdr:colOff>
      <xdr:row>0</xdr:row>
      <xdr:rowOff>0</xdr:rowOff>
    </xdr:from>
    <xdr:to>
      <xdr:col>11</xdr:col>
      <xdr:colOff>9526</xdr:colOff>
      <xdr:row>0</xdr:row>
      <xdr:rowOff>647700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94D8E9-0F32-429F-AC07-044BBC856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3150" y="0"/>
          <a:ext cx="628651" cy="647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1555750</xdr:colOff>
      <xdr:row>0</xdr:row>
      <xdr:rowOff>0</xdr:rowOff>
    </xdr:from>
    <xdr:to>
      <xdr:col>10</xdr:col>
      <xdr:colOff>2635705</xdr:colOff>
      <xdr:row>1</xdr:row>
      <xdr:rowOff>187323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91500" y="0"/>
          <a:ext cx="1079955" cy="107314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04061-D3B9-47E9-83BD-D6A38D1FB6FD}" name="Table1" displayName="Table1" ref="A2:I39" totalsRowShown="0" headerRowDxfId="19" dataDxfId="17" headerRowBorderDxfId="18" tableBorderDxfId="16" headerRowCellStyle="Normal 2" dataCellStyle="Normal 2">
  <tableColumns count="9">
    <tableColumn id="1" xr3:uid="{BD2E3266-E62D-4440-9D39-506C1E93D096}" name="Function" dataDxfId="15" dataCellStyle="Normal 2"/>
    <tableColumn id="2" xr3:uid="{FAED2F2E-2A25-4724-A209-05DA60B79B7C}" name="Description" dataDxfId="14" dataCellStyle="Normal 2"/>
    <tableColumn id="3" xr3:uid="{3CEAB2C3-5FAF-4AA9-BC9C-9B5D38E98756}" name="Reported by" dataDxfId="13" dataCellStyle="Normal 2"/>
    <tableColumn id="4" xr3:uid="{92AF519E-305A-4259-963B-DF2119FAEE6C}" name="Escalated to" dataDxfId="12" dataCellStyle="Normal 2"/>
    <tableColumn id="5" xr3:uid="{B2477359-A2B3-4A2B-A4FE-746D5956197D}" name="Date Identified" dataDxfId="11" dataCellStyle="Normal 2"/>
    <tableColumn id="6" xr3:uid="{5C77F33E-2973-4237-B96A-DEF7F9452685}" name="Date Resolved" dataDxfId="10" dataCellStyle="Normal 2"/>
    <tableColumn id="7" xr3:uid="{125287CC-3F3E-4B11-B60D-6F764D97E669}" name="Functions Impacted" dataDxfId="9" dataCellStyle="Normal 2"/>
    <tableColumn id="8" xr3:uid="{65B96945-F771-480A-9362-7C77A93643B1}" name="Status" dataDxfId="8" dataCellStyle="Normal 2"/>
    <tableColumn id="9" xr3:uid="{3F2A0491-AA98-4FB6-AC3C-7459DA05470A}" name="Comments" dataDxfId="7" dataCellStyle="Normal 2"/>
  </tableColumns>
  <tableStyleInfo name="RSG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7AD5F2-E068-4886-8B96-AE576D9AD17A}" name="Table2" displayName="Table2" ref="A2:E15" totalsRowShown="0" headerRowDxfId="6" tableBorderDxfId="5" headerRowCellStyle="Normal 2" dataCellStyle="Normal 2">
  <autoFilter ref="A2:E15" xr:uid="{8F89F5AC-47B9-4AD0-B195-70B3517F5BDA}"/>
  <tableColumns count="5">
    <tableColumn id="1" xr3:uid="{B7E899C8-E9E1-4792-8D76-1F1E1284D6C7}" name="Function" dataDxfId="4" dataCellStyle="Normal 2"/>
    <tableColumn id="2" xr3:uid="{3E096933-7902-4D63-AC9B-BCAFD5A1D41A}" name="Accountability" dataDxfId="3" dataCellStyle="Normal 2"/>
    <tableColumn id="3" xr3:uid="{B3582E7E-57ED-473A-B8E1-F912D51DC307}" name="Delegation" dataDxfId="2" dataCellStyle="Normal 2"/>
    <tableColumn id="4" xr3:uid="{13FCA6C7-93C9-4DBD-A239-6B7A2A481476}" name="What worked well?" dataDxfId="1" dataCellStyle="Normal 2"/>
    <tableColumn id="5" xr3:uid="{D2AA3079-06BF-4664-B425-F1B69968B140}" name="Suggestions for future integrations" dataDxfId="0" dataCellStyle="Normal 2"/>
  </tableColumns>
  <tableStyleInfo name="RSG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10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1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2.xml"/><Relationship Id="rId4" Type="http://schemas.openxmlformats.org/officeDocument/2006/relationships/table" Target="../tables/table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3.xml"/><Relationship Id="rId4" Type="http://schemas.openxmlformats.org/officeDocument/2006/relationships/table" Target="../tables/table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85532"/>
    <pageSetUpPr fitToPage="1"/>
  </sheetPr>
  <dimension ref="A1:AR62"/>
  <sheetViews>
    <sheetView showGridLines="0" zoomScaleNormal="100" workbookViewId="0">
      <selection activeCell="A18" sqref="A18"/>
    </sheetView>
  </sheetViews>
  <sheetFormatPr defaultRowHeight="15" x14ac:dyDescent="0.25"/>
  <cols>
    <col min="1" max="1" width="11" customWidth="1"/>
    <col min="2" max="2" width="9.140625" customWidth="1"/>
  </cols>
  <sheetData>
    <row r="1" spans="1:27" ht="19.5" thickBot="1" x14ac:dyDescent="0.35">
      <c r="A1" s="895" t="s">
        <v>0</v>
      </c>
      <c r="B1" s="896"/>
      <c r="C1" s="896"/>
      <c r="D1" s="896"/>
      <c r="E1" s="896"/>
      <c r="F1" s="896"/>
      <c r="G1" s="896"/>
      <c r="H1" s="896"/>
      <c r="I1" s="896"/>
      <c r="J1" s="896"/>
      <c r="K1" s="896"/>
      <c r="L1" s="896"/>
      <c r="M1" s="896"/>
      <c r="N1" s="896"/>
      <c r="O1" s="896"/>
      <c r="P1" s="896"/>
      <c r="Q1" s="896"/>
      <c r="R1" s="896"/>
      <c r="S1" s="896"/>
      <c r="T1" s="896"/>
      <c r="U1" s="896"/>
      <c r="V1" s="896"/>
      <c r="W1" s="896"/>
      <c r="X1" s="896"/>
      <c r="Y1" s="897"/>
    </row>
    <row r="2" spans="1:27" ht="15.75" thickTop="1" x14ac:dyDescent="0.25">
      <c r="A2" s="222" t="s">
        <v>1</v>
      </c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131"/>
      <c r="Z2" s="227"/>
      <c r="AA2" t="s">
        <v>2</v>
      </c>
    </row>
    <row r="3" spans="1:27" x14ac:dyDescent="0.25">
      <c r="A3" s="222" t="s">
        <v>3</v>
      </c>
      <c r="B3" s="223"/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131"/>
      <c r="Z3" s="379"/>
      <c r="AA3" t="s">
        <v>4</v>
      </c>
    </row>
    <row r="4" spans="1:27" x14ac:dyDescent="0.25">
      <c r="A4" s="222" t="s">
        <v>5</v>
      </c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131"/>
      <c r="Z4" s="380"/>
      <c r="AA4" t="s">
        <v>6</v>
      </c>
    </row>
    <row r="5" spans="1:27" x14ac:dyDescent="0.25">
      <c r="A5" s="222" t="s">
        <v>1034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131"/>
    </row>
    <row r="6" spans="1:27" x14ac:dyDescent="0.25">
      <c r="A6" s="222" t="s">
        <v>7</v>
      </c>
      <c r="B6" s="223"/>
      <c r="C6" s="223"/>
      <c r="D6" s="223"/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131"/>
    </row>
    <row r="7" spans="1:27" x14ac:dyDescent="0.25">
      <c r="A7" s="222" t="s">
        <v>8</v>
      </c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131"/>
    </row>
    <row r="8" spans="1:27" x14ac:dyDescent="0.25">
      <c r="A8" s="222" t="s">
        <v>9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131"/>
    </row>
    <row r="9" spans="1:27" x14ac:dyDescent="0.25">
      <c r="A9" s="222" t="s">
        <v>10</v>
      </c>
      <c r="B9" s="223"/>
      <c r="C9" s="223"/>
      <c r="D9" s="223"/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131"/>
    </row>
    <row r="10" spans="1:27" x14ac:dyDescent="0.25">
      <c r="A10" s="222" t="s">
        <v>11</v>
      </c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131"/>
    </row>
    <row r="11" spans="1:27" x14ac:dyDescent="0.25">
      <c r="A11" s="222" t="s">
        <v>12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131"/>
    </row>
    <row r="12" spans="1:27" x14ac:dyDescent="0.25">
      <c r="A12" s="222" t="s">
        <v>886</v>
      </c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131"/>
    </row>
    <row r="13" spans="1:27" ht="19.5" thickBot="1" x14ac:dyDescent="0.35">
      <c r="A13" s="898" t="s">
        <v>13</v>
      </c>
      <c r="B13" s="899"/>
      <c r="C13" s="899"/>
      <c r="D13" s="899"/>
      <c r="E13" s="899"/>
      <c r="F13" s="899"/>
      <c r="G13" s="899"/>
      <c r="H13" s="899"/>
      <c r="I13" s="899"/>
      <c r="J13" s="899"/>
      <c r="K13" s="899"/>
      <c r="L13" s="899"/>
      <c r="M13" s="899"/>
      <c r="N13" s="899"/>
      <c r="O13" s="899"/>
      <c r="P13" s="899"/>
      <c r="Q13" s="899"/>
      <c r="R13" s="899"/>
      <c r="S13" s="899"/>
      <c r="T13" s="899"/>
      <c r="U13" s="899"/>
      <c r="V13" s="899"/>
      <c r="W13" s="899"/>
      <c r="X13" s="899"/>
      <c r="Y13" s="900"/>
    </row>
    <row r="14" spans="1:27" ht="15.75" thickTop="1" x14ac:dyDescent="0.25">
      <c r="A14" s="222" t="s">
        <v>14</v>
      </c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131"/>
    </row>
    <row r="15" spans="1:27" x14ac:dyDescent="0.25">
      <c r="A15" s="222" t="s">
        <v>15</v>
      </c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131"/>
    </row>
    <row r="16" spans="1:27" x14ac:dyDescent="0.25">
      <c r="A16" s="222" t="s">
        <v>16</v>
      </c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131"/>
    </row>
    <row r="17" spans="1:44" ht="19.5" thickBot="1" x14ac:dyDescent="0.35">
      <c r="A17" s="898" t="s">
        <v>17</v>
      </c>
      <c r="B17" s="899"/>
      <c r="C17" s="899"/>
      <c r="D17" s="899"/>
      <c r="E17" s="899"/>
      <c r="F17" s="899"/>
      <c r="G17" s="899"/>
      <c r="H17" s="899"/>
      <c r="I17" s="899"/>
      <c r="J17" s="899"/>
      <c r="K17" s="899"/>
      <c r="L17" s="899"/>
      <c r="M17" s="899"/>
      <c r="N17" s="899"/>
      <c r="O17" s="899"/>
      <c r="P17" s="899"/>
      <c r="Q17" s="899"/>
      <c r="R17" s="899"/>
      <c r="S17" s="899"/>
      <c r="T17" s="899"/>
      <c r="U17" s="899"/>
      <c r="V17" s="899"/>
      <c r="W17" s="899"/>
      <c r="X17" s="899"/>
      <c r="Y17" s="900"/>
    </row>
    <row r="18" spans="1:44" ht="15.75" thickTop="1" x14ac:dyDescent="0.25">
      <c r="A18" s="222" t="s">
        <v>18</v>
      </c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131"/>
    </row>
    <row r="19" spans="1:44" x14ac:dyDescent="0.25">
      <c r="A19" s="222" t="s">
        <v>19</v>
      </c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131"/>
    </row>
    <row r="20" spans="1:44" x14ac:dyDescent="0.25">
      <c r="A20" s="222" t="s">
        <v>20</v>
      </c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131"/>
    </row>
    <row r="21" spans="1:44" x14ac:dyDescent="0.25">
      <c r="A21" s="222" t="s">
        <v>21</v>
      </c>
      <c r="B21" s="223"/>
      <c r="C21" s="223"/>
      <c r="D21" s="223"/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131"/>
    </row>
    <row r="22" spans="1:44" x14ac:dyDescent="0.25">
      <c r="A22" s="222" t="s">
        <v>22</v>
      </c>
      <c r="B22" s="223"/>
      <c r="C22" s="223"/>
      <c r="D22" s="223"/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131"/>
    </row>
    <row r="23" spans="1:44" x14ac:dyDescent="0.25">
      <c r="A23" s="222" t="s">
        <v>23</v>
      </c>
      <c r="B23" s="223"/>
      <c r="C23" s="223"/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131"/>
    </row>
    <row r="24" spans="1:44" x14ac:dyDescent="0.25">
      <c r="A24" s="222" t="s">
        <v>24</v>
      </c>
      <c r="B24" s="223"/>
      <c r="C24" s="223"/>
      <c r="D24" s="223"/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131"/>
    </row>
    <row r="25" spans="1:44" ht="15.75" thickBot="1" x14ac:dyDescent="0.3">
      <c r="A25" s="224" t="s">
        <v>25</v>
      </c>
      <c r="B25" s="225"/>
      <c r="C25" s="225"/>
      <c r="D25" s="225"/>
      <c r="E25" s="225"/>
      <c r="F25" s="225"/>
      <c r="G25" s="225"/>
      <c r="H25" s="225"/>
      <c r="I25" s="225"/>
      <c r="J25" s="225"/>
      <c r="K25" s="225"/>
      <c r="L25" s="225"/>
      <c r="M25" s="225"/>
      <c r="N25" s="225"/>
      <c r="O25" s="225"/>
      <c r="P25" s="225"/>
      <c r="Q25" s="225"/>
      <c r="R25" s="225"/>
      <c r="S25" s="225"/>
      <c r="T25" s="225"/>
      <c r="U25" s="225"/>
      <c r="V25" s="225"/>
      <c r="W25" s="225"/>
      <c r="X25" s="225"/>
      <c r="Y25" s="226"/>
    </row>
    <row r="26" spans="1:44" ht="15.75" customHeight="1" x14ac:dyDescent="0.25">
      <c r="A26" s="894" t="s">
        <v>26</v>
      </c>
      <c r="B26" s="894"/>
      <c r="C26" s="894"/>
      <c r="D26" s="894"/>
      <c r="E26" s="894"/>
      <c r="F26" s="894"/>
      <c r="G26" s="894"/>
      <c r="H26" s="894"/>
      <c r="I26" s="894"/>
      <c r="J26" s="894"/>
      <c r="K26" s="894"/>
      <c r="L26" s="894"/>
      <c r="M26" s="894"/>
      <c r="N26" s="894"/>
      <c r="O26" s="894"/>
      <c r="P26" s="894"/>
      <c r="Q26" s="893" t="s">
        <v>27</v>
      </c>
      <c r="R26" s="893"/>
      <c r="S26" s="893"/>
      <c r="T26" s="893"/>
      <c r="U26" s="893"/>
      <c r="V26" s="893"/>
      <c r="W26" s="893"/>
      <c r="X26" s="893"/>
      <c r="Y26" s="893"/>
      <c r="Z26" s="893"/>
      <c r="AA26" s="893"/>
      <c r="AB26" s="893"/>
      <c r="AC26" s="893"/>
      <c r="AD26" s="893"/>
      <c r="AE26" s="893"/>
      <c r="AF26" s="893"/>
      <c r="AG26" s="893"/>
      <c r="AH26" s="893"/>
      <c r="AI26" s="893"/>
      <c r="AJ26" s="893"/>
      <c r="AK26" s="893"/>
      <c r="AL26" s="893"/>
      <c r="AM26" s="893"/>
      <c r="AN26" s="893"/>
      <c r="AO26" s="893"/>
      <c r="AP26" s="893"/>
      <c r="AQ26" s="893"/>
      <c r="AR26" s="893"/>
    </row>
    <row r="27" spans="1:44" x14ac:dyDescent="0.25">
      <c r="A27" s="893"/>
      <c r="B27" s="893"/>
      <c r="C27" s="893"/>
      <c r="D27" s="893"/>
      <c r="E27" s="893"/>
      <c r="F27" s="893"/>
      <c r="G27" s="893"/>
      <c r="H27" s="893"/>
      <c r="I27" s="893"/>
      <c r="J27" s="893"/>
      <c r="K27" s="893"/>
      <c r="L27" s="893"/>
      <c r="M27" s="893"/>
      <c r="N27" s="893"/>
      <c r="O27" s="893"/>
      <c r="P27" s="893"/>
      <c r="Q27" s="893"/>
      <c r="R27" s="893"/>
      <c r="S27" s="893"/>
      <c r="T27" s="893"/>
      <c r="U27" s="893"/>
      <c r="V27" s="893"/>
      <c r="W27" s="893"/>
      <c r="X27" s="893"/>
      <c r="Y27" s="893"/>
      <c r="Z27" s="893"/>
      <c r="AA27" s="893"/>
      <c r="AB27" s="893"/>
      <c r="AC27" s="893"/>
      <c r="AD27" s="893"/>
      <c r="AE27" s="893"/>
      <c r="AF27" s="893"/>
      <c r="AG27" s="893"/>
      <c r="AH27" s="893"/>
      <c r="AI27" s="893"/>
      <c r="AJ27" s="893"/>
      <c r="AK27" s="893"/>
      <c r="AL27" s="893"/>
      <c r="AM27" s="893"/>
      <c r="AN27" s="893"/>
      <c r="AO27" s="893"/>
      <c r="AP27" s="893"/>
      <c r="AQ27" s="893"/>
      <c r="AR27" s="893"/>
    </row>
    <row r="28" spans="1:44" x14ac:dyDescent="0.25">
      <c r="A28" s="893"/>
      <c r="B28" s="893"/>
      <c r="C28" s="893"/>
      <c r="D28" s="893"/>
      <c r="E28" s="893"/>
      <c r="F28" s="893"/>
      <c r="G28" s="893"/>
      <c r="H28" s="893"/>
      <c r="I28" s="893"/>
      <c r="J28" s="893"/>
      <c r="K28" s="893"/>
      <c r="L28" s="893"/>
      <c r="M28" s="893"/>
      <c r="N28" s="893"/>
      <c r="O28" s="893"/>
      <c r="P28" s="893"/>
      <c r="Q28" s="893"/>
      <c r="R28" s="893"/>
      <c r="S28" s="893"/>
      <c r="T28" s="893"/>
      <c r="U28" s="893"/>
      <c r="V28" s="893"/>
      <c r="W28" s="893"/>
      <c r="X28" s="893"/>
      <c r="Y28" s="893"/>
      <c r="Z28" s="893"/>
      <c r="AA28" s="893"/>
      <c r="AB28" s="893"/>
      <c r="AC28" s="893"/>
      <c r="AD28" s="893"/>
      <c r="AE28" s="893"/>
      <c r="AF28" s="893"/>
      <c r="AG28" s="893"/>
      <c r="AH28" s="893"/>
      <c r="AI28" s="893"/>
      <c r="AJ28" s="893"/>
      <c r="AK28" s="893"/>
      <c r="AL28" s="893"/>
      <c r="AM28" s="893"/>
      <c r="AN28" s="893"/>
      <c r="AO28" s="893"/>
      <c r="AP28" s="893"/>
      <c r="AQ28" s="893"/>
      <c r="AR28" s="893"/>
    </row>
    <row r="29" spans="1:44" x14ac:dyDescent="0.25">
      <c r="A29" s="893"/>
      <c r="B29" s="893"/>
      <c r="C29" s="893"/>
      <c r="D29" s="893"/>
      <c r="E29" s="893"/>
      <c r="F29" s="893"/>
      <c r="G29" s="893"/>
      <c r="H29" s="893"/>
      <c r="I29" s="893"/>
      <c r="J29" s="893"/>
      <c r="K29" s="893"/>
      <c r="L29" s="893"/>
      <c r="M29" s="893"/>
      <c r="N29" s="893"/>
      <c r="O29" s="893"/>
      <c r="P29" s="893"/>
      <c r="Q29" s="893"/>
      <c r="R29" s="893"/>
      <c r="S29" s="893"/>
      <c r="T29" s="893"/>
      <c r="U29" s="893"/>
      <c r="V29" s="893"/>
      <c r="W29" s="893"/>
      <c r="X29" s="893"/>
      <c r="Y29" s="893"/>
      <c r="Z29" s="893"/>
      <c r="AA29" s="893"/>
      <c r="AB29" s="893"/>
      <c r="AC29" s="893"/>
      <c r="AD29" s="893"/>
      <c r="AE29" s="893"/>
      <c r="AF29" s="893"/>
      <c r="AG29" s="893"/>
      <c r="AH29" s="893"/>
      <c r="AI29" s="893"/>
      <c r="AJ29" s="893"/>
      <c r="AK29" s="893"/>
      <c r="AL29" s="893"/>
      <c r="AM29" s="893"/>
      <c r="AN29" s="893"/>
      <c r="AO29" s="893"/>
      <c r="AP29" s="893"/>
      <c r="AQ29" s="893"/>
      <c r="AR29" s="893"/>
    </row>
    <row r="30" spans="1:44" x14ac:dyDescent="0.25">
      <c r="A30" s="893"/>
      <c r="B30" s="893"/>
      <c r="C30" s="893"/>
      <c r="D30" s="893"/>
      <c r="E30" s="893"/>
      <c r="F30" s="893"/>
      <c r="G30" s="893"/>
      <c r="H30" s="893"/>
      <c r="I30" s="893"/>
      <c r="J30" s="893"/>
      <c r="K30" s="893"/>
      <c r="L30" s="893"/>
      <c r="M30" s="893"/>
      <c r="N30" s="893"/>
      <c r="O30" s="893"/>
      <c r="P30" s="893"/>
      <c r="Q30" s="893"/>
      <c r="R30" s="893"/>
      <c r="S30" s="893"/>
      <c r="T30" s="893"/>
      <c r="U30" s="893"/>
      <c r="V30" s="893"/>
      <c r="W30" s="893"/>
      <c r="X30" s="893"/>
      <c r="Y30" s="893"/>
      <c r="Z30" s="893"/>
      <c r="AA30" s="893"/>
      <c r="AB30" s="893"/>
      <c r="AC30" s="893"/>
      <c r="AD30" s="893"/>
      <c r="AE30" s="893"/>
      <c r="AF30" s="893"/>
      <c r="AG30" s="893"/>
      <c r="AH30" s="893"/>
      <c r="AI30" s="893"/>
      <c r="AJ30" s="893"/>
      <c r="AK30" s="893"/>
      <c r="AL30" s="893"/>
      <c r="AM30" s="893"/>
      <c r="AN30" s="893"/>
      <c r="AO30" s="893"/>
      <c r="AP30" s="893"/>
      <c r="AQ30" s="893"/>
      <c r="AR30" s="893"/>
    </row>
    <row r="31" spans="1:44" x14ac:dyDescent="0.25">
      <c r="A31" s="893"/>
      <c r="B31" s="893"/>
      <c r="C31" s="893"/>
      <c r="D31" s="893"/>
      <c r="E31" s="893"/>
      <c r="F31" s="893"/>
      <c r="G31" s="893"/>
      <c r="H31" s="893"/>
      <c r="I31" s="893"/>
      <c r="J31" s="893"/>
      <c r="K31" s="893"/>
      <c r="L31" s="893"/>
      <c r="M31" s="893"/>
      <c r="N31" s="893"/>
      <c r="O31" s="893"/>
      <c r="P31" s="893"/>
      <c r="Q31" s="893"/>
      <c r="R31" s="893"/>
      <c r="S31" s="893"/>
      <c r="T31" s="893"/>
      <c r="U31" s="893"/>
      <c r="V31" s="893"/>
      <c r="W31" s="893"/>
      <c r="X31" s="893"/>
      <c r="Y31" s="893"/>
      <c r="Z31" s="893"/>
      <c r="AA31" s="893"/>
      <c r="AB31" s="893"/>
      <c r="AC31" s="893"/>
      <c r="AD31" s="893"/>
      <c r="AE31" s="893"/>
      <c r="AF31" s="893"/>
      <c r="AG31" s="893"/>
      <c r="AH31" s="893"/>
      <c r="AI31" s="893"/>
      <c r="AJ31" s="893"/>
      <c r="AK31" s="893"/>
      <c r="AL31" s="893"/>
      <c r="AM31" s="893"/>
      <c r="AN31" s="893"/>
      <c r="AO31" s="893"/>
      <c r="AP31" s="893"/>
      <c r="AQ31" s="893"/>
      <c r="AR31" s="893"/>
    </row>
    <row r="32" spans="1:44" x14ac:dyDescent="0.25">
      <c r="A32" s="893"/>
      <c r="B32" s="893"/>
      <c r="C32" s="893"/>
      <c r="D32" s="893"/>
      <c r="E32" s="893"/>
      <c r="F32" s="893"/>
      <c r="G32" s="893"/>
      <c r="H32" s="893"/>
      <c r="I32" s="893"/>
      <c r="J32" s="893"/>
      <c r="K32" s="893"/>
      <c r="L32" s="893"/>
      <c r="M32" s="893"/>
      <c r="N32" s="893"/>
      <c r="O32" s="893"/>
      <c r="P32" s="893"/>
      <c r="Q32" s="893"/>
      <c r="R32" s="893"/>
      <c r="S32" s="893"/>
      <c r="T32" s="893"/>
      <c r="U32" s="893"/>
      <c r="V32" s="893"/>
      <c r="W32" s="893"/>
      <c r="X32" s="893"/>
      <c r="Y32" s="893"/>
      <c r="Z32" s="893"/>
      <c r="AA32" s="893"/>
      <c r="AB32" s="893"/>
      <c r="AC32" s="893"/>
      <c r="AD32" s="893"/>
      <c r="AE32" s="893"/>
      <c r="AF32" s="893"/>
      <c r="AG32" s="893"/>
      <c r="AH32" s="893"/>
      <c r="AI32" s="893"/>
      <c r="AJ32" s="893"/>
      <c r="AK32" s="893"/>
      <c r="AL32" s="893"/>
      <c r="AM32" s="893"/>
      <c r="AN32" s="893"/>
      <c r="AO32" s="893"/>
      <c r="AP32" s="893"/>
      <c r="AQ32" s="893"/>
      <c r="AR32" s="893"/>
    </row>
    <row r="33" spans="1:44" x14ac:dyDescent="0.25">
      <c r="A33" s="893"/>
      <c r="B33" s="893"/>
      <c r="C33" s="893"/>
      <c r="D33" s="893"/>
      <c r="E33" s="893"/>
      <c r="F33" s="893"/>
      <c r="G33" s="893"/>
      <c r="H33" s="893"/>
      <c r="I33" s="893"/>
      <c r="J33" s="893"/>
      <c r="K33" s="893"/>
      <c r="L33" s="893"/>
      <c r="M33" s="893"/>
      <c r="N33" s="893"/>
      <c r="O33" s="893"/>
      <c r="P33" s="893"/>
      <c r="Q33" s="893"/>
      <c r="R33" s="893"/>
      <c r="S33" s="893"/>
      <c r="T33" s="893"/>
      <c r="U33" s="893"/>
      <c r="V33" s="893"/>
      <c r="W33" s="893"/>
      <c r="X33" s="893"/>
      <c r="Y33" s="893"/>
      <c r="Z33" s="893"/>
      <c r="AA33" s="893"/>
      <c r="AB33" s="893"/>
      <c r="AC33" s="893"/>
      <c r="AD33" s="893"/>
      <c r="AE33" s="893"/>
      <c r="AF33" s="893"/>
      <c r="AG33" s="893"/>
      <c r="AH33" s="893"/>
      <c r="AI33" s="893"/>
      <c r="AJ33" s="893"/>
      <c r="AK33" s="893"/>
      <c r="AL33" s="893"/>
      <c r="AM33" s="893"/>
      <c r="AN33" s="893"/>
      <c r="AO33" s="893"/>
      <c r="AP33" s="893"/>
      <c r="AQ33" s="893"/>
      <c r="AR33" s="893"/>
    </row>
    <row r="34" spans="1:44" x14ac:dyDescent="0.25">
      <c r="A34" s="893"/>
      <c r="B34" s="893"/>
      <c r="C34" s="893"/>
      <c r="D34" s="893"/>
      <c r="E34" s="893"/>
      <c r="F34" s="893"/>
      <c r="G34" s="893"/>
      <c r="H34" s="893"/>
      <c r="I34" s="893"/>
      <c r="J34" s="893"/>
      <c r="K34" s="893"/>
      <c r="L34" s="893"/>
      <c r="M34" s="893"/>
      <c r="N34" s="893"/>
      <c r="O34" s="893"/>
      <c r="P34" s="893"/>
      <c r="Q34" s="893"/>
      <c r="R34" s="893"/>
      <c r="S34" s="893"/>
      <c r="T34" s="893"/>
      <c r="U34" s="893"/>
      <c r="V34" s="893"/>
      <c r="W34" s="893"/>
      <c r="X34" s="893"/>
      <c r="Y34" s="893"/>
      <c r="Z34" s="893"/>
      <c r="AA34" s="893"/>
      <c r="AB34" s="893"/>
      <c r="AC34" s="893"/>
      <c r="AD34" s="893"/>
      <c r="AE34" s="893"/>
      <c r="AF34" s="893"/>
      <c r="AG34" s="893"/>
      <c r="AH34" s="893"/>
      <c r="AI34" s="893"/>
      <c r="AJ34" s="893"/>
      <c r="AK34" s="893"/>
      <c r="AL34" s="893"/>
      <c r="AM34" s="893"/>
      <c r="AN34" s="893"/>
      <c r="AO34" s="893"/>
      <c r="AP34" s="893"/>
      <c r="AQ34" s="893"/>
      <c r="AR34" s="893"/>
    </row>
    <row r="35" spans="1:44" x14ac:dyDescent="0.25">
      <c r="A35" s="893"/>
      <c r="B35" s="893"/>
      <c r="C35" s="893"/>
      <c r="D35" s="893"/>
      <c r="E35" s="893"/>
      <c r="F35" s="893"/>
      <c r="G35" s="893"/>
      <c r="H35" s="893"/>
      <c r="I35" s="893"/>
      <c r="J35" s="893"/>
      <c r="K35" s="893"/>
      <c r="L35" s="893"/>
      <c r="M35" s="893"/>
      <c r="N35" s="893"/>
      <c r="O35" s="893"/>
      <c r="P35" s="893"/>
      <c r="Q35" s="893"/>
      <c r="R35" s="893"/>
      <c r="S35" s="893"/>
      <c r="T35" s="893"/>
      <c r="U35" s="893"/>
      <c r="V35" s="893"/>
      <c r="W35" s="893"/>
      <c r="X35" s="893"/>
      <c r="Y35" s="893"/>
      <c r="Z35" s="893"/>
      <c r="AA35" s="893"/>
      <c r="AB35" s="893"/>
      <c r="AC35" s="893"/>
      <c r="AD35" s="893"/>
      <c r="AE35" s="893"/>
      <c r="AF35" s="893"/>
      <c r="AG35" s="893"/>
      <c r="AH35" s="893"/>
      <c r="AI35" s="893"/>
      <c r="AJ35" s="893"/>
      <c r="AK35" s="893"/>
      <c r="AL35" s="893"/>
      <c r="AM35" s="893"/>
      <c r="AN35" s="893"/>
      <c r="AO35" s="893"/>
      <c r="AP35" s="893"/>
      <c r="AQ35" s="893"/>
      <c r="AR35" s="893"/>
    </row>
    <row r="36" spans="1:44" x14ac:dyDescent="0.25">
      <c r="A36" s="893"/>
      <c r="B36" s="893"/>
      <c r="C36" s="893"/>
      <c r="D36" s="893"/>
      <c r="E36" s="893"/>
      <c r="F36" s="893"/>
      <c r="G36" s="893"/>
      <c r="H36" s="893"/>
      <c r="I36" s="893"/>
      <c r="J36" s="893"/>
      <c r="K36" s="893"/>
      <c r="L36" s="893"/>
      <c r="M36" s="893"/>
      <c r="N36" s="893"/>
      <c r="O36" s="893"/>
      <c r="P36" s="893"/>
      <c r="Q36" s="893"/>
      <c r="R36" s="893"/>
      <c r="S36" s="893"/>
      <c r="T36" s="893"/>
      <c r="U36" s="893"/>
      <c r="V36" s="893"/>
      <c r="W36" s="893"/>
      <c r="X36" s="893"/>
      <c r="Y36" s="893"/>
      <c r="Z36" s="893"/>
      <c r="AA36" s="893"/>
      <c r="AB36" s="893"/>
      <c r="AC36" s="893"/>
      <c r="AD36" s="893"/>
      <c r="AE36" s="893"/>
      <c r="AF36" s="893"/>
      <c r="AG36" s="893"/>
      <c r="AH36" s="893"/>
      <c r="AI36" s="893"/>
      <c r="AJ36" s="893"/>
      <c r="AK36" s="893"/>
      <c r="AL36" s="893"/>
      <c r="AM36" s="893"/>
      <c r="AN36" s="893"/>
      <c r="AO36" s="893"/>
      <c r="AP36" s="893"/>
      <c r="AQ36" s="893"/>
      <c r="AR36" s="893"/>
    </row>
    <row r="37" spans="1:44" x14ac:dyDescent="0.25">
      <c r="A37" s="893"/>
      <c r="B37" s="893"/>
      <c r="C37" s="893"/>
      <c r="D37" s="893"/>
      <c r="E37" s="893"/>
      <c r="F37" s="893"/>
      <c r="G37" s="893"/>
      <c r="H37" s="893"/>
      <c r="I37" s="893"/>
      <c r="J37" s="893"/>
      <c r="K37" s="893"/>
      <c r="L37" s="893"/>
      <c r="M37" s="893"/>
      <c r="N37" s="893"/>
      <c r="O37" s="893"/>
      <c r="P37" s="893"/>
      <c r="Q37" s="893"/>
      <c r="R37" s="893"/>
      <c r="S37" s="893"/>
      <c r="T37" s="893"/>
      <c r="U37" s="893"/>
      <c r="V37" s="893"/>
      <c r="W37" s="893"/>
      <c r="X37" s="893"/>
      <c r="Y37" s="893"/>
      <c r="Z37" s="893"/>
      <c r="AA37" s="893"/>
      <c r="AB37" s="893"/>
      <c r="AC37" s="893"/>
      <c r="AD37" s="893"/>
      <c r="AE37" s="893"/>
      <c r="AF37" s="893"/>
      <c r="AG37" s="893"/>
      <c r="AH37" s="893"/>
      <c r="AI37" s="893"/>
      <c r="AJ37" s="893"/>
      <c r="AK37" s="893"/>
      <c r="AL37" s="893"/>
      <c r="AM37" s="893"/>
      <c r="AN37" s="893"/>
      <c r="AO37" s="893"/>
      <c r="AP37" s="893"/>
      <c r="AQ37" s="893"/>
      <c r="AR37" s="893"/>
    </row>
    <row r="38" spans="1:44" x14ac:dyDescent="0.25">
      <c r="A38" s="893"/>
      <c r="B38" s="893"/>
      <c r="C38" s="893"/>
      <c r="D38" s="893"/>
      <c r="E38" s="893"/>
      <c r="F38" s="893"/>
      <c r="G38" s="893"/>
      <c r="H38" s="893"/>
      <c r="I38" s="893"/>
      <c r="J38" s="893"/>
      <c r="K38" s="893"/>
      <c r="L38" s="893"/>
      <c r="M38" s="893"/>
      <c r="N38" s="893"/>
      <c r="O38" s="893"/>
      <c r="P38" s="893"/>
      <c r="Q38" s="893"/>
      <c r="R38" s="893"/>
      <c r="S38" s="893"/>
      <c r="T38" s="893"/>
      <c r="U38" s="893"/>
      <c r="V38" s="893"/>
      <c r="W38" s="893"/>
      <c r="X38" s="893"/>
      <c r="Y38" s="893"/>
      <c r="Z38" s="893"/>
      <c r="AA38" s="893"/>
      <c r="AB38" s="893"/>
      <c r="AC38" s="893"/>
      <c r="AD38" s="893"/>
      <c r="AE38" s="893"/>
      <c r="AF38" s="893"/>
      <c r="AG38" s="893"/>
      <c r="AH38" s="893"/>
      <c r="AI38" s="893"/>
      <c r="AJ38" s="893"/>
      <c r="AK38" s="893"/>
      <c r="AL38" s="893"/>
      <c r="AM38" s="893"/>
      <c r="AN38" s="893"/>
      <c r="AO38" s="893"/>
      <c r="AP38" s="893"/>
      <c r="AQ38" s="893"/>
      <c r="AR38" s="893"/>
    </row>
    <row r="39" spans="1:44" x14ac:dyDescent="0.25">
      <c r="A39" s="893"/>
      <c r="B39" s="893"/>
      <c r="C39" s="893"/>
      <c r="D39" s="893"/>
      <c r="E39" s="893"/>
      <c r="F39" s="893"/>
      <c r="G39" s="893"/>
      <c r="H39" s="893"/>
      <c r="I39" s="893"/>
      <c r="J39" s="893"/>
      <c r="K39" s="893"/>
      <c r="L39" s="893"/>
      <c r="M39" s="893"/>
      <c r="N39" s="893"/>
      <c r="O39" s="893"/>
      <c r="P39" s="893"/>
      <c r="Q39" s="893"/>
      <c r="R39" s="893"/>
      <c r="S39" s="893"/>
      <c r="T39" s="893"/>
      <c r="U39" s="893"/>
      <c r="V39" s="893"/>
      <c r="W39" s="893"/>
      <c r="X39" s="893"/>
      <c r="Y39" s="893"/>
      <c r="Z39" s="893"/>
      <c r="AA39" s="893"/>
      <c r="AB39" s="893"/>
      <c r="AC39" s="893"/>
      <c r="AD39" s="893"/>
      <c r="AE39" s="893"/>
      <c r="AF39" s="893"/>
      <c r="AG39" s="893"/>
      <c r="AH39" s="893"/>
      <c r="AI39" s="893"/>
      <c r="AJ39" s="893"/>
      <c r="AK39" s="893"/>
      <c r="AL39" s="893"/>
      <c r="AM39" s="893"/>
      <c r="AN39" s="893"/>
      <c r="AO39" s="893"/>
      <c r="AP39" s="893"/>
      <c r="AQ39" s="893"/>
      <c r="AR39" s="893"/>
    </row>
    <row r="40" spans="1:44" x14ac:dyDescent="0.25">
      <c r="A40" s="893"/>
      <c r="B40" s="893"/>
      <c r="C40" s="893"/>
      <c r="D40" s="893"/>
      <c r="E40" s="893"/>
      <c r="F40" s="893"/>
      <c r="G40" s="893"/>
      <c r="H40" s="893"/>
      <c r="I40" s="893"/>
      <c r="J40" s="893"/>
      <c r="K40" s="893"/>
      <c r="L40" s="893"/>
      <c r="M40" s="893"/>
      <c r="N40" s="893"/>
      <c r="O40" s="893"/>
      <c r="P40" s="893"/>
      <c r="Q40" s="893"/>
      <c r="R40" s="893"/>
      <c r="S40" s="893"/>
      <c r="T40" s="893"/>
      <c r="U40" s="893"/>
      <c r="V40" s="893"/>
      <c r="W40" s="893"/>
      <c r="X40" s="893"/>
      <c r="Y40" s="893"/>
      <c r="Z40" s="893"/>
      <c r="AA40" s="893"/>
      <c r="AB40" s="893"/>
      <c r="AC40" s="893"/>
      <c r="AD40" s="893"/>
      <c r="AE40" s="893"/>
      <c r="AF40" s="893"/>
      <c r="AG40" s="893"/>
      <c r="AH40" s="893"/>
      <c r="AI40" s="893"/>
      <c r="AJ40" s="893"/>
      <c r="AK40" s="893"/>
      <c r="AL40" s="893"/>
      <c r="AM40" s="893"/>
      <c r="AN40" s="893"/>
      <c r="AO40" s="893"/>
      <c r="AP40" s="893"/>
      <c r="AQ40" s="893"/>
      <c r="AR40" s="893"/>
    </row>
    <row r="41" spans="1:44" x14ac:dyDescent="0.25">
      <c r="A41" s="893"/>
      <c r="B41" s="893"/>
      <c r="C41" s="893"/>
      <c r="D41" s="893"/>
      <c r="E41" s="893"/>
      <c r="F41" s="893"/>
      <c r="G41" s="893"/>
      <c r="H41" s="893"/>
      <c r="I41" s="893"/>
      <c r="J41" s="893"/>
      <c r="K41" s="893"/>
      <c r="L41" s="893"/>
      <c r="M41" s="893"/>
      <c r="N41" s="893"/>
      <c r="O41" s="893"/>
      <c r="P41" s="893"/>
      <c r="Q41" s="893"/>
      <c r="R41" s="893"/>
      <c r="S41" s="893"/>
      <c r="T41" s="893"/>
      <c r="U41" s="893"/>
      <c r="V41" s="893"/>
      <c r="W41" s="893"/>
      <c r="X41" s="893"/>
      <c r="Y41" s="893"/>
      <c r="Z41" s="893"/>
      <c r="AA41" s="893"/>
      <c r="AB41" s="893"/>
      <c r="AC41" s="893"/>
      <c r="AD41" s="893"/>
      <c r="AE41" s="893"/>
      <c r="AF41" s="893"/>
      <c r="AG41" s="893"/>
      <c r="AH41" s="893"/>
      <c r="AI41" s="893"/>
      <c r="AJ41" s="893"/>
      <c r="AK41" s="893"/>
      <c r="AL41" s="893"/>
      <c r="AM41" s="893"/>
      <c r="AN41" s="893"/>
      <c r="AO41" s="893"/>
      <c r="AP41" s="893"/>
      <c r="AQ41" s="893"/>
      <c r="AR41" s="893"/>
    </row>
    <row r="42" spans="1:44" x14ac:dyDescent="0.25">
      <c r="A42" s="893"/>
      <c r="B42" s="893"/>
      <c r="C42" s="893"/>
      <c r="D42" s="893"/>
      <c r="E42" s="893"/>
      <c r="F42" s="893"/>
      <c r="G42" s="893"/>
      <c r="H42" s="893"/>
      <c r="I42" s="893"/>
      <c r="J42" s="893"/>
      <c r="K42" s="893"/>
      <c r="L42" s="893"/>
      <c r="M42" s="893"/>
      <c r="N42" s="893"/>
      <c r="O42" s="893"/>
      <c r="P42" s="893"/>
      <c r="Q42" s="893"/>
      <c r="R42" s="893"/>
      <c r="S42" s="893"/>
      <c r="T42" s="893"/>
      <c r="U42" s="893"/>
      <c r="V42" s="893"/>
      <c r="W42" s="893"/>
      <c r="X42" s="893"/>
      <c r="Y42" s="893"/>
      <c r="Z42" s="893"/>
      <c r="AA42" s="893"/>
      <c r="AB42" s="893"/>
      <c r="AC42" s="893"/>
      <c r="AD42" s="893"/>
      <c r="AE42" s="893"/>
      <c r="AF42" s="893"/>
      <c r="AG42" s="893"/>
      <c r="AH42" s="893"/>
      <c r="AI42" s="893"/>
      <c r="AJ42" s="893"/>
      <c r="AK42" s="893"/>
      <c r="AL42" s="893"/>
      <c r="AM42" s="893"/>
      <c r="AN42" s="893"/>
      <c r="AO42" s="893"/>
      <c r="AP42" s="893"/>
      <c r="AQ42" s="893"/>
      <c r="AR42" s="893"/>
    </row>
    <row r="43" spans="1:44" x14ac:dyDescent="0.25">
      <c r="A43" s="893"/>
      <c r="B43" s="893"/>
      <c r="C43" s="893"/>
      <c r="D43" s="893"/>
      <c r="E43" s="893"/>
      <c r="F43" s="893"/>
      <c r="G43" s="893"/>
      <c r="H43" s="893"/>
      <c r="I43" s="893"/>
      <c r="J43" s="893"/>
      <c r="K43" s="893"/>
      <c r="L43" s="893"/>
      <c r="M43" s="893"/>
      <c r="N43" s="893"/>
      <c r="O43" s="893"/>
      <c r="P43" s="893"/>
      <c r="Q43" s="893"/>
      <c r="R43" s="893"/>
      <c r="S43" s="893"/>
      <c r="T43" s="893"/>
      <c r="U43" s="893"/>
      <c r="V43" s="893"/>
      <c r="W43" s="893"/>
      <c r="X43" s="893"/>
      <c r="Y43" s="893"/>
      <c r="Z43" s="893"/>
      <c r="AA43" s="893"/>
      <c r="AB43" s="893"/>
      <c r="AC43" s="893"/>
      <c r="AD43" s="893"/>
      <c r="AE43" s="893"/>
      <c r="AF43" s="893"/>
      <c r="AG43" s="893"/>
      <c r="AH43" s="893"/>
      <c r="AI43" s="893"/>
      <c r="AJ43" s="893"/>
      <c r="AK43" s="893"/>
      <c r="AL43" s="893"/>
      <c r="AM43" s="893"/>
      <c r="AN43" s="893"/>
      <c r="AO43" s="893"/>
      <c r="AP43" s="893"/>
      <c r="AQ43" s="893"/>
      <c r="AR43" s="893"/>
    </row>
    <row r="44" spans="1:44" x14ac:dyDescent="0.25">
      <c r="A44" s="893"/>
      <c r="B44" s="893"/>
      <c r="C44" s="893"/>
      <c r="D44" s="893"/>
      <c r="E44" s="893"/>
      <c r="F44" s="893"/>
      <c r="G44" s="893"/>
      <c r="H44" s="893"/>
      <c r="I44" s="893"/>
      <c r="J44" s="893"/>
      <c r="K44" s="893"/>
      <c r="L44" s="893"/>
      <c r="M44" s="893"/>
      <c r="N44" s="893"/>
      <c r="O44" s="893"/>
      <c r="P44" s="893"/>
      <c r="Q44" s="893"/>
      <c r="R44" s="893"/>
      <c r="S44" s="893"/>
      <c r="T44" s="893"/>
      <c r="U44" s="893"/>
      <c r="V44" s="893"/>
      <c r="W44" s="893"/>
      <c r="X44" s="893"/>
      <c r="Y44" s="893"/>
      <c r="Z44" s="893"/>
      <c r="AA44" s="893"/>
      <c r="AB44" s="893"/>
      <c r="AC44" s="893"/>
      <c r="AD44" s="893"/>
      <c r="AE44" s="893"/>
      <c r="AF44" s="893"/>
      <c r="AG44" s="893"/>
      <c r="AH44" s="893"/>
      <c r="AI44" s="893"/>
      <c r="AJ44" s="893"/>
      <c r="AK44" s="893"/>
      <c r="AL44" s="893"/>
      <c r="AM44" s="893"/>
      <c r="AN44" s="893"/>
      <c r="AO44" s="893"/>
      <c r="AP44" s="893"/>
      <c r="AQ44" s="893"/>
      <c r="AR44" s="893"/>
    </row>
    <row r="45" spans="1:44" x14ac:dyDescent="0.25">
      <c r="A45" s="893"/>
      <c r="B45" s="893"/>
      <c r="C45" s="893"/>
      <c r="D45" s="893"/>
      <c r="E45" s="893"/>
      <c r="F45" s="893"/>
      <c r="G45" s="893"/>
      <c r="H45" s="893"/>
      <c r="I45" s="893"/>
      <c r="J45" s="893"/>
      <c r="K45" s="893"/>
      <c r="L45" s="893"/>
      <c r="M45" s="893"/>
      <c r="N45" s="893"/>
      <c r="O45" s="893"/>
      <c r="P45" s="893"/>
      <c r="Q45" s="893"/>
      <c r="R45" s="893"/>
      <c r="S45" s="893"/>
      <c r="T45" s="893"/>
      <c r="U45" s="893"/>
      <c r="V45" s="893"/>
      <c r="W45" s="893"/>
      <c r="X45" s="893"/>
      <c r="Y45" s="893"/>
      <c r="Z45" s="893"/>
      <c r="AA45" s="893"/>
      <c r="AB45" s="893"/>
      <c r="AC45" s="893"/>
      <c r="AD45" s="893"/>
      <c r="AE45" s="893"/>
      <c r="AF45" s="893"/>
      <c r="AG45" s="893"/>
      <c r="AH45" s="893"/>
      <c r="AI45" s="893"/>
      <c r="AJ45" s="893"/>
      <c r="AK45" s="893"/>
      <c r="AL45" s="893"/>
      <c r="AM45" s="893"/>
      <c r="AN45" s="893"/>
      <c r="AO45" s="893"/>
      <c r="AP45" s="893"/>
      <c r="AQ45" s="893"/>
      <c r="AR45" s="893"/>
    </row>
    <row r="46" spans="1:44" x14ac:dyDescent="0.25">
      <c r="A46" s="893"/>
      <c r="B46" s="893"/>
      <c r="C46" s="893"/>
      <c r="D46" s="893"/>
      <c r="E46" s="893"/>
      <c r="F46" s="893"/>
      <c r="G46" s="893"/>
      <c r="H46" s="893"/>
      <c r="I46" s="893"/>
      <c r="J46" s="893"/>
      <c r="K46" s="893"/>
      <c r="L46" s="893"/>
      <c r="M46" s="893"/>
      <c r="N46" s="893"/>
      <c r="O46" s="893"/>
      <c r="P46" s="893"/>
      <c r="Q46" s="893"/>
      <c r="R46" s="893"/>
      <c r="S46" s="893"/>
      <c r="T46" s="893"/>
      <c r="U46" s="893"/>
      <c r="V46" s="893"/>
      <c r="W46" s="893"/>
      <c r="X46" s="893"/>
      <c r="Y46" s="893"/>
      <c r="Z46" s="893"/>
      <c r="AA46" s="893"/>
      <c r="AB46" s="893"/>
      <c r="AC46" s="893"/>
      <c r="AD46" s="893"/>
      <c r="AE46" s="893"/>
      <c r="AF46" s="893"/>
      <c r="AG46" s="893"/>
      <c r="AH46" s="893"/>
      <c r="AI46" s="893"/>
      <c r="AJ46" s="893"/>
      <c r="AK46" s="893"/>
      <c r="AL46" s="893"/>
      <c r="AM46" s="893"/>
      <c r="AN46" s="893"/>
      <c r="AO46" s="893"/>
      <c r="AP46" s="893"/>
      <c r="AQ46" s="893"/>
      <c r="AR46" s="893"/>
    </row>
    <row r="47" spans="1:44" x14ac:dyDescent="0.25">
      <c r="A47" s="893"/>
      <c r="B47" s="893"/>
      <c r="C47" s="893"/>
      <c r="D47" s="893"/>
      <c r="E47" s="893"/>
      <c r="F47" s="893"/>
      <c r="G47" s="893"/>
      <c r="H47" s="893"/>
      <c r="I47" s="893"/>
      <c r="J47" s="893"/>
      <c r="K47" s="893"/>
      <c r="L47" s="893"/>
      <c r="M47" s="893"/>
      <c r="N47" s="893"/>
      <c r="O47" s="893"/>
      <c r="P47" s="893"/>
      <c r="Q47" s="893"/>
      <c r="R47" s="893"/>
      <c r="S47" s="893"/>
      <c r="T47" s="893"/>
      <c r="U47" s="893"/>
      <c r="V47" s="893"/>
      <c r="W47" s="893"/>
      <c r="X47" s="893"/>
      <c r="Y47" s="893"/>
      <c r="Z47" s="893"/>
      <c r="AA47" s="893"/>
      <c r="AB47" s="893"/>
      <c r="AC47" s="893"/>
      <c r="AD47" s="893"/>
      <c r="AE47" s="893"/>
      <c r="AF47" s="893"/>
      <c r="AG47" s="893"/>
      <c r="AH47" s="893"/>
      <c r="AI47" s="893"/>
      <c r="AJ47" s="893"/>
      <c r="AK47" s="893"/>
      <c r="AL47" s="893"/>
      <c r="AM47" s="893"/>
      <c r="AN47" s="893"/>
      <c r="AO47" s="893"/>
      <c r="AP47" s="893"/>
      <c r="AQ47" s="893"/>
      <c r="AR47" s="893"/>
    </row>
    <row r="48" spans="1:44" x14ac:dyDescent="0.25">
      <c r="A48" s="893"/>
      <c r="B48" s="893"/>
      <c r="C48" s="893"/>
      <c r="D48" s="893"/>
      <c r="E48" s="893"/>
      <c r="F48" s="893"/>
      <c r="G48" s="893"/>
      <c r="H48" s="893"/>
      <c r="I48" s="893"/>
      <c r="J48" s="893"/>
      <c r="K48" s="893"/>
      <c r="L48" s="893"/>
      <c r="M48" s="893"/>
      <c r="N48" s="893"/>
      <c r="O48" s="893"/>
      <c r="P48" s="893"/>
      <c r="Q48" s="893"/>
      <c r="R48" s="893"/>
      <c r="S48" s="893"/>
      <c r="T48" s="893"/>
      <c r="U48" s="893"/>
      <c r="V48" s="893"/>
      <c r="W48" s="893"/>
      <c r="X48" s="893"/>
      <c r="Y48" s="893"/>
      <c r="Z48" s="893"/>
      <c r="AA48" s="893"/>
      <c r="AB48" s="893"/>
      <c r="AC48" s="893"/>
      <c r="AD48" s="893"/>
      <c r="AE48" s="893"/>
      <c r="AF48" s="893"/>
      <c r="AG48" s="893"/>
      <c r="AH48" s="893"/>
      <c r="AI48" s="893"/>
      <c r="AJ48" s="893"/>
      <c r="AK48" s="893"/>
      <c r="AL48" s="893"/>
      <c r="AM48" s="893"/>
      <c r="AN48" s="893"/>
      <c r="AO48" s="893"/>
      <c r="AP48" s="893"/>
      <c r="AQ48" s="893"/>
      <c r="AR48" s="893"/>
    </row>
    <row r="49" spans="1:44" x14ac:dyDescent="0.25">
      <c r="A49" s="893"/>
      <c r="B49" s="893"/>
      <c r="C49" s="893"/>
      <c r="D49" s="893"/>
      <c r="E49" s="893"/>
      <c r="F49" s="893"/>
      <c r="G49" s="893"/>
      <c r="H49" s="893"/>
      <c r="I49" s="893"/>
      <c r="J49" s="893"/>
      <c r="K49" s="893"/>
      <c r="L49" s="893"/>
      <c r="M49" s="893"/>
      <c r="N49" s="893"/>
      <c r="O49" s="893"/>
      <c r="P49" s="893"/>
      <c r="Q49" s="893"/>
      <c r="R49" s="893"/>
      <c r="S49" s="893"/>
      <c r="T49" s="893"/>
      <c r="U49" s="893"/>
      <c r="V49" s="893"/>
      <c r="W49" s="893"/>
      <c r="X49" s="893"/>
      <c r="Y49" s="893"/>
      <c r="Z49" s="893"/>
      <c r="AA49" s="893"/>
      <c r="AB49" s="893"/>
      <c r="AC49" s="893"/>
      <c r="AD49" s="893"/>
      <c r="AE49" s="893"/>
      <c r="AF49" s="893"/>
      <c r="AG49" s="893"/>
      <c r="AH49" s="893"/>
      <c r="AI49" s="893"/>
      <c r="AJ49" s="893"/>
      <c r="AK49" s="893"/>
      <c r="AL49" s="893"/>
      <c r="AM49" s="893"/>
      <c r="AN49" s="893"/>
      <c r="AO49" s="893"/>
      <c r="AP49" s="893"/>
      <c r="AQ49" s="893"/>
      <c r="AR49" s="893"/>
    </row>
    <row r="50" spans="1:44" x14ac:dyDescent="0.25">
      <c r="A50" s="893"/>
      <c r="B50" s="893"/>
      <c r="C50" s="893"/>
      <c r="D50" s="893"/>
      <c r="E50" s="893"/>
      <c r="F50" s="893"/>
      <c r="G50" s="893"/>
      <c r="H50" s="893"/>
      <c r="I50" s="893"/>
      <c r="J50" s="893"/>
      <c r="K50" s="893"/>
      <c r="L50" s="893"/>
      <c r="M50" s="893"/>
      <c r="N50" s="893"/>
      <c r="O50" s="893"/>
      <c r="P50" s="893"/>
      <c r="Q50" s="893"/>
      <c r="R50" s="893"/>
      <c r="S50" s="893"/>
      <c r="T50" s="893"/>
      <c r="U50" s="893"/>
      <c r="V50" s="893"/>
      <c r="W50" s="893"/>
      <c r="X50" s="893"/>
      <c r="Y50" s="893"/>
      <c r="Z50" s="893"/>
      <c r="AA50" s="893"/>
      <c r="AB50" s="893"/>
      <c r="AC50" s="893"/>
      <c r="AD50" s="893"/>
      <c r="AE50" s="893"/>
      <c r="AF50" s="893"/>
      <c r="AG50" s="893"/>
      <c r="AH50" s="893"/>
      <c r="AI50" s="893"/>
      <c r="AJ50" s="893"/>
      <c r="AK50" s="893"/>
      <c r="AL50" s="893"/>
      <c r="AM50" s="893"/>
      <c r="AN50" s="893"/>
      <c r="AO50" s="893"/>
      <c r="AP50" s="893"/>
      <c r="AQ50" s="893"/>
      <c r="AR50" s="893"/>
    </row>
    <row r="51" spans="1:44" x14ac:dyDescent="0.25">
      <c r="A51" s="893"/>
      <c r="B51" s="893"/>
      <c r="C51" s="893"/>
      <c r="D51" s="893"/>
      <c r="E51" s="893"/>
      <c r="F51" s="893"/>
      <c r="G51" s="893"/>
      <c r="H51" s="893"/>
      <c r="I51" s="893"/>
      <c r="J51" s="893"/>
      <c r="K51" s="893"/>
      <c r="L51" s="893"/>
      <c r="M51" s="893"/>
      <c r="N51" s="893"/>
      <c r="O51" s="893"/>
      <c r="P51" s="893"/>
      <c r="Q51" s="893"/>
      <c r="R51" s="893"/>
      <c r="S51" s="893"/>
      <c r="T51" s="893"/>
      <c r="U51" s="893"/>
      <c r="V51" s="893"/>
      <c r="W51" s="893"/>
      <c r="X51" s="893"/>
      <c r="Y51" s="893"/>
      <c r="Z51" s="893"/>
      <c r="AA51" s="893"/>
      <c r="AB51" s="893"/>
      <c r="AC51" s="893"/>
      <c r="AD51" s="893"/>
      <c r="AE51" s="893"/>
      <c r="AF51" s="893"/>
      <c r="AG51" s="893"/>
      <c r="AH51" s="893"/>
      <c r="AI51" s="893"/>
      <c r="AJ51" s="893"/>
      <c r="AK51" s="893"/>
      <c r="AL51" s="893"/>
      <c r="AM51" s="893"/>
      <c r="AN51" s="893"/>
      <c r="AO51" s="893"/>
      <c r="AP51" s="893"/>
      <c r="AQ51" s="893"/>
      <c r="AR51" s="893"/>
    </row>
    <row r="52" spans="1:44" x14ac:dyDescent="0.25">
      <c r="A52" s="893"/>
      <c r="B52" s="893"/>
      <c r="C52" s="893"/>
      <c r="D52" s="893"/>
      <c r="E52" s="893"/>
      <c r="F52" s="893"/>
      <c r="G52" s="893"/>
      <c r="H52" s="893"/>
      <c r="I52" s="893"/>
      <c r="J52" s="893"/>
      <c r="K52" s="893"/>
      <c r="L52" s="893"/>
      <c r="M52" s="893"/>
      <c r="N52" s="893"/>
      <c r="O52" s="893"/>
      <c r="P52" s="893"/>
      <c r="Q52" s="893"/>
      <c r="R52" s="893"/>
      <c r="S52" s="893"/>
      <c r="T52" s="893"/>
      <c r="U52" s="893"/>
      <c r="V52" s="893"/>
      <c r="W52" s="893"/>
      <c r="X52" s="893"/>
      <c r="Y52" s="893"/>
      <c r="Z52" s="893"/>
      <c r="AA52" s="893"/>
      <c r="AB52" s="893"/>
      <c r="AC52" s="893"/>
      <c r="AD52" s="893"/>
      <c r="AE52" s="893"/>
      <c r="AF52" s="893"/>
      <c r="AG52" s="893"/>
      <c r="AH52" s="893"/>
      <c r="AI52" s="893"/>
      <c r="AJ52" s="893"/>
      <c r="AK52" s="893"/>
      <c r="AL52" s="893"/>
      <c r="AM52" s="893"/>
      <c r="AN52" s="893"/>
      <c r="AO52" s="893"/>
      <c r="AP52" s="893"/>
      <c r="AQ52" s="893"/>
      <c r="AR52" s="893"/>
    </row>
    <row r="53" spans="1:44" x14ac:dyDescent="0.25">
      <c r="A53" s="893"/>
      <c r="B53" s="893"/>
      <c r="C53" s="893"/>
      <c r="D53" s="893"/>
      <c r="E53" s="893"/>
      <c r="F53" s="893"/>
      <c r="G53" s="893"/>
      <c r="H53" s="893"/>
      <c r="I53" s="893"/>
      <c r="J53" s="893"/>
      <c r="K53" s="893"/>
      <c r="L53" s="893"/>
      <c r="M53" s="893"/>
      <c r="N53" s="893"/>
      <c r="O53" s="893"/>
      <c r="P53" s="893"/>
      <c r="Q53" s="893"/>
      <c r="R53" s="893"/>
      <c r="S53" s="893"/>
      <c r="T53" s="893"/>
      <c r="U53" s="893"/>
      <c r="V53" s="893"/>
      <c r="W53" s="893"/>
      <c r="X53" s="893"/>
      <c r="Y53" s="893"/>
      <c r="Z53" s="893"/>
      <c r="AA53" s="893"/>
      <c r="AB53" s="893"/>
      <c r="AC53" s="893"/>
      <c r="AD53" s="893"/>
      <c r="AE53" s="893"/>
      <c r="AF53" s="893"/>
      <c r="AG53" s="893"/>
      <c r="AH53" s="893"/>
      <c r="AI53" s="893"/>
      <c r="AJ53" s="893"/>
      <c r="AK53" s="893"/>
      <c r="AL53" s="893"/>
      <c r="AM53" s="893"/>
      <c r="AN53" s="893"/>
      <c r="AO53" s="893"/>
      <c r="AP53" s="893"/>
      <c r="AQ53" s="893"/>
      <c r="AR53" s="893"/>
    </row>
    <row r="54" spans="1:44" x14ac:dyDescent="0.25">
      <c r="A54" s="893"/>
      <c r="B54" s="893"/>
      <c r="C54" s="893"/>
      <c r="D54" s="893"/>
      <c r="E54" s="893"/>
      <c r="F54" s="893"/>
      <c r="G54" s="893"/>
      <c r="H54" s="893"/>
      <c r="I54" s="893"/>
      <c r="J54" s="893"/>
      <c r="K54" s="893"/>
      <c r="L54" s="893"/>
      <c r="M54" s="893"/>
      <c r="N54" s="893"/>
      <c r="O54" s="893"/>
      <c r="P54" s="893"/>
      <c r="Q54" s="893"/>
      <c r="R54" s="893"/>
      <c r="S54" s="893"/>
      <c r="T54" s="893"/>
      <c r="U54" s="893"/>
      <c r="V54" s="893"/>
      <c r="W54" s="893"/>
      <c r="X54" s="893"/>
      <c r="Y54" s="893"/>
      <c r="Z54" s="893"/>
      <c r="AA54" s="893"/>
      <c r="AB54" s="893"/>
      <c r="AC54" s="893"/>
      <c r="AD54" s="893"/>
      <c r="AE54" s="893"/>
      <c r="AF54" s="893"/>
      <c r="AG54" s="893"/>
      <c r="AH54" s="893"/>
      <c r="AI54" s="893"/>
      <c r="AJ54" s="893"/>
      <c r="AK54" s="893"/>
      <c r="AL54" s="893"/>
      <c r="AM54" s="893"/>
      <c r="AN54" s="893"/>
      <c r="AO54" s="893"/>
      <c r="AP54" s="893"/>
      <c r="AQ54" s="893"/>
      <c r="AR54" s="893"/>
    </row>
    <row r="55" spans="1:44" x14ac:dyDescent="0.25">
      <c r="A55" s="893"/>
      <c r="B55" s="893"/>
      <c r="C55" s="893"/>
      <c r="D55" s="893"/>
      <c r="E55" s="893"/>
      <c r="F55" s="893"/>
      <c r="G55" s="893"/>
      <c r="H55" s="893"/>
      <c r="I55" s="893"/>
      <c r="J55" s="893"/>
      <c r="K55" s="893"/>
      <c r="L55" s="893"/>
      <c r="M55" s="893"/>
      <c r="N55" s="893"/>
      <c r="O55" s="893"/>
      <c r="P55" s="893"/>
      <c r="Q55" s="893"/>
      <c r="R55" s="893"/>
      <c r="S55" s="893"/>
      <c r="T55" s="893"/>
      <c r="U55" s="893"/>
      <c r="V55" s="893"/>
      <c r="W55" s="893"/>
      <c r="X55" s="893"/>
      <c r="Y55" s="893"/>
      <c r="Z55" s="893"/>
      <c r="AA55" s="893"/>
      <c r="AB55" s="893"/>
      <c r="AC55" s="893"/>
      <c r="AD55" s="893"/>
      <c r="AE55" s="893"/>
      <c r="AF55" s="893"/>
      <c r="AG55" s="893"/>
      <c r="AH55" s="893"/>
      <c r="AI55" s="893"/>
      <c r="AJ55" s="893"/>
      <c r="AK55" s="893"/>
      <c r="AL55" s="893"/>
      <c r="AM55" s="893"/>
      <c r="AN55" s="893"/>
      <c r="AO55" s="893"/>
      <c r="AP55" s="893"/>
      <c r="AQ55" s="893"/>
      <c r="AR55" s="893"/>
    </row>
    <row r="56" spans="1:44" x14ac:dyDescent="0.25">
      <c r="A56" s="893"/>
      <c r="B56" s="893"/>
      <c r="C56" s="893"/>
      <c r="D56" s="893"/>
      <c r="E56" s="893"/>
      <c r="F56" s="893"/>
      <c r="G56" s="893"/>
      <c r="H56" s="893"/>
      <c r="I56" s="893"/>
      <c r="J56" s="893"/>
      <c r="K56" s="893"/>
      <c r="L56" s="893"/>
      <c r="M56" s="893"/>
      <c r="N56" s="893"/>
      <c r="O56" s="893"/>
      <c r="P56" s="893"/>
      <c r="Q56" s="893"/>
      <c r="R56" s="893"/>
      <c r="S56" s="893"/>
      <c r="T56" s="893"/>
      <c r="U56" s="893"/>
      <c r="V56" s="893"/>
      <c r="W56" s="893"/>
      <c r="X56" s="893"/>
      <c r="Y56" s="893"/>
      <c r="Z56" s="893"/>
      <c r="AA56" s="893"/>
      <c r="AB56" s="893"/>
      <c r="AC56" s="893"/>
      <c r="AD56" s="893"/>
      <c r="AE56" s="893"/>
      <c r="AF56" s="893"/>
      <c r="AG56" s="893"/>
      <c r="AH56" s="893"/>
      <c r="AI56" s="893"/>
      <c r="AJ56" s="893"/>
      <c r="AK56" s="893"/>
      <c r="AL56" s="893"/>
      <c r="AM56" s="893"/>
      <c r="AN56" s="893"/>
      <c r="AO56" s="893"/>
      <c r="AP56" s="893"/>
      <c r="AQ56" s="893"/>
      <c r="AR56" s="893"/>
    </row>
    <row r="57" spans="1:44" x14ac:dyDescent="0.25">
      <c r="A57" s="893"/>
      <c r="B57" s="893"/>
      <c r="C57" s="893"/>
      <c r="D57" s="893"/>
      <c r="E57" s="893"/>
      <c r="F57" s="893"/>
      <c r="G57" s="893"/>
      <c r="H57" s="893"/>
      <c r="I57" s="893"/>
      <c r="J57" s="893"/>
      <c r="K57" s="893"/>
      <c r="L57" s="893"/>
      <c r="M57" s="893"/>
      <c r="N57" s="893"/>
      <c r="O57" s="893"/>
      <c r="P57" s="893"/>
      <c r="Q57" s="893"/>
      <c r="R57" s="893"/>
      <c r="S57" s="893"/>
      <c r="T57" s="893"/>
      <c r="U57" s="893"/>
      <c r="V57" s="893"/>
      <c r="W57" s="893"/>
      <c r="X57" s="893"/>
      <c r="Y57" s="893"/>
      <c r="Z57" s="893"/>
      <c r="AA57" s="893"/>
      <c r="AB57" s="893"/>
      <c r="AC57" s="893"/>
      <c r="AD57" s="893"/>
      <c r="AE57" s="893"/>
      <c r="AF57" s="893"/>
      <c r="AG57" s="893"/>
      <c r="AH57" s="893"/>
      <c r="AI57" s="893"/>
      <c r="AJ57" s="893"/>
      <c r="AK57" s="893"/>
      <c r="AL57" s="893"/>
      <c r="AM57" s="893"/>
      <c r="AN57" s="893"/>
      <c r="AO57" s="893"/>
      <c r="AP57" s="893"/>
      <c r="AQ57" s="893"/>
      <c r="AR57" s="893"/>
    </row>
    <row r="58" spans="1:44" x14ac:dyDescent="0.25">
      <c r="A58" s="893"/>
      <c r="B58" s="893"/>
      <c r="C58" s="893"/>
      <c r="D58" s="893"/>
      <c r="E58" s="893"/>
      <c r="F58" s="893"/>
      <c r="G58" s="893"/>
      <c r="H58" s="893"/>
      <c r="I58" s="893"/>
      <c r="J58" s="893"/>
      <c r="K58" s="893"/>
      <c r="L58" s="893"/>
      <c r="M58" s="893"/>
      <c r="N58" s="893"/>
      <c r="O58" s="893"/>
      <c r="P58" s="893"/>
      <c r="Q58" s="893"/>
      <c r="R58" s="893"/>
      <c r="S58" s="893"/>
      <c r="T58" s="893"/>
      <c r="U58" s="893"/>
      <c r="V58" s="893"/>
      <c r="W58" s="893"/>
      <c r="X58" s="893"/>
      <c r="Y58" s="893"/>
      <c r="Z58" s="893"/>
      <c r="AA58" s="893"/>
      <c r="AB58" s="893"/>
      <c r="AC58" s="893"/>
      <c r="AD58" s="893"/>
      <c r="AE58" s="893"/>
      <c r="AF58" s="893"/>
      <c r="AG58" s="893"/>
      <c r="AH58" s="893"/>
      <c r="AI58" s="893"/>
      <c r="AJ58" s="893"/>
      <c r="AK58" s="893"/>
      <c r="AL58" s="893"/>
      <c r="AM58" s="893"/>
      <c r="AN58" s="893"/>
      <c r="AO58" s="893"/>
      <c r="AP58" s="893"/>
      <c r="AQ58" s="893"/>
      <c r="AR58" s="893"/>
    </row>
    <row r="59" spans="1:44" x14ac:dyDescent="0.25">
      <c r="A59" s="893"/>
      <c r="B59" s="893"/>
      <c r="C59" s="893"/>
      <c r="D59" s="893"/>
      <c r="E59" s="893"/>
      <c r="F59" s="893"/>
      <c r="G59" s="893"/>
      <c r="H59" s="893"/>
      <c r="I59" s="893"/>
      <c r="J59" s="893"/>
      <c r="K59" s="893"/>
      <c r="L59" s="893"/>
      <c r="M59" s="893"/>
      <c r="N59" s="893"/>
      <c r="O59" s="893"/>
      <c r="P59" s="893"/>
      <c r="Q59" s="893"/>
      <c r="R59" s="893"/>
      <c r="S59" s="893"/>
      <c r="T59" s="893"/>
      <c r="U59" s="893"/>
      <c r="V59" s="893"/>
      <c r="W59" s="893"/>
      <c r="X59" s="893"/>
      <c r="Y59" s="893"/>
      <c r="Z59" s="893"/>
      <c r="AA59" s="893"/>
      <c r="AB59" s="893"/>
      <c r="AC59" s="893"/>
      <c r="AD59" s="893"/>
      <c r="AE59" s="893"/>
      <c r="AF59" s="893"/>
      <c r="AG59" s="893"/>
      <c r="AH59" s="893"/>
      <c r="AI59" s="893"/>
      <c r="AJ59" s="893"/>
      <c r="AK59" s="893"/>
      <c r="AL59" s="893"/>
      <c r="AM59" s="893"/>
      <c r="AN59" s="893"/>
      <c r="AO59" s="893"/>
      <c r="AP59" s="893"/>
      <c r="AQ59" s="893"/>
      <c r="AR59" s="893"/>
    </row>
    <row r="60" spans="1:44" x14ac:dyDescent="0.25">
      <c r="A60" s="893"/>
      <c r="B60" s="893"/>
      <c r="C60" s="893"/>
      <c r="D60" s="893"/>
      <c r="E60" s="893"/>
      <c r="F60" s="893"/>
      <c r="G60" s="893"/>
      <c r="H60" s="893"/>
      <c r="I60" s="893"/>
      <c r="J60" s="893"/>
      <c r="K60" s="893"/>
      <c r="L60" s="893"/>
      <c r="M60" s="893"/>
      <c r="N60" s="893"/>
      <c r="O60" s="893"/>
      <c r="P60" s="893"/>
      <c r="Q60" s="893"/>
      <c r="R60" s="893"/>
      <c r="S60" s="893"/>
      <c r="T60" s="893"/>
      <c r="U60" s="893"/>
      <c r="V60" s="893"/>
      <c r="W60" s="893"/>
      <c r="X60" s="893"/>
      <c r="Y60" s="893"/>
      <c r="Z60" s="893"/>
      <c r="AA60" s="893"/>
      <c r="AB60" s="893"/>
      <c r="AC60" s="893"/>
      <c r="AD60" s="893"/>
      <c r="AE60" s="893"/>
      <c r="AF60" s="893"/>
      <c r="AG60" s="893"/>
      <c r="AH60" s="893"/>
      <c r="AI60" s="893"/>
      <c r="AJ60" s="893"/>
      <c r="AK60" s="893"/>
      <c r="AL60" s="893"/>
      <c r="AM60" s="893"/>
      <c r="AN60" s="893"/>
      <c r="AO60" s="893"/>
      <c r="AP60" s="893"/>
      <c r="AQ60" s="893"/>
      <c r="AR60" s="893"/>
    </row>
    <row r="61" spans="1:44" x14ac:dyDescent="0.25">
      <c r="A61" s="893"/>
      <c r="B61" s="893"/>
      <c r="C61" s="893"/>
      <c r="D61" s="893"/>
      <c r="E61" s="893"/>
      <c r="F61" s="893"/>
      <c r="G61" s="893"/>
      <c r="H61" s="893"/>
      <c r="I61" s="893"/>
      <c r="J61" s="893"/>
      <c r="K61" s="893"/>
      <c r="L61" s="893"/>
      <c r="M61" s="893"/>
      <c r="N61" s="893"/>
      <c r="O61" s="893"/>
      <c r="P61" s="893"/>
      <c r="Q61" s="893"/>
      <c r="R61" s="893"/>
      <c r="S61" s="893"/>
      <c r="T61" s="893"/>
      <c r="U61" s="893"/>
      <c r="V61" s="893"/>
      <c r="W61" s="893"/>
      <c r="X61" s="893"/>
      <c r="Y61" s="893"/>
      <c r="Z61" s="893"/>
      <c r="AA61" s="893"/>
      <c r="AB61" s="893"/>
      <c r="AC61" s="893"/>
      <c r="AD61" s="893"/>
      <c r="AE61" s="893"/>
      <c r="AF61" s="893"/>
      <c r="AG61" s="893"/>
      <c r="AH61" s="893"/>
      <c r="AI61" s="893"/>
      <c r="AJ61" s="893"/>
      <c r="AK61" s="893"/>
      <c r="AL61" s="893"/>
      <c r="AM61" s="893"/>
      <c r="AN61" s="893"/>
      <c r="AO61" s="893"/>
      <c r="AP61" s="893"/>
      <c r="AQ61" s="893"/>
      <c r="AR61" s="893"/>
    </row>
    <row r="62" spans="1:44" x14ac:dyDescent="0.25">
      <c r="A62" s="893"/>
      <c r="B62" s="893"/>
      <c r="C62" s="893"/>
      <c r="D62" s="893"/>
      <c r="E62" s="893"/>
      <c r="F62" s="893"/>
      <c r="G62" s="893"/>
      <c r="H62" s="893"/>
      <c r="I62" s="893"/>
      <c r="J62" s="893"/>
      <c r="K62" s="893"/>
      <c r="L62" s="893"/>
      <c r="M62" s="893"/>
      <c r="N62" s="893"/>
      <c r="O62" s="893"/>
      <c r="P62" s="893"/>
      <c r="Q62" s="893"/>
      <c r="R62" s="893"/>
      <c r="S62" s="893"/>
      <c r="T62" s="893"/>
      <c r="U62" s="893"/>
      <c r="V62" s="893"/>
      <c r="W62" s="893"/>
      <c r="X62" s="893"/>
      <c r="Y62" s="893"/>
      <c r="Z62" s="893"/>
      <c r="AA62" s="893"/>
      <c r="AB62" s="893"/>
      <c r="AC62" s="893"/>
      <c r="AD62" s="893"/>
      <c r="AE62" s="893"/>
      <c r="AF62" s="893"/>
      <c r="AG62" s="893"/>
      <c r="AH62" s="893"/>
      <c r="AI62" s="893"/>
      <c r="AJ62" s="893"/>
      <c r="AK62" s="893"/>
      <c r="AL62" s="893"/>
      <c r="AM62" s="893"/>
      <c r="AN62" s="893"/>
      <c r="AO62" s="893"/>
      <c r="AP62" s="893"/>
      <c r="AQ62" s="893"/>
      <c r="AR62" s="893"/>
    </row>
  </sheetData>
  <mergeCells count="5">
    <mergeCell ref="Q26:AR62"/>
    <mergeCell ref="A26:P62"/>
    <mergeCell ref="A1:Y1"/>
    <mergeCell ref="A13:Y13"/>
    <mergeCell ref="A17:Y17"/>
  </mergeCells>
  <printOptions horizontalCentered="1"/>
  <pageMargins left="0.2" right="0.2" top="0.5" bottom="0.75" header="0.3" footer="0.3"/>
  <pageSetup scale="3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22329-2F24-4F05-9088-0830BB1C9CBC}">
  <sheetPr codeName="Sheet1">
    <tabColor theme="2" tint="-9.9978637043366805E-2"/>
  </sheetPr>
  <dimension ref="A1:V59"/>
  <sheetViews>
    <sheetView showGridLines="0" tabSelected="1" topLeftCell="B6" zoomScaleNormal="100" workbookViewId="0">
      <selection activeCell="Q54" sqref="Q54"/>
    </sheetView>
  </sheetViews>
  <sheetFormatPr defaultRowHeight="12.75" x14ac:dyDescent="0.2"/>
  <cols>
    <col min="1" max="1" width="28.140625" style="34" customWidth="1"/>
    <col min="2" max="2" width="3.7109375" style="34" customWidth="1"/>
    <col min="3" max="3" width="12.7109375" style="41" customWidth="1"/>
    <col min="4" max="4" width="4.7109375" style="41" customWidth="1"/>
    <col min="5" max="5" width="12.7109375" style="45" customWidth="1"/>
    <col min="6" max="6" width="4.7109375" style="45" customWidth="1"/>
    <col min="7" max="7" width="12.7109375" style="34" customWidth="1"/>
    <col min="8" max="8" width="4.7109375" style="34" customWidth="1"/>
    <col min="9" max="9" width="12.7109375" style="41" customWidth="1"/>
    <col min="10" max="10" width="4.7109375" style="41" customWidth="1"/>
    <col min="11" max="11" width="12.7109375" style="34" customWidth="1"/>
    <col min="12" max="12" width="3.7109375" style="34" customWidth="1"/>
    <col min="13" max="13" width="1.7109375" style="34" customWidth="1"/>
    <col min="14" max="14" width="3.85546875" style="34" customWidth="1"/>
    <col min="15" max="15" width="12.7109375" style="34" customWidth="1"/>
    <col min="16" max="16" width="3.7109375" style="34" customWidth="1"/>
    <col min="17" max="17" width="12.7109375" style="34" customWidth="1"/>
    <col min="18" max="18" width="4.42578125" style="75" hidden="1" customWidth="1"/>
    <col min="19" max="21" width="2.140625" style="34" hidden="1" customWidth="1"/>
    <col min="22" max="22" width="9.140625" style="34" hidden="1" customWidth="1"/>
    <col min="23" max="257" width="9.140625" style="34"/>
    <col min="258" max="258" width="3.140625" style="34" customWidth="1"/>
    <col min="259" max="259" width="21.5703125" style="34" customWidth="1"/>
    <col min="260" max="260" width="17.85546875" style="34" customWidth="1"/>
    <col min="261" max="261" width="15.7109375" style="34" customWidth="1"/>
    <col min="262" max="262" width="10" style="34" customWidth="1"/>
    <col min="263" max="263" width="11" style="34" customWidth="1"/>
    <col min="264" max="264" width="8.7109375" style="34" customWidth="1"/>
    <col min="265" max="265" width="11.7109375" style="34" customWidth="1"/>
    <col min="266" max="266" width="11.140625" style="34" customWidth="1"/>
    <col min="267" max="267" width="17.140625" style="34" customWidth="1"/>
    <col min="268" max="268" width="40.7109375" style="34" customWidth="1"/>
    <col min="269" max="513" width="9.140625" style="34"/>
    <col min="514" max="514" width="3.140625" style="34" customWidth="1"/>
    <col min="515" max="515" width="21.5703125" style="34" customWidth="1"/>
    <col min="516" max="516" width="17.85546875" style="34" customWidth="1"/>
    <col min="517" max="517" width="15.7109375" style="34" customWidth="1"/>
    <col min="518" max="518" width="10" style="34" customWidth="1"/>
    <col min="519" max="519" width="11" style="34" customWidth="1"/>
    <col min="520" max="520" width="8.7109375" style="34" customWidth="1"/>
    <col min="521" max="521" width="11.7109375" style="34" customWidth="1"/>
    <col min="522" max="522" width="11.140625" style="34" customWidth="1"/>
    <col min="523" max="523" width="17.140625" style="34" customWidth="1"/>
    <col min="524" max="524" width="40.7109375" style="34" customWidth="1"/>
    <col min="525" max="769" width="9.140625" style="34"/>
    <col min="770" max="770" width="3.140625" style="34" customWidth="1"/>
    <col min="771" max="771" width="21.5703125" style="34" customWidth="1"/>
    <col min="772" max="772" width="17.85546875" style="34" customWidth="1"/>
    <col min="773" max="773" width="15.7109375" style="34" customWidth="1"/>
    <col min="774" max="774" width="10" style="34" customWidth="1"/>
    <col min="775" max="775" width="11" style="34" customWidth="1"/>
    <col min="776" max="776" width="8.7109375" style="34" customWidth="1"/>
    <col min="777" max="777" width="11.7109375" style="34" customWidth="1"/>
    <col min="778" max="778" width="11.140625" style="34" customWidth="1"/>
    <col min="779" max="779" width="17.140625" style="34" customWidth="1"/>
    <col min="780" max="780" width="40.7109375" style="34" customWidth="1"/>
    <col min="781" max="1025" width="9.140625" style="34"/>
    <col min="1026" max="1026" width="3.140625" style="34" customWidth="1"/>
    <col min="1027" max="1027" width="21.5703125" style="34" customWidth="1"/>
    <col min="1028" max="1028" width="17.85546875" style="34" customWidth="1"/>
    <col min="1029" max="1029" width="15.7109375" style="34" customWidth="1"/>
    <col min="1030" max="1030" width="10" style="34" customWidth="1"/>
    <col min="1031" max="1031" width="11" style="34" customWidth="1"/>
    <col min="1032" max="1032" width="8.7109375" style="34" customWidth="1"/>
    <col min="1033" max="1033" width="11.7109375" style="34" customWidth="1"/>
    <col min="1034" max="1034" width="11.140625" style="34" customWidth="1"/>
    <col min="1035" max="1035" width="17.140625" style="34" customWidth="1"/>
    <col min="1036" max="1036" width="40.7109375" style="34" customWidth="1"/>
    <col min="1037" max="1281" width="9.140625" style="34"/>
    <col min="1282" max="1282" width="3.140625" style="34" customWidth="1"/>
    <col min="1283" max="1283" width="21.5703125" style="34" customWidth="1"/>
    <col min="1284" max="1284" width="17.85546875" style="34" customWidth="1"/>
    <col min="1285" max="1285" width="15.7109375" style="34" customWidth="1"/>
    <col min="1286" max="1286" width="10" style="34" customWidth="1"/>
    <col min="1287" max="1287" width="11" style="34" customWidth="1"/>
    <col min="1288" max="1288" width="8.7109375" style="34" customWidth="1"/>
    <col min="1289" max="1289" width="11.7109375" style="34" customWidth="1"/>
    <col min="1290" max="1290" width="11.140625" style="34" customWidth="1"/>
    <col min="1291" max="1291" width="17.140625" style="34" customWidth="1"/>
    <col min="1292" max="1292" width="40.7109375" style="34" customWidth="1"/>
    <col min="1293" max="1537" width="9.140625" style="34"/>
    <col min="1538" max="1538" width="3.140625" style="34" customWidth="1"/>
    <col min="1539" max="1539" width="21.5703125" style="34" customWidth="1"/>
    <col min="1540" max="1540" width="17.85546875" style="34" customWidth="1"/>
    <col min="1541" max="1541" width="15.7109375" style="34" customWidth="1"/>
    <col min="1542" max="1542" width="10" style="34" customWidth="1"/>
    <col min="1543" max="1543" width="11" style="34" customWidth="1"/>
    <col min="1544" max="1544" width="8.7109375" style="34" customWidth="1"/>
    <col min="1545" max="1545" width="11.7109375" style="34" customWidth="1"/>
    <col min="1546" max="1546" width="11.140625" style="34" customWidth="1"/>
    <col min="1547" max="1547" width="17.140625" style="34" customWidth="1"/>
    <col min="1548" max="1548" width="40.7109375" style="34" customWidth="1"/>
    <col min="1549" max="1793" width="9.140625" style="34"/>
    <col min="1794" max="1794" width="3.140625" style="34" customWidth="1"/>
    <col min="1795" max="1795" width="21.5703125" style="34" customWidth="1"/>
    <col min="1796" max="1796" width="17.85546875" style="34" customWidth="1"/>
    <col min="1797" max="1797" width="15.7109375" style="34" customWidth="1"/>
    <col min="1798" max="1798" width="10" style="34" customWidth="1"/>
    <col min="1799" max="1799" width="11" style="34" customWidth="1"/>
    <col min="1800" max="1800" width="8.7109375" style="34" customWidth="1"/>
    <col min="1801" max="1801" width="11.7109375" style="34" customWidth="1"/>
    <col min="1802" max="1802" width="11.140625" style="34" customWidth="1"/>
    <col min="1803" max="1803" width="17.140625" style="34" customWidth="1"/>
    <col min="1804" max="1804" width="40.7109375" style="34" customWidth="1"/>
    <col min="1805" max="2049" width="9.140625" style="34"/>
    <col min="2050" max="2050" width="3.140625" style="34" customWidth="1"/>
    <col min="2051" max="2051" width="21.5703125" style="34" customWidth="1"/>
    <col min="2052" max="2052" width="17.85546875" style="34" customWidth="1"/>
    <col min="2053" max="2053" width="15.7109375" style="34" customWidth="1"/>
    <col min="2054" max="2054" width="10" style="34" customWidth="1"/>
    <col min="2055" max="2055" width="11" style="34" customWidth="1"/>
    <col min="2056" max="2056" width="8.7109375" style="34" customWidth="1"/>
    <col min="2057" max="2057" width="11.7109375" style="34" customWidth="1"/>
    <col min="2058" max="2058" width="11.140625" style="34" customWidth="1"/>
    <col min="2059" max="2059" width="17.140625" style="34" customWidth="1"/>
    <col min="2060" max="2060" width="40.7109375" style="34" customWidth="1"/>
    <col min="2061" max="2305" width="9.140625" style="34"/>
    <col min="2306" max="2306" width="3.140625" style="34" customWidth="1"/>
    <col min="2307" max="2307" width="21.5703125" style="34" customWidth="1"/>
    <col min="2308" max="2308" width="17.85546875" style="34" customWidth="1"/>
    <col min="2309" max="2309" width="15.7109375" style="34" customWidth="1"/>
    <col min="2310" max="2310" width="10" style="34" customWidth="1"/>
    <col min="2311" max="2311" width="11" style="34" customWidth="1"/>
    <col min="2312" max="2312" width="8.7109375" style="34" customWidth="1"/>
    <col min="2313" max="2313" width="11.7109375" style="34" customWidth="1"/>
    <col min="2314" max="2314" width="11.140625" style="34" customWidth="1"/>
    <col min="2315" max="2315" width="17.140625" style="34" customWidth="1"/>
    <col min="2316" max="2316" width="40.7109375" style="34" customWidth="1"/>
    <col min="2317" max="2561" width="9.140625" style="34"/>
    <col min="2562" max="2562" width="3.140625" style="34" customWidth="1"/>
    <col min="2563" max="2563" width="21.5703125" style="34" customWidth="1"/>
    <col min="2564" max="2564" width="17.85546875" style="34" customWidth="1"/>
    <col min="2565" max="2565" width="15.7109375" style="34" customWidth="1"/>
    <col min="2566" max="2566" width="10" style="34" customWidth="1"/>
    <col min="2567" max="2567" width="11" style="34" customWidth="1"/>
    <col min="2568" max="2568" width="8.7109375" style="34" customWidth="1"/>
    <col min="2569" max="2569" width="11.7109375" style="34" customWidth="1"/>
    <col min="2570" max="2570" width="11.140625" style="34" customWidth="1"/>
    <col min="2571" max="2571" width="17.140625" style="34" customWidth="1"/>
    <col min="2572" max="2572" width="40.7109375" style="34" customWidth="1"/>
    <col min="2573" max="2817" width="9.140625" style="34"/>
    <col min="2818" max="2818" width="3.140625" style="34" customWidth="1"/>
    <col min="2819" max="2819" width="21.5703125" style="34" customWidth="1"/>
    <col min="2820" max="2820" width="17.85546875" style="34" customWidth="1"/>
    <col min="2821" max="2821" width="15.7109375" style="34" customWidth="1"/>
    <col min="2822" max="2822" width="10" style="34" customWidth="1"/>
    <col min="2823" max="2823" width="11" style="34" customWidth="1"/>
    <col min="2824" max="2824" width="8.7109375" style="34" customWidth="1"/>
    <col min="2825" max="2825" width="11.7109375" style="34" customWidth="1"/>
    <col min="2826" max="2826" width="11.140625" style="34" customWidth="1"/>
    <col min="2827" max="2827" width="17.140625" style="34" customWidth="1"/>
    <col min="2828" max="2828" width="40.7109375" style="34" customWidth="1"/>
    <col min="2829" max="3073" width="9.140625" style="34"/>
    <col min="3074" max="3074" width="3.140625" style="34" customWidth="1"/>
    <col min="3075" max="3075" width="21.5703125" style="34" customWidth="1"/>
    <col min="3076" max="3076" width="17.85546875" style="34" customWidth="1"/>
    <col min="3077" max="3077" width="15.7109375" style="34" customWidth="1"/>
    <col min="3078" max="3078" width="10" style="34" customWidth="1"/>
    <col min="3079" max="3079" width="11" style="34" customWidth="1"/>
    <col min="3080" max="3080" width="8.7109375" style="34" customWidth="1"/>
    <col min="3081" max="3081" width="11.7109375" style="34" customWidth="1"/>
    <col min="3082" max="3082" width="11.140625" style="34" customWidth="1"/>
    <col min="3083" max="3083" width="17.140625" style="34" customWidth="1"/>
    <col min="3084" max="3084" width="40.7109375" style="34" customWidth="1"/>
    <col min="3085" max="3329" width="9.140625" style="34"/>
    <col min="3330" max="3330" width="3.140625" style="34" customWidth="1"/>
    <col min="3331" max="3331" width="21.5703125" style="34" customWidth="1"/>
    <col min="3332" max="3332" width="17.85546875" style="34" customWidth="1"/>
    <col min="3333" max="3333" width="15.7109375" style="34" customWidth="1"/>
    <col min="3334" max="3334" width="10" style="34" customWidth="1"/>
    <col min="3335" max="3335" width="11" style="34" customWidth="1"/>
    <col min="3336" max="3336" width="8.7109375" style="34" customWidth="1"/>
    <col min="3337" max="3337" width="11.7109375" style="34" customWidth="1"/>
    <col min="3338" max="3338" width="11.140625" style="34" customWidth="1"/>
    <col min="3339" max="3339" width="17.140625" style="34" customWidth="1"/>
    <col min="3340" max="3340" width="40.7109375" style="34" customWidth="1"/>
    <col min="3341" max="3585" width="9.140625" style="34"/>
    <col min="3586" max="3586" width="3.140625" style="34" customWidth="1"/>
    <col min="3587" max="3587" width="21.5703125" style="34" customWidth="1"/>
    <col min="3588" max="3588" width="17.85546875" style="34" customWidth="1"/>
    <col min="3589" max="3589" width="15.7109375" style="34" customWidth="1"/>
    <col min="3590" max="3590" width="10" style="34" customWidth="1"/>
    <col min="3591" max="3591" width="11" style="34" customWidth="1"/>
    <col min="3592" max="3592" width="8.7109375" style="34" customWidth="1"/>
    <col min="3593" max="3593" width="11.7109375" style="34" customWidth="1"/>
    <col min="3594" max="3594" width="11.140625" style="34" customWidth="1"/>
    <col min="3595" max="3595" width="17.140625" style="34" customWidth="1"/>
    <col min="3596" max="3596" width="40.7109375" style="34" customWidth="1"/>
    <col min="3597" max="3841" width="9.140625" style="34"/>
    <col min="3842" max="3842" width="3.140625" style="34" customWidth="1"/>
    <col min="3843" max="3843" width="21.5703125" style="34" customWidth="1"/>
    <col min="3844" max="3844" width="17.85546875" style="34" customWidth="1"/>
    <col min="3845" max="3845" width="15.7109375" style="34" customWidth="1"/>
    <col min="3846" max="3846" width="10" style="34" customWidth="1"/>
    <col min="3847" max="3847" width="11" style="34" customWidth="1"/>
    <col min="3848" max="3848" width="8.7109375" style="34" customWidth="1"/>
    <col min="3849" max="3849" width="11.7109375" style="34" customWidth="1"/>
    <col min="3850" max="3850" width="11.140625" style="34" customWidth="1"/>
    <col min="3851" max="3851" width="17.140625" style="34" customWidth="1"/>
    <col min="3852" max="3852" width="40.7109375" style="34" customWidth="1"/>
    <col min="3853" max="4097" width="9.140625" style="34"/>
    <col min="4098" max="4098" width="3.140625" style="34" customWidth="1"/>
    <col min="4099" max="4099" width="21.5703125" style="34" customWidth="1"/>
    <col min="4100" max="4100" width="17.85546875" style="34" customWidth="1"/>
    <col min="4101" max="4101" width="15.7109375" style="34" customWidth="1"/>
    <col min="4102" max="4102" width="10" style="34" customWidth="1"/>
    <col min="4103" max="4103" width="11" style="34" customWidth="1"/>
    <col min="4104" max="4104" width="8.7109375" style="34" customWidth="1"/>
    <col min="4105" max="4105" width="11.7109375" style="34" customWidth="1"/>
    <col min="4106" max="4106" width="11.140625" style="34" customWidth="1"/>
    <col min="4107" max="4107" width="17.140625" style="34" customWidth="1"/>
    <col min="4108" max="4108" width="40.7109375" style="34" customWidth="1"/>
    <col min="4109" max="4353" width="9.140625" style="34"/>
    <col min="4354" max="4354" width="3.140625" style="34" customWidth="1"/>
    <col min="4355" max="4355" width="21.5703125" style="34" customWidth="1"/>
    <col min="4356" max="4356" width="17.85546875" style="34" customWidth="1"/>
    <col min="4357" max="4357" width="15.7109375" style="34" customWidth="1"/>
    <col min="4358" max="4358" width="10" style="34" customWidth="1"/>
    <col min="4359" max="4359" width="11" style="34" customWidth="1"/>
    <col min="4360" max="4360" width="8.7109375" style="34" customWidth="1"/>
    <col min="4361" max="4361" width="11.7109375" style="34" customWidth="1"/>
    <col min="4362" max="4362" width="11.140625" style="34" customWidth="1"/>
    <col min="4363" max="4363" width="17.140625" style="34" customWidth="1"/>
    <col min="4364" max="4364" width="40.7109375" style="34" customWidth="1"/>
    <col min="4365" max="4609" width="9.140625" style="34"/>
    <col min="4610" max="4610" width="3.140625" style="34" customWidth="1"/>
    <col min="4611" max="4611" width="21.5703125" style="34" customWidth="1"/>
    <col min="4612" max="4612" width="17.85546875" style="34" customWidth="1"/>
    <col min="4613" max="4613" width="15.7109375" style="34" customWidth="1"/>
    <col min="4614" max="4614" width="10" style="34" customWidth="1"/>
    <col min="4615" max="4615" width="11" style="34" customWidth="1"/>
    <col min="4616" max="4616" width="8.7109375" style="34" customWidth="1"/>
    <col min="4617" max="4617" width="11.7109375" style="34" customWidth="1"/>
    <col min="4618" max="4618" width="11.140625" style="34" customWidth="1"/>
    <col min="4619" max="4619" width="17.140625" style="34" customWidth="1"/>
    <col min="4620" max="4620" width="40.7109375" style="34" customWidth="1"/>
    <col min="4621" max="4865" width="9.140625" style="34"/>
    <col min="4866" max="4866" width="3.140625" style="34" customWidth="1"/>
    <col min="4867" max="4867" width="21.5703125" style="34" customWidth="1"/>
    <col min="4868" max="4868" width="17.85546875" style="34" customWidth="1"/>
    <col min="4869" max="4869" width="15.7109375" style="34" customWidth="1"/>
    <col min="4870" max="4870" width="10" style="34" customWidth="1"/>
    <col min="4871" max="4871" width="11" style="34" customWidth="1"/>
    <col min="4872" max="4872" width="8.7109375" style="34" customWidth="1"/>
    <col min="4873" max="4873" width="11.7109375" style="34" customWidth="1"/>
    <col min="4874" max="4874" width="11.140625" style="34" customWidth="1"/>
    <col min="4875" max="4875" width="17.140625" style="34" customWidth="1"/>
    <col min="4876" max="4876" width="40.7109375" style="34" customWidth="1"/>
    <col min="4877" max="5121" width="9.140625" style="34"/>
    <col min="5122" max="5122" width="3.140625" style="34" customWidth="1"/>
    <col min="5123" max="5123" width="21.5703125" style="34" customWidth="1"/>
    <col min="5124" max="5124" width="17.85546875" style="34" customWidth="1"/>
    <col min="5125" max="5125" width="15.7109375" style="34" customWidth="1"/>
    <col min="5126" max="5126" width="10" style="34" customWidth="1"/>
    <col min="5127" max="5127" width="11" style="34" customWidth="1"/>
    <col min="5128" max="5128" width="8.7109375" style="34" customWidth="1"/>
    <col min="5129" max="5129" width="11.7109375" style="34" customWidth="1"/>
    <col min="5130" max="5130" width="11.140625" style="34" customWidth="1"/>
    <col min="5131" max="5131" width="17.140625" style="34" customWidth="1"/>
    <col min="5132" max="5132" width="40.7109375" style="34" customWidth="1"/>
    <col min="5133" max="5377" width="9.140625" style="34"/>
    <col min="5378" max="5378" width="3.140625" style="34" customWidth="1"/>
    <col min="5379" max="5379" width="21.5703125" style="34" customWidth="1"/>
    <col min="5380" max="5380" width="17.85546875" style="34" customWidth="1"/>
    <col min="5381" max="5381" width="15.7109375" style="34" customWidth="1"/>
    <col min="5382" max="5382" width="10" style="34" customWidth="1"/>
    <col min="5383" max="5383" width="11" style="34" customWidth="1"/>
    <col min="5384" max="5384" width="8.7109375" style="34" customWidth="1"/>
    <col min="5385" max="5385" width="11.7109375" style="34" customWidth="1"/>
    <col min="5386" max="5386" width="11.140625" style="34" customWidth="1"/>
    <col min="5387" max="5387" width="17.140625" style="34" customWidth="1"/>
    <col min="5388" max="5388" width="40.7109375" style="34" customWidth="1"/>
    <col min="5389" max="5633" width="9.140625" style="34"/>
    <col min="5634" max="5634" width="3.140625" style="34" customWidth="1"/>
    <col min="5635" max="5635" width="21.5703125" style="34" customWidth="1"/>
    <col min="5636" max="5636" width="17.85546875" style="34" customWidth="1"/>
    <col min="5637" max="5637" width="15.7109375" style="34" customWidth="1"/>
    <col min="5638" max="5638" width="10" style="34" customWidth="1"/>
    <col min="5639" max="5639" width="11" style="34" customWidth="1"/>
    <col min="5640" max="5640" width="8.7109375" style="34" customWidth="1"/>
    <col min="5641" max="5641" width="11.7109375" style="34" customWidth="1"/>
    <col min="5642" max="5642" width="11.140625" style="34" customWidth="1"/>
    <col min="5643" max="5643" width="17.140625" style="34" customWidth="1"/>
    <col min="5644" max="5644" width="40.7109375" style="34" customWidth="1"/>
    <col min="5645" max="5889" width="9.140625" style="34"/>
    <col min="5890" max="5890" width="3.140625" style="34" customWidth="1"/>
    <col min="5891" max="5891" width="21.5703125" style="34" customWidth="1"/>
    <col min="5892" max="5892" width="17.85546875" style="34" customWidth="1"/>
    <col min="5893" max="5893" width="15.7109375" style="34" customWidth="1"/>
    <col min="5894" max="5894" width="10" style="34" customWidth="1"/>
    <col min="5895" max="5895" width="11" style="34" customWidth="1"/>
    <col min="5896" max="5896" width="8.7109375" style="34" customWidth="1"/>
    <col min="5897" max="5897" width="11.7109375" style="34" customWidth="1"/>
    <col min="5898" max="5898" width="11.140625" style="34" customWidth="1"/>
    <col min="5899" max="5899" width="17.140625" style="34" customWidth="1"/>
    <col min="5900" max="5900" width="40.7109375" style="34" customWidth="1"/>
    <col min="5901" max="6145" width="9.140625" style="34"/>
    <col min="6146" max="6146" width="3.140625" style="34" customWidth="1"/>
    <col min="6147" max="6147" width="21.5703125" style="34" customWidth="1"/>
    <col min="6148" max="6148" width="17.85546875" style="34" customWidth="1"/>
    <col min="6149" max="6149" width="15.7109375" style="34" customWidth="1"/>
    <col min="6150" max="6150" width="10" style="34" customWidth="1"/>
    <col min="6151" max="6151" width="11" style="34" customWidth="1"/>
    <col min="6152" max="6152" width="8.7109375" style="34" customWidth="1"/>
    <col min="6153" max="6153" width="11.7109375" style="34" customWidth="1"/>
    <col min="6154" max="6154" width="11.140625" style="34" customWidth="1"/>
    <col min="6155" max="6155" width="17.140625" style="34" customWidth="1"/>
    <col min="6156" max="6156" width="40.7109375" style="34" customWidth="1"/>
    <col min="6157" max="6401" width="9.140625" style="34"/>
    <col min="6402" max="6402" width="3.140625" style="34" customWidth="1"/>
    <col min="6403" max="6403" width="21.5703125" style="34" customWidth="1"/>
    <col min="6404" max="6404" width="17.85546875" style="34" customWidth="1"/>
    <col min="6405" max="6405" width="15.7109375" style="34" customWidth="1"/>
    <col min="6406" max="6406" width="10" style="34" customWidth="1"/>
    <col min="6407" max="6407" width="11" style="34" customWidth="1"/>
    <col min="6408" max="6408" width="8.7109375" style="34" customWidth="1"/>
    <col min="6409" max="6409" width="11.7109375" style="34" customWidth="1"/>
    <col min="6410" max="6410" width="11.140625" style="34" customWidth="1"/>
    <col min="6411" max="6411" width="17.140625" style="34" customWidth="1"/>
    <col min="6412" max="6412" width="40.7109375" style="34" customWidth="1"/>
    <col min="6413" max="6657" width="9.140625" style="34"/>
    <col min="6658" max="6658" width="3.140625" style="34" customWidth="1"/>
    <col min="6659" max="6659" width="21.5703125" style="34" customWidth="1"/>
    <col min="6660" max="6660" width="17.85546875" style="34" customWidth="1"/>
    <col min="6661" max="6661" width="15.7109375" style="34" customWidth="1"/>
    <col min="6662" max="6662" width="10" style="34" customWidth="1"/>
    <col min="6663" max="6663" width="11" style="34" customWidth="1"/>
    <col min="6664" max="6664" width="8.7109375" style="34" customWidth="1"/>
    <col min="6665" max="6665" width="11.7109375" style="34" customWidth="1"/>
    <col min="6666" max="6666" width="11.140625" style="34" customWidth="1"/>
    <col min="6667" max="6667" width="17.140625" style="34" customWidth="1"/>
    <col min="6668" max="6668" width="40.7109375" style="34" customWidth="1"/>
    <col min="6669" max="6913" width="9.140625" style="34"/>
    <col min="6914" max="6914" width="3.140625" style="34" customWidth="1"/>
    <col min="6915" max="6915" width="21.5703125" style="34" customWidth="1"/>
    <col min="6916" max="6916" width="17.85546875" style="34" customWidth="1"/>
    <col min="6917" max="6917" width="15.7109375" style="34" customWidth="1"/>
    <col min="6918" max="6918" width="10" style="34" customWidth="1"/>
    <col min="6919" max="6919" width="11" style="34" customWidth="1"/>
    <col min="6920" max="6920" width="8.7109375" style="34" customWidth="1"/>
    <col min="6921" max="6921" width="11.7109375" style="34" customWidth="1"/>
    <col min="6922" max="6922" width="11.140625" style="34" customWidth="1"/>
    <col min="6923" max="6923" width="17.140625" style="34" customWidth="1"/>
    <col min="6924" max="6924" width="40.7109375" style="34" customWidth="1"/>
    <col min="6925" max="7169" width="9.140625" style="34"/>
    <col min="7170" max="7170" width="3.140625" style="34" customWidth="1"/>
    <col min="7171" max="7171" width="21.5703125" style="34" customWidth="1"/>
    <col min="7172" max="7172" width="17.85546875" style="34" customWidth="1"/>
    <col min="7173" max="7173" width="15.7109375" style="34" customWidth="1"/>
    <col min="7174" max="7174" width="10" style="34" customWidth="1"/>
    <col min="7175" max="7175" width="11" style="34" customWidth="1"/>
    <col min="7176" max="7176" width="8.7109375" style="34" customWidth="1"/>
    <col min="7177" max="7177" width="11.7109375" style="34" customWidth="1"/>
    <col min="7178" max="7178" width="11.140625" style="34" customWidth="1"/>
    <col min="7179" max="7179" width="17.140625" style="34" customWidth="1"/>
    <col min="7180" max="7180" width="40.7109375" style="34" customWidth="1"/>
    <col min="7181" max="7425" width="9.140625" style="34"/>
    <col min="7426" max="7426" width="3.140625" style="34" customWidth="1"/>
    <col min="7427" max="7427" width="21.5703125" style="34" customWidth="1"/>
    <col min="7428" max="7428" width="17.85546875" style="34" customWidth="1"/>
    <col min="7429" max="7429" width="15.7109375" style="34" customWidth="1"/>
    <col min="7430" max="7430" width="10" style="34" customWidth="1"/>
    <col min="7431" max="7431" width="11" style="34" customWidth="1"/>
    <col min="7432" max="7432" width="8.7109375" style="34" customWidth="1"/>
    <col min="7433" max="7433" width="11.7109375" style="34" customWidth="1"/>
    <col min="7434" max="7434" width="11.140625" style="34" customWidth="1"/>
    <col min="7435" max="7435" width="17.140625" style="34" customWidth="1"/>
    <col min="7436" max="7436" width="40.7109375" style="34" customWidth="1"/>
    <col min="7437" max="7681" width="9.140625" style="34"/>
    <col min="7682" max="7682" width="3.140625" style="34" customWidth="1"/>
    <col min="7683" max="7683" width="21.5703125" style="34" customWidth="1"/>
    <col min="7684" max="7684" width="17.85546875" style="34" customWidth="1"/>
    <col min="7685" max="7685" width="15.7109375" style="34" customWidth="1"/>
    <col min="7686" max="7686" width="10" style="34" customWidth="1"/>
    <col min="7687" max="7687" width="11" style="34" customWidth="1"/>
    <col min="7688" max="7688" width="8.7109375" style="34" customWidth="1"/>
    <col min="7689" max="7689" width="11.7109375" style="34" customWidth="1"/>
    <col min="7690" max="7690" width="11.140625" style="34" customWidth="1"/>
    <col min="7691" max="7691" width="17.140625" style="34" customWidth="1"/>
    <col min="7692" max="7692" width="40.7109375" style="34" customWidth="1"/>
    <col min="7693" max="7937" width="9.140625" style="34"/>
    <col min="7938" max="7938" width="3.140625" style="34" customWidth="1"/>
    <col min="7939" max="7939" width="21.5703125" style="34" customWidth="1"/>
    <col min="7940" max="7940" width="17.85546875" style="34" customWidth="1"/>
    <col min="7941" max="7941" width="15.7109375" style="34" customWidth="1"/>
    <col min="7942" max="7942" width="10" style="34" customWidth="1"/>
    <col min="7943" max="7943" width="11" style="34" customWidth="1"/>
    <col min="7944" max="7944" width="8.7109375" style="34" customWidth="1"/>
    <col min="7945" max="7945" width="11.7109375" style="34" customWidth="1"/>
    <col min="7946" max="7946" width="11.140625" style="34" customWidth="1"/>
    <col min="7947" max="7947" width="17.140625" style="34" customWidth="1"/>
    <col min="7948" max="7948" width="40.7109375" style="34" customWidth="1"/>
    <col min="7949" max="8193" width="9.140625" style="34"/>
    <col min="8194" max="8194" width="3.140625" style="34" customWidth="1"/>
    <col min="8195" max="8195" width="21.5703125" style="34" customWidth="1"/>
    <col min="8196" max="8196" width="17.85546875" style="34" customWidth="1"/>
    <col min="8197" max="8197" width="15.7109375" style="34" customWidth="1"/>
    <col min="8198" max="8198" width="10" style="34" customWidth="1"/>
    <col min="8199" max="8199" width="11" style="34" customWidth="1"/>
    <col min="8200" max="8200" width="8.7109375" style="34" customWidth="1"/>
    <col min="8201" max="8201" width="11.7109375" style="34" customWidth="1"/>
    <col min="8202" max="8202" width="11.140625" style="34" customWidth="1"/>
    <col min="8203" max="8203" width="17.140625" style="34" customWidth="1"/>
    <col min="8204" max="8204" width="40.7109375" style="34" customWidth="1"/>
    <col min="8205" max="8449" width="9.140625" style="34"/>
    <col min="8450" max="8450" width="3.140625" style="34" customWidth="1"/>
    <col min="8451" max="8451" width="21.5703125" style="34" customWidth="1"/>
    <col min="8452" max="8452" width="17.85546875" style="34" customWidth="1"/>
    <col min="8453" max="8453" width="15.7109375" style="34" customWidth="1"/>
    <col min="8454" max="8454" width="10" style="34" customWidth="1"/>
    <col min="8455" max="8455" width="11" style="34" customWidth="1"/>
    <col min="8456" max="8456" width="8.7109375" style="34" customWidth="1"/>
    <col min="8457" max="8457" width="11.7109375" style="34" customWidth="1"/>
    <col min="8458" max="8458" width="11.140625" style="34" customWidth="1"/>
    <col min="8459" max="8459" width="17.140625" style="34" customWidth="1"/>
    <col min="8460" max="8460" width="40.7109375" style="34" customWidth="1"/>
    <col min="8461" max="8705" width="9.140625" style="34"/>
    <col min="8706" max="8706" width="3.140625" style="34" customWidth="1"/>
    <col min="8707" max="8707" width="21.5703125" style="34" customWidth="1"/>
    <col min="8708" max="8708" width="17.85546875" style="34" customWidth="1"/>
    <col min="8709" max="8709" width="15.7109375" style="34" customWidth="1"/>
    <col min="8710" max="8710" width="10" style="34" customWidth="1"/>
    <col min="8711" max="8711" width="11" style="34" customWidth="1"/>
    <col min="8712" max="8712" width="8.7109375" style="34" customWidth="1"/>
    <col min="8713" max="8713" width="11.7109375" style="34" customWidth="1"/>
    <col min="8714" max="8714" width="11.140625" style="34" customWidth="1"/>
    <col min="8715" max="8715" width="17.140625" style="34" customWidth="1"/>
    <col min="8716" max="8716" width="40.7109375" style="34" customWidth="1"/>
    <col min="8717" max="8961" width="9.140625" style="34"/>
    <col min="8962" max="8962" width="3.140625" style="34" customWidth="1"/>
    <col min="8963" max="8963" width="21.5703125" style="34" customWidth="1"/>
    <col min="8964" max="8964" width="17.85546875" style="34" customWidth="1"/>
    <col min="8965" max="8965" width="15.7109375" style="34" customWidth="1"/>
    <col min="8966" max="8966" width="10" style="34" customWidth="1"/>
    <col min="8967" max="8967" width="11" style="34" customWidth="1"/>
    <col min="8968" max="8968" width="8.7109375" style="34" customWidth="1"/>
    <col min="8969" max="8969" width="11.7109375" style="34" customWidth="1"/>
    <col min="8970" max="8970" width="11.140625" style="34" customWidth="1"/>
    <col min="8971" max="8971" width="17.140625" style="34" customWidth="1"/>
    <col min="8972" max="8972" width="40.7109375" style="34" customWidth="1"/>
    <col min="8973" max="9217" width="9.140625" style="34"/>
    <col min="9218" max="9218" width="3.140625" style="34" customWidth="1"/>
    <col min="9219" max="9219" width="21.5703125" style="34" customWidth="1"/>
    <col min="9220" max="9220" width="17.85546875" style="34" customWidth="1"/>
    <col min="9221" max="9221" width="15.7109375" style="34" customWidth="1"/>
    <col min="9222" max="9222" width="10" style="34" customWidth="1"/>
    <col min="9223" max="9223" width="11" style="34" customWidth="1"/>
    <col min="9224" max="9224" width="8.7109375" style="34" customWidth="1"/>
    <col min="9225" max="9225" width="11.7109375" style="34" customWidth="1"/>
    <col min="9226" max="9226" width="11.140625" style="34" customWidth="1"/>
    <col min="9227" max="9227" width="17.140625" style="34" customWidth="1"/>
    <col min="9228" max="9228" width="40.7109375" style="34" customWidth="1"/>
    <col min="9229" max="9473" width="9.140625" style="34"/>
    <col min="9474" max="9474" width="3.140625" style="34" customWidth="1"/>
    <col min="9475" max="9475" width="21.5703125" style="34" customWidth="1"/>
    <col min="9476" max="9476" width="17.85546875" style="34" customWidth="1"/>
    <col min="9477" max="9477" width="15.7109375" style="34" customWidth="1"/>
    <col min="9478" max="9478" width="10" style="34" customWidth="1"/>
    <col min="9479" max="9479" width="11" style="34" customWidth="1"/>
    <col min="9480" max="9480" width="8.7109375" style="34" customWidth="1"/>
    <col min="9481" max="9481" width="11.7109375" style="34" customWidth="1"/>
    <col min="9482" max="9482" width="11.140625" style="34" customWidth="1"/>
    <col min="9483" max="9483" width="17.140625" style="34" customWidth="1"/>
    <col min="9484" max="9484" width="40.7109375" style="34" customWidth="1"/>
    <col min="9485" max="9729" width="9.140625" style="34"/>
    <col min="9730" max="9730" width="3.140625" style="34" customWidth="1"/>
    <col min="9731" max="9731" width="21.5703125" style="34" customWidth="1"/>
    <col min="9732" max="9732" width="17.85546875" style="34" customWidth="1"/>
    <col min="9733" max="9733" width="15.7109375" style="34" customWidth="1"/>
    <col min="9734" max="9734" width="10" style="34" customWidth="1"/>
    <col min="9735" max="9735" width="11" style="34" customWidth="1"/>
    <col min="9736" max="9736" width="8.7109375" style="34" customWidth="1"/>
    <col min="9737" max="9737" width="11.7109375" style="34" customWidth="1"/>
    <col min="9738" max="9738" width="11.140625" style="34" customWidth="1"/>
    <col min="9739" max="9739" width="17.140625" style="34" customWidth="1"/>
    <col min="9740" max="9740" width="40.7109375" style="34" customWidth="1"/>
    <col min="9741" max="9985" width="9.140625" style="34"/>
    <col min="9986" max="9986" width="3.140625" style="34" customWidth="1"/>
    <col min="9987" max="9987" width="21.5703125" style="34" customWidth="1"/>
    <col min="9988" max="9988" width="17.85546875" style="34" customWidth="1"/>
    <col min="9989" max="9989" width="15.7109375" style="34" customWidth="1"/>
    <col min="9990" max="9990" width="10" style="34" customWidth="1"/>
    <col min="9991" max="9991" width="11" style="34" customWidth="1"/>
    <col min="9992" max="9992" width="8.7109375" style="34" customWidth="1"/>
    <col min="9993" max="9993" width="11.7109375" style="34" customWidth="1"/>
    <col min="9994" max="9994" width="11.140625" style="34" customWidth="1"/>
    <col min="9995" max="9995" width="17.140625" style="34" customWidth="1"/>
    <col min="9996" max="9996" width="40.7109375" style="34" customWidth="1"/>
    <col min="9997" max="10241" width="9.140625" style="34"/>
    <col min="10242" max="10242" width="3.140625" style="34" customWidth="1"/>
    <col min="10243" max="10243" width="21.5703125" style="34" customWidth="1"/>
    <col min="10244" max="10244" width="17.85546875" style="34" customWidth="1"/>
    <col min="10245" max="10245" width="15.7109375" style="34" customWidth="1"/>
    <col min="10246" max="10246" width="10" style="34" customWidth="1"/>
    <col min="10247" max="10247" width="11" style="34" customWidth="1"/>
    <col min="10248" max="10248" width="8.7109375" style="34" customWidth="1"/>
    <col min="10249" max="10249" width="11.7109375" style="34" customWidth="1"/>
    <col min="10250" max="10250" width="11.140625" style="34" customWidth="1"/>
    <col min="10251" max="10251" width="17.140625" style="34" customWidth="1"/>
    <col min="10252" max="10252" width="40.7109375" style="34" customWidth="1"/>
    <col min="10253" max="10497" width="9.140625" style="34"/>
    <col min="10498" max="10498" width="3.140625" style="34" customWidth="1"/>
    <col min="10499" max="10499" width="21.5703125" style="34" customWidth="1"/>
    <col min="10500" max="10500" width="17.85546875" style="34" customWidth="1"/>
    <col min="10501" max="10501" width="15.7109375" style="34" customWidth="1"/>
    <col min="10502" max="10502" width="10" style="34" customWidth="1"/>
    <col min="10503" max="10503" width="11" style="34" customWidth="1"/>
    <col min="10504" max="10504" width="8.7109375" style="34" customWidth="1"/>
    <col min="10505" max="10505" width="11.7109375" style="34" customWidth="1"/>
    <col min="10506" max="10506" width="11.140625" style="34" customWidth="1"/>
    <col min="10507" max="10507" width="17.140625" style="34" customWidth="1"/>
    <col min="10508" max="10508" width="40.7109375" style="34" customWidth="1"/>
    <col min="10509" max="10753" width="9.140625" style="34"/>
    <col min="10754" max="10754" width="3.140625" style="34" customWidth="1"/>
    <col min="10755" max="10755" width="21.5703125" style="34" customWidth="1"/>
    <col min="10756" max="10756" width="17.85546875" style="34" customWidth="1"/>
    <col min="10757" max="10757" width="15.7109375" style="34" customWidth="1"/>
    <col min="10758" max="10758" width="10" style="34" customWidth="1"/>
    <col min="10759" max="10759" width="11" style="34" customWidth="1"/>
    <col min="10760" max="10760" width="8.7109375" style="34" customWidth="1"/>
    <col min="10761" max="10761" width="11.7109375" style="34" customWidth="1"/>
    <col min="10762" max="10762" width="11.140625" style="34" customWidth="1"/>
    <col min="10763" max="10763" width="17.140625" style="34" customWidth="1"/>
    <col min="10764" max="10764" width="40.7109375" style="34" customWidth="1"/>
    <col min="10765" max="11009" width="9.140625" style="34"/>
    <col min="11010" max="11010" width="3.140625" style="34" customWidth="1"/>
    <col min="11011" max="11011" width="21.5703125" style="34" customWidth="1"/>
    <col min="11012" max="11012" width="17.85546875" style="34" customWidth="1"/>
    <col min="11013" max="11013" width="15.7109375" style="34" customWidth="1"/>
    <col min="11014" max="11014" width="10" style="34" customWidth="1"/>
    <col min="11015" max="11015" width="11" style="34" customWidth="1"/>
    <col min="11016" max="11016" width="8.7109375" style="34" customWidth="1"/>
    <col min="11017" max="11017" width="11.7109375" style="34" customWidth="1"/>
    <col min="11018" max="11018" width="11.140625" style="34" customWidth="1"/>
    <col min="11019" max="11019" width="17.140625" style="34" customWidth="1"/>
    <col min="11020" max="11020" width="40.7109375" style="34" customWidth="1"/>
    <col min="11021" max="11265" width="9.140625" style="34"/>
    <col min="11266" max="11266" width="3.140625" style="34" customWidth="1"/>
    <col min="11267" max="11267" width="21.5703125" style="34" customWidth="1"/>
    <col min="11268" max="11268" width="17.85546875" style="34" customWidth="1"/>
    <col min="11269" max="11269" width="15.7109375" style="34" customWidth="1"/>
    <col min="11270" max="11270" width="10" style="34" customWidth="1"/>
    <col min="11271" max="11271" width="11" style="34" customWidth="1"/>
    <col min="11272" max="11272" width="8.7109375" style="34" customWidth="1"/>
    <col min="11273" max="11273" width="11.7109375" style="34" customWidth="1"/>
    <col min="11274" max="11274" width="11.140625" style="34" customWidth="1"/>
    <col min="11275" max="11275" width="17.140625" style="34" customWidth="1"/>
    <col min="11276" max="11276" width="40.7109375" style="34" customWidth="1"/>
    <col min="11277" max="11521" width="9.140625" style="34"/>
    <col min="11522" max="11522" width="3.140625" style="34" customWidth="1"/>
    <col min="11523" max="11523" width="21.5703125" style="34" customWidth="1"/>
    <col min="11524" max="11524" width="17.85546875" style="34" customWidth="1"/>
    <col min="11525" max="11525" width="15.7109375" style="34" customWidth="1"/>
    <col min="11526" max="11526" width="10" style="34" customWidth="1"/>
    <col min="11527" max="11527" width="11" style="34" customWidth="1"/>
    <col min="11528" max="11528" width="8.7109375" style="34" customWidth="1"/>
    <col min="11529" max="11529" width="11.7109375" style="34" customWidth="1"/>
    <col min="11530" max="11530" width="11.140625" style="34" customWidth="1"/>
    <col min="11531" max="11531" width="17.140625" style="34" customWidth="1"/>
    <col min="11532" max="11532" width="40.7109375" style="34" customWidth="1"/>
    <col min="11533" max="11777" width="9.140625" style="34"/>
    <col min="11778" max="11778" width="3.140625" style="34" customWidth="1"/>
    <col min="11779" max="11779" width="21.5703125" style="34" customWidth="1"/>
    <col min="11780" max="11780" width="17.85546875" style="34" customWidth="1"/>
    <col min="11781" max="11781" width="15.7109375" style="34" customWidth="1"/>
    <col min="11782" max="11782" width="10" style="34" customWidth="1"/>
    <col min="11783" max="11783" width="11" style="34" customWidth="1"/>
    <col min="11784" max="11784" width="8.7109375" style="34" customWidth="1"/>
    <col min="11785" max="11785" width="11.7109375" style="34" customWidth="1"/>
    <col min="11786" max="11786" width="11.140625" style="34" customWidth="1"/>
    <col min="11787" max="11787" width="17.140625" style="34" customWidth="1"/>
    <col min="11788" max="11788" width="40.7109375" style="34" customWidth="1"/>
    <col min="11789" max="12033" width="9.140625" style="34"/>
    <col min="12034" max="12034" width="3.140625" style="34" customWidth="1"/>
    <col min="12035" max="12035" width="21.5703125" style="34" customWidth="1"/>
    <col min="12036" max="12036" width="17.85546875" style="34" customWidth="1"/>
    <col min="12037" max="12037" width="15.7109375" style="34" customWidth="1"/>
    <col min="12038" max="12038" width="10" style="34" customWidth="1"/>
    <col min="12039" max="12039" width="11" style="34" customWidth="1"/>
    <col min="12040" max="12040" width="8.7109375" style="34" customWidth="1"/>
    <col min="12041" max="12041" width="11.7109375" style="34" customWidth="1"/>
    <col min="12042" max="12042" width="11.140625" style="34" customWidth="1"/>
    <col min="12043" max="12043" width="17.140625" style="34" customWidth="1"/>
    <col min="12044" max="12044" width="40.7109375" style="34" customWidth="1"/>
    <col min="12045" max="12289" width="9.140625" style="34"/>
    <col min="12290" max="12290" width="3.140625" style="34" customWidth="1"/>
    <col min="12291" max="12291" width="21.5703125" style="34" customWidth="1"/>
    <col min="12292" max="12292" width="17.85546875" style="34" customWidth="1"/>
    <col min="12293" max="12293" width="15.7109375" style="34" customWidth="1"/>
    <col min="12294" max="12294" width="10" style="34" customWidth="1"/>
    <col min="12295" max="12295" width="11" style="34" customWidth="1"/>
    <col min="12296" max="12296" width="8.7109375" style="34" customWidth="1"/>
    <col min="12297" max="12297" width="11.7109375" style="34" customWidth="1"/>
    <col min="12298" max="12298" width="11.140625" style="34" customWidth="1"/>
    <col min="12299" max="12299" width="17.140625" style="34" customWidth="1"/>
    <col min="12300" max="12300" width="40.7109375" style="34" customWidth="1"/>
    <col min="12301" max="12545" width="9.140625" style="34"/>
    <col min="12546" max="12546" width="3.140625" style="34" customWidth="1"/>
    <col min="12547" max="12547" width="21.5703125" style="34" customWidth="1"/>
    <col min="12548" max="12548" width="17.85546875" style="34" customWidth="1"/>
    <col min="12549" max="12549" width="15.7109375" style="34" customWidth="1"/>
    <col min="12550" max="12550" width="10" style="34" customWidth="1"/>
    <col min="12551" max="12551" width="11" style="34" customWidth="1"/>
    <col min="12552" max="12552" width="8.7109375" style="34" customWidth="1"/>
    <col min="12553" max="12553" width="11.7109375" style="34" customWidth="1"/>
    <col min="12554" max="12554" width="11.140625" style="34" customWidth="1"/>
    <col min="12555" max="12555" width="17.140625" style="34" customWidth="1"/>
    <col min="12556" max="12556" width="40.7109375" style="34" customWidth="1"/>
    <col min="12557" max="12801" width="9.140625" style="34"/>
    <col min="12802" max="12802" width="3.140625" style="34" customWidth="1"/>
    <col min="12803" max="12803" width="21.5703125" style="34" customWidth="1"/>
    <col min="12804" max="12804" width="17.85546875" style="34" customWidth="1"/>
    <col min="12805" max="12805" width="15.7109375" style="34" customWidth="1"/>
    <col min="12806" max="12806" width="10" style="34" customWidth="1"/>
    <col min="12807" max="12807" width="11" style="34" customWidth="1"/>
    <col min="12808" max="12808" width="8.7109375" style="34" customWidth="1"/>
    <col min="12809" max="12809" width="11.7109375" style="34" customWidth="1"/>
    <col min="12810" max="12810" width="11.140625" style="34" customWidth="1"/>
    <col min="12811" max="12811" width="17.140625" style="34" customWidth="1"/>
    <col min="12812" max="12812" width="40.7109375" style="34" customWidth="1"/>
    <col min="12813" max="13057" width="9.140625" style="34"/>
    <col min="13058" max="13058" width="3.140625" style="34" customWidth="1"/>
    <col min="13059" max="13059" width="21.5703125" style="34" customWidth="1"/>
    <col min="13060" max="13060" width="17.85546875" style="34" customWidth="1"/>
    <col min="13061" max="13061" width="15.7109375" style="34" customWidth="1"/>
    <col min="13062" max="13062" width="10" style="34" customWidth="1"/>
    <col min="13063" max="13063" width="11" style="34" customWidth="1"/>
    <col min="13064" max="13064" width="8.7109375" style="34" customWidth="1"/>
    <col min="13065" max="13065" width="11.7109375" style="34" customWidth="1"/>
    <col min="13066" max="13066" width="11.140625" style="34" customWidth="1"/>
    <col min="13067" max="13067" width="17.140625" style="34" customWidth="1"/>
    <col min="13068" max="13068" width="40.7109375" style="34" customWidth="1"/>
    <col min="13069" max="13313" width="9.140625" style="34"/>
    <col min="13314" max="13314" width="3.140625" style="34" customWidth="1"/>
    <col min="13315" max="13315" width="21.5703125" style="34" customWidth="1"/>
    <col min="13316" max="13316" width="17.85546875" style="34" customWidth="1"/>
    <col min="13317" max="13317" width="15.7109375" style="34" customWidth="1"/>
    <col min="13318" max="13318" width="10" style="34" customWidth="1"/>
    <col min="13319" max="13319" width="11" style="34" customWidth="1"/>
    <col min="13320" max="13320" width="8.7109375" style="34" customWidth="1"/>
    <col min="13321" max="13321" width="11.7109375" style="34" customWidth="1"/>
    <col min="13322" max="13322" width="11.140625" style="34" customWidth="1"/>
    <col min="13323" max="13323" width="17.140625" style="34" customWidth="1"/>
    <col min="13324" max="13324" width="40.7109375" style="34" customWidth="1"/>
    <col min="13325" max="13569" width="9.140625" style="34"/>
    <col min="13570" max="13570" width="3.140625" style="34" customWidth="1"/>
    <col min="13571" max="13571" width="21.5703125" style="34" customWidth="1"/>
    <col min="13572" max="13572" width="17.85546875" style="34" customWidth="1"/>
    <col min="13573" max="13573" width="15.7109375" style="34" customWidth="1"/>
    <col min="13574" max="13574" width="10" style="34" customWidth="1"/>
    <col min="13575" max="13575" width="11" style="34" customWidth="1"/>
    <col min="13576" max="13576" width="8.7109375" style="34" customWidth="1"/>
    <col min="13577" max="13577" width="11.7109375" style="34" customWidth="1"/>
    <col min="13578" max="13578" width="11.140625" style="34" customWidth="1"/>
    <col min="13579" max="13579" width="17.140625" style="34" customWidth="1"/>
    <col min="13580" max="13580" width="40.7109375" style="34" customWidth="1"/>
    <col min="13581" max="13825" width="9.140625" style="34"/>
    <col min="13826" max="13826" width="3.140625" style="34" customWidth="1"/>
    <col min="13827" max="13827" width="21.5703125" style="34" customWidth="1"/>
    <col min="13828" max="13828" width="17.85546875" style="34" customWidth="1"/>
    <col min="13829" max="13829" width="15.7109375" style="34" customWidth="1"/>
    <col min="13830" max="13830" width="10" style="34" customWidth="1"/>
    <col min="13831" max="13831" width="11" style="34" customWidth="1"/>
    <col min="13832" max="13832" width="8.7109375" style="34" customWidth="1"/>
    <col min="13833" max="13833" width="11.7109375" style="34" customWidth="1"/>
    <col min="13834" max="13834" width="11.140625" style="34" customWidth="1"/>
    <col min="13835" max="13835" width="17.140625" style="34" customWidth="1"/>
    <col min="13836" max="13836" width="40.7109375" style="34" customWidth="1"/>
    <col min="13837" max="14081" width="9.140625" style="34"/>
    <col min="14082" max="14082" width="3.140625" style="34" customWidth="1"/>
    <col min="14083" max="14083" width="21.5703125" style="34" customWidth="1"/>
    <col min="14084" max="14084" width="17.85546875" style="34" customWidth="1"/>
    <col min="14085" max="14085" width="15.7109375" style="34" customWidth="1"/>
    <col min="14086" max="14086" width="10" style="34" customWidth="1"/>
    <col min="14087" max="14087" width="11" style="34" customWidth="1"/>
    <col min="14088" max="14088" width="8.7109375" style="34" customWidth="1"/>
    <col min="14089" max="14089" width="11.7109375" style="34" customWidth="1"/>
    <col min="14090" max="14090" width="11.140625" style="34" customWidth="1"/>
    <col min="14091" max="14091" width="17.140625" style="34" customWidth="1"/>
    <col min="14092" max="14092" width="40.7109375" style="34" customWidth="1"/>
    <col min="14093" max="14337" width="9.140625" style="34"/>
    <col min="14338" max="14338" width="3.140625" style="34" customWidth="1"/>
    <col min="14339" max="14339" width="21.5703125" style="34" customWidth="1"/>
    <col min="14340" max="14340" width="17.85546875" style="34" customWidth="1"/>
    <col min="14341" max="14341" width="15.7109375" style="34" customWidth="1"/>
    <col min="14342" max="14342" width="10" style="34" customWidth="1"/>
    <col min="14343" max="14343" width="11" style="34" customWidth="1"/>
    <col min="14344" max="14344" width="8.7109375" style="34" customWidth="1"/>
    <col min="14345" max="14345" width="11.7109375" style="34" customWidth="1"/>
    <col min="14346" max="14346" width="11.140625" style="34" customWidth="1"/>
    <col min="14347" max="14347" width="17.140625" style="34" customWidth="1"/>
    <col min="14348" max="14348" width="40.7109375" style="34" customWidth="1"/>
    <col min="14349" max="14593" width="9.140625" style="34"/>
    <col min="14594" max="14594" width="3.140625" style="34" customWidth="1"/>
    <col min="14595" max="14595" width="21.5703125" style="34" customWidth="1"/>
    <col min="14596" max="14596" width="17.85546875" style="34" customWidth="1"/>
    <col min="14597" max="14597" width="15.7109375" style="34" customWidth="1"/>
    <col min="14598" max="14598" width="10" style="34" customWidth="1"/>
    <col min="14599" max="14599" width="11" style="34" customWidth="1"/>
    <col min="14600" max="14600" width="8.7109375" style="34" customWidth="1"/>
    <col min="14601" max="14601" width="11.7109375" style="34" customWidth="1"/>
    <col min="14602" max="14602" width="11.140625" style="34" customWidth="1"/>
    <col min="14603" max="14603" width="17.140625" style="34" customWidth="1"/>
    <col min="14604" max="14604" width="40.7109375" style="34" customWidth="1"/>
    <col min="14605" max="14849" width="9.140625" style="34"/>
    <col min="14850" max="14850" width="3.140625" style="34" customWidth="1"/>
    <col min="14851" max="14851" width="21.5703125" style="34" customWidth="1"/>
    <col min="14852" max="14852" width="17.85546875" style="34" customWidth="1"/>
    <col min="14853" max="14853" width="15.7109375" style="34" customWidth="1"/>
    <col min="14854" max="14854" width="10" style="34" customWidth="1"/>
    <col min="14855" max="14855" width="11" style="34" customWidth="1"/>
    <col min="14856" max="14856" width="8.7109375" style="34" customWidth="1"/>
    <col min="14857" max="14857" width="11.7109375" style="34" customWidth="1"/>
    <col min="14858" max="14858" width="11.140625" style="34" customWidth="1"/>
    <col min="14859" max="14859" width="17.140625" style="34" customWidth="1"/>
    <col min="14860" max="14860" width="40.7109375" style="34" customWidth="1"/>
    <col min="14861" max="15105" width="9.140625" style="34"/>
    <col min="15106" max="15106" width="3.140625" style="34" customWidth="1"/>
    <col min="15107" max="15107" width="21.5703125" style="34" customWidth="1"/>
    <col min="15108" max="15108" width="17.85546875" style="34" customWidth="1"/>
    <col min="15109" max="15109" width="15.7109375" style="34" customWidth="1"/>
    <col min="15110" max="15110" width="10" style="34" customWidth="1"/>
    <col min="15111" max="15111" width="11" style="34" customWidth="1"/>
    <col min="15112" max="15112" width="8.7109375" style="34" customWidth="1"/>
    <col min="15113" max="15113" width="11.7109375" style="34" customWidth="1"/>
    <col min="15114" max="15114" width="11.140625" style="34" customWidth="1"/>
    <col min="15115" max="15115" width="17.140625" style="34" customWidth="1"/>
    <col min="15116" max="15116" width="40.7109375" style="34" customWidth="1"/>
    <col min="15117" max="15361" width="9.140625" style="34"/>
    <col min="15362" max="15362" width="3.140625" style="34" customWidth="1"/>
    <col min="15363" max="15363" width="21.5703125" style="34" customWidth="1"/>
    <col min="15364" max="15364" width="17.85546875" style="34" customWidth="1"/>
    <col min="15365" max="15365" width="15.7109375" style="34" customWidth="1"/>
    <col min="15366" max="15366" width="10" style="34" customWidth="1"/>
    <col min="15367" max="15367" width="11" style="34" customWidth="1"/>
    <col min="15368" max="15368" width="8.7109375" style="34" customWidth="1"/>
    <col min="15369" max="15369" width="11.7109375" style="34" customWidth="1"/>
    <col min="15370" max="15370" width="11.140625" style="34" customWidth="1"/>
    <col min="15371" max="15371" width="17.140625" style="34" customWidth="1"/>
    <col min="15372" max="15372" width="40.7109375" style="34" customWidth="1"/>
    <col min="15373" max="15617" width="9.140625" style="34"/>
    <col min="15618" max="15618" width="3.140625" style="34" customWidth="1"/>
    <col min="15619" max="15619" width="21.5703125" style="34" customWidth="1"/>
    <col min="15620" max="15620" width="17.85546875" style="34" customWidth="1"/>
    <col min="15621" max="15621" width="15.7109375" style="34" customWidth="1"/>
    <col min="15622" max="15622" width="10" style="34" customWidth="1"/>
    <col min="15623" max="15623" width="11" style="34" customWidth="1"/>
    <col min="15624" max="15624" width="8.7109375" style="34" customWidth="1"/>
    <col min="15625" max="15625" width="11.7109375" style="34" customWidth="1"/>
    <col min="15626" max="15626" width="11.140625" style="34" customWidth="1"/>
    <col min="15627" max="15627" width="17.140625" style="34" customWidth="1"/>
    <col min="15628" max="15628" width="40.7109375" style="34" customWidth="1"/>
    <col min="15629" max="15873" width="9.140625" style="34"/>
    <col min="15874" max="15874" width="3.140625" style="34" customWidth="1"/>
    <col min="15875" max="15875" width="21.5703125" style="34" customWidth="1"/>
    <col min="15876" max="15876" width="17.85546875" style="34" customWidth="1"/>
    <col min="15877" max="15877" width="15.7109375" style="34" customWidth="1"/>
    <col min="15878" max="15878" width="10" style="34" customWidth="1"/>
    <col min="15879" max="15879" width="11" style="34" customWidth="1"/>
    <col min="15880" max="15880" width="8.7109375" style="34" customWidth="1"/>
    <col min="15881" max="15881" width="11.7109375" style="34" customWidth="1"/>
    <col min="15882" max="15882" width="11.140625" style="34" customWidth="1"/>
    <col min="15883" max="15883" width="17.140625" style="34" customWidth="1"/>
    <col min="15884" max="15884" width="40.7109375" style="34" customWidth="1"/>
    <col min="15885" max="16129" width="9.140625" style="34"/>
    <col min="16130" max="16130" width="3.140625" style="34" customWidth="1"/>
    <col min="16131" max="16131" width="21.5703125" style="34" customWidth="1"/>
    <col min="16132" max="16132" width="17.85546875" style="34" customWidth="1"/>
    <col min="16133" max="16133" width="15.7109375" style="34" customWidth="1"/>
    <col min="16134" max="16134" width="10" style="34" customWidth="1"/>
    <col min="16135" max="16135" width="11" style="34" customWidth="1"/>
    <col min="16136" max="16136" width="8.7109375" style="34" customWidth="1"/>
    <col min="16137" max="16137" width="11.7109375" style="34" customWidth="1"/>
    <col min="16138" max="16138" width="11.140625" style="34" customWidth="1"/>
    <col min="16139" max="16139" width="17.140625" style="34" customWidth="1"/>
    <col min="16140" max="16140" width="40.7109375" style="34" customWidth="1"/>
    <col min="16141" max="16384" width="9.140625" style="34"/>
  </cols>
  <sheetData>
    <row r="1" spans="1:21" ht="13.5" hidden="1" thickBot="1" x14ac:dyDescent="0.25">
      <c r="C1" s="41">
        <v>0</v>
      </c>
    </row>
    <row r="2" spans="1:21" ht="13.5" hidden="1" thickBot="1" x14ac:dyDescent="0.25">
      <c r="C2" s="41">
        <v>1</v>
      </c>
    </row>
    <row r="3" spans="1:21" ht="13.5" hidden="1" thickBot="1" x14ac:dyDescent="0.25">
      <c r="C3" s="41">
        <v>2</v>
      </c>
    </row>
    <row r="4" spans="1:21" ht="13.5" hidden="1" thickBot="1" x14ac:dyDescent="0.25">
      <c r="C4" s="41">
        <v>3</v>
      </c>
    </row>
    <row r="5" spans="1:21" ht="13.5" hidden="1" thickBot="1" x14ac:dyDescent="0.25">
      <c r="C5" s="41">
        <v>4</v>
      </c>
    </row>
    <row r="6" spans="1:21" ht="50.25" customHeight="1" thickBot="1" x14ac:dyDescent="0.25">
      <c r="A6" s="901" t="s">
        <v>28</v>
      </c>
      <c r="B6" s="902"/>
      <c r="C6" s="902"/>
      <c r="D6" s="902"/>
      <c r="E6" s="902"/>
      <c r="F6" s="902"/>
      <c r="G6" s="902"/>
      <c r="H6" s="902"/>
      <c r="I6" s="902"/>
      <c r="J6" s="902"/>
      <c r="K6" s="902"/>
      <c r="L6" s="902"/>
      <c r="M6" s="902"/>
      <c r="N6" s="902"/>
      <c r="O6" s="902"/>
      <c r="P6" s="902"/>
      <c r="Q6" s="903"/>
      <c r="R6" s="76"/>
    </row>
    <row r="7" spans="1:21" ht="30" customHeight="1" x14ac:dyDescent="0.35">
      <c r="A7" s="919" t="s">
        <v>885</v>
      </c>
      <c r="B7" s="920"/>
      <c r="C7" s="920"/>
      <c r="D7" s="920"/>
      <c r="E7" s="920"/>
      <c r="F7" s="920"/>
      <c r="G7" s="920"/>
      <c r="H7" s="920"/>
      <c r="I7" s="920"/>
      <c r="J7" s="920"/>
      <c r="K7" s="920"/>
      <c r="L7" s="920"/>
      <c r="M7" s="920"/>
      <c r="N7" s="920"/>
      <c r="O7" s="920"/>
      <c r="P7" s="920"/>
      <c r="Q7" s="921"/>
      <c r="R7" s="377"/>
    </row>
    <row r="8" spans="1:21" ht="17.25" customHeight="1" thickBot="1" x14ac:dyDescent="0.35">
      <c r="A8" s="916" t="s">
        <v>33</v>
      </c>
      <c r="B8" s="917"/>
      <c r="C8" s="917"/>
      <c r="D8" s="917"/>
      <c r="E8" s="917"/>
      <c r="F8" s="917"/>
      <c r="G8" s="917"/>
      <c r="H8" s="917"/>
      <c r="I8" s="917"/>
      <c r="J8" s="917"/>
      <c r="K8" s="917"/>
      <c r="L8" s="918"/>
      <c r="M8" s="728"/>
      <c r="N8" s="931" t="s">
        <v>877</v>
      </c>
      <c r="O8" s="931"/>
      <c r="P8" s="931"/>
      <c r="Q8" s="932"/>
    </row>
    <row r="9" spans="1:21" ht="50.1" customHeight="1" thickTop="1" thickBot="1" x14ac:dyDescent="0.3">
      <c r="A9" s="723" t="s">
        <v>34</v>
      </c>
      <c r="B9" s="724"/>
      <c r="C9" s="725" t="s">
        <v>35</v>
      </c>
      <c r="D9" s="725"/>
      <c r="E9" s="725" t="s">
        <v>36</v>
      </c>
      <c r="F9" s="725"/>
      <c r="G9" s="725" t="s">
        <v>37</v>
      </c>
      <c r="H9" s="725"/>
      <c r="I9" s="725" t="s">
        <v>38</v>
      </c>
      <c r="J9" s="725"/>
      <c r="K9" s="725" t="s">
        <v>39</v>
      </c>
      <c r="L9" s="726"/>
      <c r="M9" s="733"/>
      <c r="N9" s="727"/>
      <c r="O9" s="725" t="s">
        <v>1032</v>
      </c>
      <c r="P9" s="725"/>
      <c r="Q9" s="726" t="s">
        <v>1033</v>
      </c>
    </row>
    <row r="10" spans="1:21" ht="12.95" customHeight="1" x14ac:dyDescent="0.2">
      <c r="A10" s="61"/>
      <c r="C10" s="710"/>
      <c r="D10" s="405"/>
      <c r="E10" s="405"/>
      <c r="F10" s="405"/>
      <c r="G10" s="405"/>
      <c r="H10" s="405"/>
      <c r="I10" s="405"/>
      <c r="J10" s="405"/>
      <c r="K10" s="715"/>
      <c r="L10" s="376"/>
      <c r="M10" s="729"/>
      <c r="N10" s="93"/>
      <c r="O10" s="405"/>
      <c r="P10" s="405"/>
      <c r="Q10" s="376"/>
    </row>
    <row r="11" spans="1:21" ht="20.100000000000001" customHeight="1" x14ac:dyDescent="0.2">
      <c r="A11" s="61"/>
      <c r="C11" s="711">
        <f>R11</f>
        <v>0</v>
      </c>
      <c r="D11" s="405"/>
      <c r="E11" s="704"/>
      <c r="G11" s="704"/>
      <c r="I11" s="704"/>
      <c r="K11" s="378"/>
      <c r="L11" s="716"/>
      <c r="M11" s="729"/>
      <c r="N11" s="713"/>
      <c r="O11" s="734">
        <f ca="1">'Day 0 Compliance'!E3</f>
        <v>0</v>
      </c>
      <c r="P11" s="710"/>
      <c r="Q11" s="735">
        <f ca="1">'Day 0 Compliance'!E5</f>
        <v>0</v>
      </c>
      <c r="R11" s="705">
        <f>CountColorIf($I$59,E11:K11)</f>
        <v>0</v>
      </c>
      <c r="S11" s="706"/>
      <c r="T11" s="706"/>
      <c r="U11" s="706"/>
    </row>
    <row r="12" spans="1:21" ht="12.95" customHeight="1" x14ac:dyDescent="0.2">
      <c r="A12" s="61"/>
      <c r="C12" s="710"/>
      <c r="D12" s="405"/>
      <c r="E12" s="405"/>
      <c r="F12" s="405"/>
      <c r="G12" s="405"/>
      <c r="H12" s="405"/>
      <c r="I12" s="405"/>
      <c r="J12" s="405"/>
      <c r="K12" s="715"/>
      <c r="L12" s="376"/>
      <c r="M12" s="729"/>
      <c r="N12" s="713"/>
      <c r="O12" s="710"/>
      <c r="P12" s="710"/>
      <c r="Q12" s="736"/>
      <c r="R12" s="705"/>
      <c r="S12" s="706"/>
      <c r="T12" s="706"/>
      <c r="U12" s="706"/>
    </row>
    <row r="13" spans="1:21" ht="20.100000000000001" customHeight="1" x14ac:dyDescent="0.2">
      <c r="A13" s="61"/>
      <c r="C13" s="711">
        <f>R13</f>
        <v>0</v>
      </c>
      <c r="E13" s="704"/>
      <c r="G13" s="47"/>
      <c r="I13" s="47"/>
      <c r="K13" s="378"/>
      <c r="L13" s="716"/>
      <c r="M13" s="730"/>
      <c r="N13" s="714"/>
      <c r="O13" s="734">
        <f ca="1">Transaction!E3</f>
        <v>0</v>
      </c>
      <c r="P13" s="734"/>
      <c r="Q13" s="735">
        <f ca="1">Transaction!E5</f>
        <v>0</v>
      </c>
      <c r="R13" s="705">
        <f>CountColorIf($I$59,E13:K13)</f>
        <v>0</v>
      </c>
      <c r="S13" s="706"/>
      <c r="T13" s="706"/>
      <c r="U13" s="706"/>
    </row>
    <row r="14" spans="1:21" ht="12.95" customHeight="1" x14ac:dyDescent="0.2">
      <c r="A14" s="61"/>
      <c r="C14" s="710"/>
      <c r="K14" s="36"/>
      <c r="L14" s="65"/>
      <c r="M14" s="731"/>
      <c r="N14" s="714"/>
      <c r="O14" s="734"/>
      <c r="P14" s="734"/>
      <c r="Q14" s="735"/>
      <c r="R14" s="705"/>
      <c r="S14" s="706"/>
      <c r="T14" s="706"/>
      <c r="U14" s="706"/>
    </row>
    <row r="15" spans="1:21" ht="20.100000000000001" customHeight="1" x14ac:dyDescent="0.2">
      <c r="A15" s="61"/>
      <c r="C15" s="711">
        <f>R15</f>
        <v>0</v>
      </c>
      <c r="E15" s="47"/>
      <c r="G15" s="47"/>
      <c r="I15" s="47"/>
      <c r="K15" s="378"/>
      <c r="L15" s="716"/>
      <c r="M15" s="730"/>
      <c r="N15" s="714"/>
      <c r="O15" s="734">
        <f ca="1">'Change Management'!E3</f>
        <v>0</v>
      </c>
      <c r="P15" s="734"/>
      <c r="Q15" s="735">
        <f ca="1">'Change Management'!E5</f>
        <v>0</v>
      </c>
      <c r="R15" s="705">
        <f>CountColorIf($I$59,E15:K15)</f>
        <v>0</v>
      </c>
      <c r="S15" s="706"/>
      <c r="T15" s="706"/>
      <c r="U15" s="706"/>
    </row>
    <row r="16" spans="1:21" ht="12.95" customHeight="1" x14ac:dyDescent="0.2">
      <c r="A16" s="61"/>
      <c r="C16" s="710"/>
      <c r="K16" s="36"/>
      <c r="L16" s="65"/>
      <c r="M16" s="731"/>
      <c r="N16" s="714"/>
      <c r="O16" s="734"/>
      <c r="P16" s="734"/>
      <c r="Q16" s="735"/>
      <c r="R16" s="705"/>
      <c r="S16" s="706"/>
      <c r="T16" s="706"/>
      <c r="U16" s="706"/>
    </row>
    <row r="17" spans="1:21" ht="20.100000000000001" customHeight="1" x14ac:dyDescent="0.2">
      <c r="A17" s="61"/>
      <c r="C17" s="711">
        <f>R17</f>
        <v>0</v>
      </c>
      <c r="E17" s="704"/>
      <c r="G17" s="77"/>
      <c r="I17" s="46"/>
      <c r="K17" s="378"/>
      <c r="L17" s="716"/>
      <c r="M17" s="730"/>
      <c r="N17" s="714"/>
      <c r="O17" s="734">
        <f ca="1">Communications!E3</f>
        <v>0</v>
      </c>
      <c r="P17" s="734"/>
      <c r="Q17" s="735">
        <f ca="1">Communications!E5</f>
        <v>0</v>
      </c>
      <c r="R17" s="705">
        <f>CountColorIf($I$59,E17:K17)</f>
        <v>0</v>
      </c>
      <c r="S17" s="706"/>
      <c r="T17" s="706"/>
      <c r="U17" s="706"/>
    </row>
    <row r="18" spans="1:21" ht="12.95" customHeight="1" x14ac:dyDescent="0.2">
      <c r="A18" s="61"/>
      <c r="C18" s="710"/>
      <c r="K18" s="36"/>
      <c r="L18" s="65"/>
      <c r="M18" s="731"/>
      <c r="N18" s="714"/>
      <c r="O18" s="734"/>
      <c r="P18" s="734"/>
      <c r="Q18" s="735"/>
      <c r="R18" s="705"/>
      <c r="S18" s="706"/>
      <c r="T18" s="706"/>
      <c r="U18" s="706"/>
    </row>
    <row r="19" spans="1:21" ht="20.100000000000001" customHeight="1" x14ac:dyDescent="0.2">
      <c r="A19" s="61"/>
      <c r="C19" s="712">
        <f>R19</f>
        <v>0</v>
      </c>
      <c r="E19" s="704"/>
      <c r="G19" s="77"/>
      <c r="I19" s="77"/>
      <c r="K19" s="378"/>
      <c r="L19" s="716"/>
      <c r="M19" s="730"/>
      <c r="N19" s="714"/>
      <c r="O19" s="734">
        <f ca="1">'Sales and Marketing'!E3</f>
        <v>0</v>
      </c>
      <c r="P19" s="734"/>
      <c r="Q19" s="735">
        <f ca="1">'Sales and Marketing'!E5</f>
        <v>0</v>
      </c>
      <c r="R19" s="705">
        <f>CountColorIf($I$59,E19:K19)</f>
        <v>0</v>
      </c>
      <c r="S19" s="706"/>
      <c r="T19" s="706"/>
      <c r="U19" s="706"/>
    </row>
    <row r="20" spans="1:21" ht="12.95" customHeight="1" x14ac:dyDescent="0.2">
      <c r="A20" s="61"/>
      <c r="C20" s="710"/>
      <c r="K20" s="36"/>
      <c r="L20" s="65"/>
      <c r="M20" s="731"/>
      <c r="N20" s="714"/>
      <c r="O20" s="734"/>
      <c r="P20" s="734"/>
      <c r="Q20" s="735"/>
      <c r="R20" s="705"/>
      <c r="S20" s="706"/>
      <c r="T20" s="706"/>
      <c r="U20" s="706"/>
    </row>
    <row r="21" spans="1:21" ht="20.100000000000001" customHeight="1" x14ac:dyDescent="0.2">
      <c r="A21" s="61"/>
      <c r="C21" s="712">
        <f>R21</f>
        <v>0</v>
      </c>
      <c r="E21" s="704"/>
      <c r="G21" s="77"/>
      <c r="I21" s="77"/>
      <c r="K21" s="378"/>
      <c r="L21" s="716"/>
      <c r="M21" s="730"/>
      <c r="N21" s="714"/>
      <c r="O21" s="734">
        <f ca="1">Marketing!E3</f>
        <v>0</v>
      </c>
      <c r="P21" s="734"/>
      <c r="Q21" s="735">
        <f ca="1">Marketing!E5</f>
        <v>0</v>
      </c>
      <c r="R21" s="705">
        <f>CountColorIf($I$59,E21:K21)</f>
        <v>0</v>
      </c>
      <c r="S21" s="706"/>
      <c r="T21" s="706"/>
      <c r="U21" s="706"/>
    </row>
    <row r="22" spans="1:21" ht="12.95" customHeight="1" x14ac:dyDescent="0.2">
      <c r="A22" s="61"/>
      <c r="C22" s="710"/>
      <c r="K22" s="36"/>
      <c r="L22" s="65"/>
      <c r="M22" s="731"/>
      <c r="N22" s="714"/>
      <c r="O22" s="734"/>
      <c r="P22" s="734"/>
      <c r="Q22" s="735"/>
      <c r="R22" s="705"/>
      <c r="S22" s="706"/>
      <c r="T22" s="706"/>
      <c r="U22" s="706"/>
    </row>
    <row r="23" spans="1:21" ht="20.100000000000001" customHeight="1" x14ac:dyDescent="0.2">
      <c r="A23" s="61"/>
      <c r="C23" s="712">
        <f>R23</f>
        <v>0</v>
      </c>
      <c r="E23" s="47"/>
      <c r="G23" s="46"/>
      <c r="I23" s="46"/>
      <c r="K23" s="378"/>
      <c r="L23" s="716"/>
      <c r="M23" s="730"/>
      <c r="N23" s="714"/>
      <c r="O23" s="734">
        <f ca="1">Sales!E3</f>
        <v>0</v>
      </c>
      <c r="P23" s="734"/>
      <c r="Q23" s="735">
        <f ca="1">Sales!E5</f>
        <v>0</v>
      </c>
      <c r="R23" s="705">
        <f>CountColorIf($I$59,E23:K23)</f>
        <v>0</v>
      </c>
      <c r="S23" s="706"/>
      <c r="T23" s="706"/>
      <c r="U23" s="706"/>
    </row>
    <row r="24" spans="1:21" ht="12.95" customHeight="1" x14ac:dyDescent="0.2">
      <c r="A24" s="61"/>
      <c r="C24" s="710"/>
      <c r="K24" s="36"/>
      <c r="L24" s="65"/>
      <c r="M24" s="731"/>
      <c r="N24" s="714"/>
      <c r="O24" s="734"/>
      <c r="P24" s="734"/>
      <c r="Q24" s="735"/>
      <c r="R24" s="705"/>
      <c r="S24" s="706"/>
      <c r="T24" s="706"/>
      <c r="U24" s="706"/>
    </row>
    <row r="25" spans="1:21" ht="20.100000000000001" customHeight="1" x14ac:dyDescent="0.2">
      <c r="A25" s="61"/>
      <c r="C25" s="712">
        <f>R25</f>
        <v>0</v>
      </c>
      <c r="E25" s="47"/>
      <c r="G25" s="47"/>
      <c r="I25" s="47"/>
      <c r="K25" s="47"/>
      <c r="L25" s="717"/>
      <c r="M25" s="731"/>
      <c r="N25" s="714"/>
      <c r="O25" s="734">
        <f ca="1">Operations!E3</f>
        <v>0</v>
      </c>
      <c r="P25" s="737"/>
      <c r="Q25" s="735">
        <f ca="1">Operations!E5</f>
        <v>0</v>
      </c>
      <c r="R25" s="705">
        <f>CountColorIf($I$59,E25:K25)</f>
        <v>0</v>
      </c>
      <c r="S25" s="706"/>
      <c r="T25" s="706"/>
      <c r="U25" s="706"/>
    </row>
    <row r="26" spans="1:21" ht="12.95" customHeight="1" x14ac:dyDescent="0.2">
      <c r="A26" s="61"/>
      <c r="C26" s="710"/>
      <c r="K26" s="36"/>
      <c r="L26" s="65"/>
      <c r="M26" s="731"/>
      <c r="N26" s="714"/>
      <c r="O26" s="737"/>
      <c r="P26" s="737"/>
      <c r="Q26" s="738"/>
      <c r="R26" s="705"/>
      <c r="S26" s="706"/>
      <c r="T26" s="706"/>
      <c r="U26" s="706"/>
    </row>
    <row r="27" spans="1:21" ht="20.100000000000001" customHeight="1" x14ac:dyDescent="0.2">
      <c r="A27" s="61"/>
      <c r="C27" s="712">
        <f>R27</f>
        <v>0</v>
      </c>
      <c r="E27" s="47"/>
      <c r="G27" s="47"/>
      <c r="I27" s="47"/>
      <c r="K27" s="47"/>
      <c r="L27" s="717"/>
      <c r="M27" s="731"/>
      <c r="N27" s="714"/>
      <c r="O27" s="734">
        <f ca="1">'Supply Chain.Procurement'!E3</f>
        <v>0</v>
      </c>
      <c r="P27" s="737"/>
      <c r="Q27" s="735">
        <f ca="1">'Supply Chain.Procurement'!E5</f>
        <v>0</v>
      </c>
      <c r="R27" s="705">
        <f>CountColorIf($I$59,E27:K27)</f>
        <v>0</v>
      </c>
      <c r="S27" s="706"/>
      <c r="T27" s="706"/>
      <c r="U27" s="706"/>
    </row>
    <row r="28" spans="1:21" ht="12.95" customHeight="1" x14ac:dyDescent="0.2">
      <c r="A28" s="61"/>
      <c r="C28" s="710"/>
      <c r="K28" s="36"/>
      <c r="L28" s="65"/>
      <c r="M28" s="731"/>
      <c r="N28" s="714"/>
      <c r="O28" s="737"/>
      <c r="P28" s="737"/>
      <c r="Q28" s="738"/>
      <c r="R28" s="705"/>
      <c r="S28" s="706"/>
      <c r="T28" s="706"/>
      <c r="U28" s="706"/>
    </row>
    <row r="29" spans="1:21" ht="20.100000000000001" customHeight="1" x14ac:dyDescent="0.2">
      <c r="A29" s="61"/>
      <c r="C29" s="712">
        <f>R29</f>
        <v>0</v>
      </c>
      <c r="E29" s="47"/>
      <c r="G29" s="46"/>
      <c r="I29" s="46"/>
      <c r="K29" s="378"/>
      <c r="L29" s="716"/>
      <c r="M29" s="730"/>
      <c r="N29" s="714"/>
      <c r="O29" s="734">
        <f ca="1">Finance!E3</f>
        <v>0</v>
      </c>
      <c r="P29" s="734"/>
      <c r="Q29" s="735">
        <f ca="1">Finance!E5</f>
        <v>0</v>
      </c>
      <c r="R29" s="705">
        <f>CountColorIf($I$59,E29:K29)</f>
        <v>0</v>
      </c>
      <c r="S29" s="706"/>
      <c r="T29" s="706"/>
      <c r="U29" s="706"/>
    </row>
    <row r="30" spans="1:21" ht="12.95" customHeight="1" x14ac:dyDescent="0.2">
      <c r="A30" s="61"/>
      <c r="C30" s="710"/>
      <c r="K30" s="36"/>
      <c r="L30" s="65"/>
      <c r="M30" s="731"/>
      <c r="N30" s="714"/>
      <c r="O30" s="737"/>
      <c r="P30" s="737"/>
      <c r="Q30" s="738"/>
      <c r="R30" s="705"/>
      <c r="S30" s="706"/>
      <c r="T30" s="706"/>
      <c r="U30" s="706"/>
    </row>
    <row r="31" spans="1:21" ht="20.100000000000001" customHeight="1" x14ac:dyDescent="0.2">
      <c r="A31" s="61"/>
      <c r="C31" s="712">
        <f>R31</f>
        <v>0</v>
      </c>
      <c r="E31" s="47"/>
      <c r="G31" s="47"/>
      <c r="I31" s="47"/>
      <c r="K31" s="47"/>
      <c r="L31" s="717"/>
      <c r="M31" s="731"/>
      <c r="N31" s="714"/>
      <c r="O31" s="734">
        <f ca="1">'Insurance and Property'!E3</f>
        <v>0</v>
      </c>
      <c r="P31" s="737"/>
      <c r="Q31" s="735">
        <f ca="1">'Insurance and Property'!E5</f>
        <v>0</v>
      </c>
      <c r="R31" s="705">
        <f>CountColorIf($I$59,E31:K31)</f>
        <v>0</v>
      </c>
      <c r="S31" s="706"/>
      <c r="T31" s="706"/>
      <c r="U31" s="706"/>
    </row>
    <row r="32" spans="1:21" ht="12.95" customHeight="1" x14ac:dyDescent="0.2">
      <c r="A32" s="61"/>
      <c r="C32" s="710"/>
      <c r="D32" s="405"/>
      <c r="E32" s="405"/>
      <c r="F32" s="405"/>
      <c r="G32" s="405"/>
      <c r="H32" s="405"/>
      <c r="I32" s="405"/>
      <c r="J32" s="405"/>
      <c r="K32" s="715"/>
      <c r="L32" s="376"/>
      <c r="M32" s="729"/>
      <c r="N32" s="713"/>
      <c r="O32" s="710"/>
      <c r="P32" s="710"/>
      <c r="Q32" s="736"/>
      <c r="R32" s="705"/>
      <c r="S32" s="706"/>
      <c r="T32" s="706"/>
      <c r="U32" s="706"/>
    </row>
    <row r="33" spans="1:21" ht="20.100000000000001" customHeight="1" x14ac:dyDescent="0.2">
      <c r="A33" s="61"/>
      <c r="C33" s="711">
        <f>R33</f>
        <v>0</v>
      </c>
      <c r="E33" s="47"/>
      <c r="G33" s="47"/>
      <c r="I33" s="47"/>
      <c r="K33" s="378"/>
      <c r="L33" s="716"/>
      <c r="M33" s="730"/>
      <c r="N33" s="714"/>
      <c r="O33" s="734">
        <f ca="1">Legal!E3</f>
        <v>0</v>
      </c>
      <c r="P33" s="734"/>
      <c r="Q33" s="735">
        <f ca="1">Legal!E5</f>
        <v>0</v>
      </c>
      <c r="R33" s="705">
        <f>CountColorIf($I$59,E33:K33)</f>
        <v>0</v>
      </c>
      <c r="S33" s="706"/>
      <c r="T33" s="706"/>
      <c r="U33" s="706"/>
    </row>
    <row r="34" spans="1:21" ht="12.95" customHeight="1" x14ac:dyDescent="0.2">
      <c r="A34" s="61"/>
      <c r="C34" s="710"/>
      <c r="K34" s="36"/>
      <c r="L34" s="65"/>
      <c r="M34" s="731"/>
      <c r="N34" s="714"/>
      <c r="O34" s="734"/>
      <c r="P34" s="734"/>
      <c r="Q34" s="735"/>
      <c r="R34" s="705"/>
      <c r="S34" s="706"/>
      <c r="T34" s="706"/>
      <c r="U34" s="706"/>
    </row>
    <row r="35" spans="1:21" ht="20.100000000000001" customHeight="1" x14ac:dyDescent="0.2">
      <c r="A35" s="61"/>
      <c r="C35" s="711">
        <f>R35</f>
        <v>0</v>
      </c>
      <c r="E35" s="47"/>
      <c r="G35" s="46"/>
      <c r="I35" s="46"/>
      <c r="K35" s="378"/>
      <c r="L35" s="716"/>
      <c r="M35" s="730"/>
      <c r="N35" s="714"/>
      <c r="O35" s="734">
        <f ca="1">Tax!E3</f>
        <v>0</v>
      </c>
      <c r="P35" s="734"/>
      <c r="Q35" s="735">
        <f ca="1">Tax!E5</f>
        <v>0</v>
      </c>
      <c r="R35" s="705">
        <f>CountColorIf($I$59,E35:K35)</f>
        <v>0</v>
      </c>
      <c r="S35" s="706"/>
      <c r="T35" s="706"/>
      <c r="U35" s="706"/>
    </row>
    <row r="36" spans="1:21" ht="12.95" customHeight="1" x14ac:dyDescent="0.2">
      <c r="A36" s="61"/>
      <c r="C36" s="710"/>
      <c r="K36" s="36"/>
      <c r="L36" s="65"/>
      <c r="M36" s="731"/>
      <c r="N36" s="714"/>
      <c r="O36" s="734"/>
      <c r="P36" s="734"/>
      <c r="Q36" s="735"/>
      <c r="R36" s="705"/>
      <c r="S36" s="706"/>
      <c r="T36" s="706"/>
      <c r="U36" s="706"/>
    </row>
    <row r="37" spans="1:21" ht="20.100000000000001" customHeight="1" x14ac:dyDescent="0.2">
      <c r="A37" s="61"/>
      <c r="C37" s="712">
        <f>R37</f>
        <v>0</v>
      </c>
      <c r="E37" s="47"/>
      <c r="G37" s="46"/>
      <c r="I37" s="46"/>
      <c r="K37" s="378"/>
      <c r="L37" s="716"/>
      <c r="M37" s="730"/>
      <c r="N37" s="714"/>
      <c r="O37" s="734">
        <f ca="1">IT!E3</f>
        <v>0</v>
      </c>
      <c r="P37" s="734"/>
      <c r="Q37" s="735">
        <f ca="1">IT!E5</f>
        <v>0</v>
      </c>
      <c r="R37" s="705">
        <f>CountColorIf($I$59,E37:K37)</f>
        <v>0</v>
      </c>
      <c r="S37" s="706"/>
      <c r="T37" s="706"/>
      <c r="U37" s="706"/>
    </row>
    <row r="38" spans="1:21" ht="12.95" customHeight="1" x14ac:dyDescent="0.2">
      <c r="A38" s="61"/>
      <c r="C38" s="710"/>
      <c r="K38" s="36"/>
      <c r="L38" s="65"/>
      <c r="M38" s="731"/>
      <c r="N38" s="714"/>
      <c r="O38" s="734"/>
      <c r="P38" s="734"/>
      <c r="Q38" s="735"/>
      <c r="R38" s="705"/>
      <c r="S38" s="706"/>
      <c r="T38" s="706"/>
      <c r="U38" s="706"/>
    </row>
    <row r="39" spans="1:21" ht="20.100000000000001" customHeight="1" x14ac:dyDescent="0.2">
      <c r="A39" s="61"/>
      <c r="C39" s="712">
        <f>R39</f>
        <v>0</v>
      </c>
      <c r="E39" s="47"/>
      <c r="G39" s="46"/>
      <c r="I39" s="46"/>
      <c r="K39" s="378"/>
      <c r="L39" s="716"/>
      <c r="M39" s="730"/>
      <c r="N39" s="714"/>
      <c r="O39" s="734">
        <f ca="1">HR!E3</f>
        <v>0</v>
      </c>
      <c r="P39" s="734"/>
      <c r="Q39" s="735">
        <f ca="1">HR!E5</f>
        <v>0</v>
      </c>
      <c r="R39" s="705">
        <f>CountColorIf($I$59,E39:K39)</f>
        <v>0</v>
      </c>
      <c r="S39" s="706"/>
      <c r="T39" s="706"/>
      <c r="U39" s="706"/>
    </row>
    <row r="40" spans="1:21" ht="12.95" customHeight="1" x14ac:dyDescent="0.2">
      <c r="A40" s="61"/>
      <c r="C40" s="710"/>
      <c r="K40" s="36"/>
      <c r="L40" s="65"/>
      <c r="M40" s="731"/>
      <c r="N40" s="714"/>
      <c r="O40" s="734"/>
      <c r="P40" s="734"/>
      <c r="Q40" s="735"/>
      <c r="R40" s="705"/>
      <c r="S40" s="706"/>
      <c r="T40" s="706"/>
      <c r="U40" s="706"/>
    </row>
    <row r="41" spans="1:21" ht="20.100000000000001" customHeight="1" x14ac:dyDescent="0.2">
      <c r="A41" s="61"/>
      <c r="C41" s="712">
        <f>R41</f>
        <v>0</v>
      </c>
      <c r="E41" s="47"/>
      <c r="G41" s="46"/>
      <c r="I41" s="46"/>
      <c r="K41" s="378"/>
      <c r="L41" s="716"/>
      <c r="M41" s="730"/>
      <c r="N41" s="714"/>
      <c r="O41" s="734">
        <f ca="1">HSE!E3</f>
        <v>0</v>
      </c>
      <c r="P41" s="734"/>
      <c r="Q41" s="735">
        <f ca="1">HSE!E5</f>
        <v>0</v>
      </c>
      <c r="R41" s="705">
        <f>CountColorIf($I$59,E41:K41)</f>
        <v>0</v>
      </c>
      <c r="S41" s="706"/>
      <c r="T41" s="706"/>
      <c r="U41" s="706"/>
    </row>
    <row r="42" spans="1:21" ht="12.95" customHeight="1" x14ac:dyDescent="0.2">
      <c r="A42" s="61"/>
      <c r="C42" s="710"/>
      <c r="K42" s="36"/>
      <c r="L42" s="65"/>
      <c r="M42" s="731"/>
      <c r="N42" s="714"/>
      <c r="O42" s="737"/>
      <c r="P42" s="737"/>
      <c r="Q42" s="738"/>
      <c r="R42" s="705"/>
      <c r="S42" s="706"/>
      <c r="T42" s="706"/>
      <c r="U42" s="706"/>
    </row>
    <row r="43" spans="1:21" ht="20.100000000000001" customHeight="1" x14ac:dyDescent="0.2">
      <c r="A43" s="61"/>
      <c r="C43" s="712">
        <f>R43</f>
        <v>0</v>
      </c>
      <c r="E43" s="47"/>
      <c r="G43" s="47"/>
      <c r="I43" s="47"/>
      <c r="K43" s="47"/>
      <c r="L43" s="717"/>
      <c r="M43" s="731"/>
      <c r="N43" s="714"/>
      <c r="O43" s="734">
        <f ca="1">Compliance!E3</f>
        <v>0</v>
      </c>
      <c r="P43" s="737"/>
      <c r="Q43" s="735">
        <f ca="1">Compliance!E5</f>
        <v>0</v>
      </c>
      <c r="R43" s="705">
        <f>CountColorIf($I$59,E43:K43)</f>
        <v>0</v>
      </c>
      <c r="S43" s="706"/>
      <c r="T43" s="706"/>
      <c r="U43" s="706"/>
    </row>
    <row r="44" spans="1:21" ht="12.95" customHeight="1" thickBot="1" x14ac:dyDescent="0.25">
      <c r="A44" s="62"/>
      <c r="B44" s="59"/>
      <c r="C44" s="718"/>
      <c r="D44" s="63"/>
      <c r="E44" s="64"/>
      <c r="F44" s="64"/>
      <c r="G44" s="59"/>
      <c r="H44" s="59"/>
      <c r="I44" s="63"/>
      <c r="J44" s="63"/>
      <c r="K44" s="59"/>
      <c r="L44" s="66"/>
      <c r="M44" s="732"/>
      <c r="N44" s="719"/>
      <c r="O44" s="720"/>
      <c r="P44" s="720"/>
      <c r="Q44" s="721"/>
      <c r="R44" s="705"/>
      <c r="S44" s="706"/>
      <c r="T44" s="706"/>
      <c r="U44" s="706"/>
    </row>
    <row r="45" spans="1:21" ht="11.25" hidden="1" customHeight="1" x14ac:dyDescent="0.2">
      <c r="A45" s="61"/>
      <c r="K45" s="36"/>
      <c r="L45" s="65"/>
      <c r="N45" s="91"/>
      <c r="Q45" s="65"/>
      <c r="R45" s="705"/>
      <c r="S45" s="706"/>
      <c r="T45" s="706"/>
      <c r="U45" s="706"/>
    </row>
    <row r="46" spans="1:21" ht="15.95" customHeight="1" thickBot="1" x14ac:dyDescent="0.3">
      <c r="A46" s="933" t="s">
        <v>1037</v>
      </c>
      <c r="B46" s="934"/>
      <c r="C46" s="934"/>
      <c r="D46" s="934"/>
      <c r="E46" s="935"/>
      <c r="I46" s="922" t="s">
        <v>1036</v>
      </c>
      <c r="J46" s="923"/>
      <c r="K46" s="923"/>
      <c r="L46" s="923"/>
      <c r="M46" s="923"/>
      <c r="N46" s="924"/>
      <c r="O46" s="924"/>
      <c r="P46" s="924"/>
      <c r="Q46" s="924"/>
    </row>
    <row r="47" spans="1:21" ht="15.95" customHeight="1" thickTop="1" x14ac:dyDescent="0.2">
      <c r="A47" s="61" t="s">
        <v>1035</v>
      </c>
      <c r="E47" s="78">
        <v>0</v>
      </c>
      <c r="I47" s="925"/>
      <c r="J47" s="926"/>
      <c r="K47" s="926"/>
      <c r="L47" s="926"/>
      <c r="M47" s="926"/>
      <c r="N47" s="926"/>
      <c r="O47" s="926"/>
      <c r="P47" s="926"/>
      <c r="Q47" s="927"/>
    </row>
    <row r="48" spans="1:21" ht="15.95" customHeight="1" x14ac:dyDescent="0.2">
      <c r="A48" s="61" t="s">
        <v>40</v>
      </c>
      <c r="E48" s="78">
        <v>1</v>
      </c>
      <c r="I48" s="925"/>
      <c r="J48" s="926"/>
      <c r="K48" s="926"/>
      <c r="L48" s="926"/>
      <c r="M48" s="926"/>
      <c r="N48" s="926"/>
      <c r="O48" s="926"/>
      <c r="P48" s="926"/>
      <c r="Q48" s="927"/>
    </row>
    <row r="49" spans="1:17" ht="15.95" customHeight="1" x14ac:dyDescent="0.2">
      <c r="A49" s="61" t="s">
        <v>41</v>
      </c>
      <c r="E49" s="78">
        <v>2</v>
      </c>
      <c r="I49" s="925"/>
      <c r="J49" s="926"/>
      <c r="K49" s="926"/>
      <c r="L49" s="926"/>
      <c r="M49" s="926"/>
      <c r="N49" s="926"/>
      <c r="O49" s="926"/>
      <c r="P49" s="926"/>
      <c r="Q49" s="927"/>
    </row>
    <row r="50" spans="1:17" ht="15.95" customHeight="1" x14ac:dyDescent="0.2">
      <c r="A50" s="61" t="s">
        <v>42</v>
      </c>
      <c r="E50" s="78">
        <v>3</v>
      </c>
      <c r="I50" s="925"/>
      <c r="J50" s="926"/>
      <c r="K50" s="926"/>
      <c r="L50" s="926"/>
      <c r="M50" s="926"/>
      <c r="N50" s="926"/>
      <c r="O50" s="926"/>
      <c r="P50" s="926"/>
      <c r="Q50" s="927"/>
    </row>
    <row r="51" spans="1:17" ht="15.95" customHeight="1" thickBot="1" x14ac:dyDescent="0.25">
      <c r="A51" s="62" t="s">
        <v>43</v>
      </c>
      <c r="B51" s="59"/>
      <c r="C51" s="63"/>
      <c r="D51" s="63"/>
      <c r="E51" s="79">
        <v>4</v>
      </c>
      <c r="I51" s="928"/>
      <c r="J51" s="929"/>
      <c r="K51" s="929"/>
      <c r="L51" s="929"/>
      <c r="M51" s="929"/>
      <c r="N51" s="929"/>
      <c r="O51" s="929"/>
      <c r="P51" s="929"/>
      <c r="Q51" s="930"/>
    </row>
    <row r="56" spans="1:17" ht="20.100000000000001" hidden="1" customHeight="1" x14ac:dyDescent="0.2">
      <c r="G56" s="707"/>
      <c r="H56" s="722"/>
      <c r="I56" s="904" t="s">
        <v>29</v>
      </c>
      <c r="J56" s="905"/>
      <c r="K56" s="906"/>
    </row>
    <row r="57" spans="1:17" ht="20.100000000000001" hidden="1" customHeight="1" x14ac:dyDescent="0.2">
      <c r="G57" s="709"/>
      <c r="H57" s="709"/>
      <c r="I57" s="907" t="s">
        <v>30</v>
      </c>
      <c r="J57" s="908"/>
      <c r="K57" s="909"/>
    </row>
    <row r="58" spans="1:17" ht="20.100000000000001" hidden="1" customHeight="1" x14ac:dyDescent="0.2">
      <c r="G58" s="708"/>
      <c r="H58" s="708"/>
      <c r="I58" s="910" t="s">
        <v>31</v>
      </c>
      <c r="J58" s="911"/>
      <c r="K58" s="912"/>
    </row>
    <row r="59" spans="1:17" ht="20.100000000000001" hidden="1" customHeight="1" x14ac:dyDescent="0.2">
      <c r="G59" s="709"/>
      <c r="H59" s="709"/>
      <c r="I59" s="913" t="s">
        <v>32</v>
      </c>
      <c r="J59" s="914"/>
      <c r="K59" s="915"/>
    </row>
  </sheetData>
  <sheetProtection algorithmName="SHA-512" hashValue="dHl0ibUS7cxsar9qyRlMXCP0IXtq6NrhI9xugyZNJjJ1g1Cpk0d6D1kL7RJYqjrIHPpfyGg/t57x1rgPxRbYAQ==" saltValue="3/Pig6Zfe4ylaVN3GvSmpw==" spinCount="100000" sheet="1" insertRows="0" deleteRows="0" sort="0" autoFilter="0"/>
  <mergeCells count="11">
    <mergeCell ref="A6:Q6"/>
    <mergeCell ref="I56:K56"/>
    <mergeCell ref="I57:K57"/>
    <mergeCell ref="I58:K58"/>
    <mergeCell ref="I59:K59"/>
    <mergeCell ref="A8:L8"/>
    <mergeCell ref="A7:Q7"/>
    <mergeCell ref="I46:Q46"/>
    <mergeCell ref="I47:Q51"/>
    <mergeCell ref="N8:Q8"/>
    <mergeCell ref="A46:E46"/>
  </mergeCells>
  <conditionalFormatting sqref="T32:T1048576 T1:T12">
    <cfRule type="iconSet" priority="5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32:X1048576 X1:X12">
    <cfRule type="iconSet" priority="5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32:W1048576 W1:W12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57:G59 C47:C1048576 C1:C5 C9:C10 C32:C45 C12">
    <cfRule type="iconSet" priority="49">
      <iconSet iconSet="5Quarters">
        <cfvo type="percent" val="0"/>
        <cfvo type="num" val="1"/>
        <cfvo type="num" val="2"/>
        <cfvo type="num" val="3"/>
        <cfvo type="num" val="4"/>
      </iconSet>
    </cfRule>
  </conditionalFormatting>
  <conditionalFormatting sqref="A49:A52">
    <cfRule type="iconSet" priority="4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7:E51">
    <cfRule type="iconSet" priority="4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:I5 I42 I44:I45 I38 I36 I40 I32 I9:I10 I34 I12 I52:I1048576">
    <cfRule type="cellIs" dxfId="196" priority="46" operator="equal">
      <formula>1</formula>
    </cfRule>
  </conditionalFormatting>
  <conditionalFormatting sqref="M41">
    <cfRule type="cellIs" dxfId="195" priority="41" operator="equal">
      <formula>1</formula>
    </cfRule>
  </conditionalFormatting>
  <conditionalFormatting sqref="M33">
    <cfRule type="cellIs" dxfId="194" priority="45" operator="equal">
      <formula>1</formula>
    </cfRule>
  </conditionalFormatting>
  <conditionalFormatting sqref="M35">
    <cfRule type="cellIs" dxfId="193" priority="44" operator="equal">
      <formula>1</formula>
    </cfRule>
  </conditionalFormatting>
  <conditionalFormatting sqref="M37">
    <cfRule type="cellIs" dxfId="192" priority="43" operator="equal">
      <formula>1</formula>
    </cfRule>
  </conditionalFormatting>
  <conditionalFormatting sqref="M39">
    <cfRule type="cellIs" dxfId="191" priority="42" operator="equal">
      <formula>1</formula>
    </cfRule>
  </conditionalFormatting>
  <conditionalFormatting sqref="K43:L43">
    <cfRule type="cellIs" dxfId="190" priority="40" operator="equal">
      <formula>1</formula>
    </cfRule>
  </conditionalFormatting>
  <conditionalFormatting sqref="I30 I16 I22 I18 I24">
    <cfRule type="cellIs" dxfId="189" priority="36" operator="equal">
      <formula>1</formula>
    </cfRule>
  </conditionalFormatting>
  <conditionalFormatting sqref="G56">
    <cfRule type="cellIs" dxfId="188" priority="38" operator="equal">
      <formula>1</formula>
    </cfRule>
  </conditionalFormatting>
  <conditionalFormatting sqref="M29">
    <cfRule type="cellIs" dxfId="187" priority="31" operator="equal">
      <formula>1</formula>
    </cfRule>
  </conditionalFormatting>
  <conditionalFormatting sqref="M15">
    <cfRule type="cellIs" dxfId="186" priority="35" operator="equal">
      <formula>1</formula>
    </cfRule>
  </conditionalFormatting>
  <conditionalFormatting sqref="M17">
    <cfRule type="cellIs" dxfId="185" priority="34" operator="equal">
      <formula>1</formula>
    </cfRule>
  </conditionalFormatting>
  <conditionalFormatting sqref="M21">
    <cfRule type="cellIs" dxfId="184" priority="33" operator="equal">
      <formula>1</formula>
    </cfRule>
  </conditionalFormatting>
  <conditionalFormatting sqref="M23">
    <cfRule type="cellIs" dxfId="183" priority="32" operator="equal">
      <formula>1</formula>
    </cfRule>
  </conditionalFormatting>
  <conditionalFormatting sqref="K31:L31">
    <cfRule type="cellIs" dxfId="182" priority="30" operator="equal">
      <formula>1</formula>
    </cfRule>
  </conditionalFormatting>
  <conditionalFormatting sqref="I14">
    <cfRule type="cellIs" dxfId="181" priority="23" operator="equal">
      <formula>1</formula>
    </cfRule>
  </conditionalFormatting>
  <conditionalFormatting sqref="M13">
    <cfRule type="cellIs" dxfId="180" priority="22" operator="equal">
      <formula>1</formula>
    </cfRule>
  </conditionalFormatting>
  <conditionalFormatting sqref="I26 I28">
    <cfRule type="cellIs" dxfId="179" priority="16" operator="equal">
      <formula>1</formula>
    </cfRule>
  </conditionalFormatting>
  <conditionalFormatting sqref="K25:L25">
    <cfRule type="cellIs" dxfId="178" priority="15" operator="equal">
      <formula>1</formula>
    </cfRule>
  </conditionalFormatting>
  <conditionalFormatting sqref="K27:L27">
    <cfRule type="cellIs" dxfId="177" priority="13" operator="equal">
      <formula>1</formula>
    </cfRule>
  </conditionalFormatting>
  <conditionalFormatting sqref="C11">
    <cfRule type="iconSet" priority="10">
      <iconSet iconSet="5Quarters">
        <cfvo type="percent" val="0"/>
        <cfvo type="num" val="1"/>
        <cfvo type="num" val="2"/>
        <cfvo type="num" val="3"/>
        <cfvo type="num" val="4"/>
      </iconSet>
    </cfRule>
  </conditionalFormatting>
  <conditionalFormatting sqref="I20">
    <cfRule type="cellIs" dxfId="176" priority="6" operator="equal">
      <formula>1</formula>
    </cfRule>
  </conditionalFormatting>
  <conditionalFormatting sqref="M19">
    <cfRule type="cellIs" dxfId="175" priority="5" operator="equal">
      <formula>1</formula>
    </cfRule>
  </conditionalFormatting>
  <conditionalFormatting sqref="T13:T14">
    <cfRule type="iconSet" priority="8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3:X14">
    <cfRule type="iconSet" priority="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:W14">
    <cfRule type="iconSet" priority="8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13:C14">
    <cfRule type="iconSet" priority="85">
      <iconSet iconSet="5Quarters">
        <cfvo type="percent" val="0"/>
        <cfvo type="num" val="1"/>
        <cfvo type="num" val="2"/>
        <cfvo type="num" val="3"/>
        <cfvo type="num" val="4"/>
      </iconSet>
    </cfRule>
  </conditionalFormatting>
  <conditionalFormatting sqref="C19:C20">
    <cfRule type="iconSet" priority="126">
      <iconSet iconSet="5Quarters">
        <cfvo type="percent" val="0"/>
        <cfvo type="num" val="1"/>
        <cfvo type="num" val="2"/>
        <cfvo type="num" val="3"/>
        <cfvo type="num" val="4"/>
      </iconSet>
    </cfRule>
  </conditionalFormatting>
  <conditionalFormatting sqref="T25:T28">
    <cfRule type="iconSet" priority="18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5:X28">
    <cfRule type="iconSet" priority="18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5:W28">
    <cfRule type="iconSet" priority="18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25:C28">
    <cfRule type="iconSet" priority="187">
      <iconSet iconSet="5Quarters">
        <cfvo type="percent" val="0"/>
        <cfvo type="num" val="1"/>
        <cfvo type="num" val="2"/>
        <cfvo type="num" val="3"/>
        <cfvo type="num" val="4"/>
      </iconSet>
    </cfRule>
  </conditionalFormatting>
  <conditionalFormatting sqref="T29:T31 T15:T24">
    <cfRule type="iconSet" priority="23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29:X31 X15:X24">
    <cfRule type="iconSet" priority="23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29:W31 W15:W24">
    <cfRule type="iconSet" priority="24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29:C31 C15:C18 C21:C24">
    <cfRule type="iconSet" priority="244">
      <iconSet iconSet="5Quarters">
        <cfvo type="percent" val="0"/>
        <cfvo type="num" val="1"/>
        <cfvo type="num" val="2"/>
        <cfvo type="num" val="3"/>
        <cfvo type="num" val="4"/>
      </iconSet>
    </cfRule>
  </conditionalFormatting>
  <printOptions horizontalCentered="1" verticalCentered="1"/>
  <pageMargins left="0.5" right="0.5" top="0.25" bottom="0.75" header="0.25" footer="0.5"/>
  <pageSetup scale="65" orientation="landscape" r:id="rId1"/>
  <headerFooter alignWithMargins="0">
    <oddFooter>&amp;L&amp;K0C3964&amp;A , &amp;D
&amp;C&amp;"-,Bold Italic"&amp;14&amp;KC85532Confidential&amp;R&amp;G</oddFooter>
  </headerFooter>
  <drawing r:id="rId2"/>
  <legacy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1E0E7EBE-5896-4D2B-8682-B235FB8B689D}">
            <x14:iconSet iconSet="3Stars">
              <x14:cfvo type="percent">
                <xm:f>0</xm:f>
              </x14:cfvo>
              <x14:cfvo type="num">
                <xm:f>0.33</xm:f>
              </x14:cfvo>
              <x14:cfvo type="num">
                <xm:f>0.67</xm:f>
              </x14:cfvo>
            </x14:iconSet>
          </x14:cfRule>
          <xm:sqref>O43 O39 O35 O33 Q33 O37 Q35:Q37 Q39 Q43 O41 Q41</xm:sqref>
        </x14:conditionalFormatting>
        <x14:conditionalFormatting xmlns:xm="http://schemas.microsoft.com/office/excel/2006/main">
          <x14:cfRule type="iconSet" priority="29" id="{7E1A7E7C-BD15-46E4-A29B-E0CE799C876E}">
            <x14:iconSet iconSet="3Stars">
              <x14:cfvo type="percent">
                <xm:f>0</xm:f>
              </x14:cfvo>
              <x14:cfvo type="num">
                <xm:f>0.33</xm:f>
              </x14:cfvo>
              <x14:cfvo type="num">
                <xm:f>0.67</xm:f>
              </x14:cfvo>
            </x14:iconSet>
          </x14:cfRule>
          <xm:sqref>O31 O29 O23 O21 Q17:Q18 O15 Q15 Q21 Q23 Q29 Q31 O17</xm:sqref>
        </x14:conditionalFormatting>
        <x14:conditionalFormatting xmlns:xm="http://schemas.microsoft.com/office/excel/2006/main">
          <x14:cfRule type="iconSet" priority="21" id="{7F5ED278-5637-4B9E-A0DD-0D898A17220D}">
            <x14:iconSet iconSet="3Stars">
              <x14:cfvo type="percent">
                <xm:f>0</xm:f>
              </x14:cfvo>
              <x14:cfvo type="num">
                <xm:f>0.33</xm:f>
              </x14:cfvo>
              <x14:cfvo type="num">
                <xm:f>0.67</xm:f>
              </x14:cfvo>
            </x14:iconSet>
          </x14:cfRule>
          <xm:sqref>O13 Q13</xm:sqref>
        </x14:conditionalFormatting>
        <x14:conditionalFormatting xmlns:xm="http://schemas.microsoft.com/office/excel/2006/main">
          <x14:cfRule type="iconSet" priority="14" id="{3D4601C6-938D-4B2E-BD92-F37DBFFC3C47}">
            <x14:iconSet iconSet="3Stars">
              <x14:cfvo type="percent">
                <xm:f>0</xm:f>
              </x14:cfvo>
              <x14:cfvo type="num">
                <xm:f>0.33</xm:f>
              </x14:cfvo>
              <x14:cfvo type="num">
                <xm:f>0.67</xm:f>
              </x14:cfvo>
            </x14:iconSet>
          </x14:cfRule>
          <xm:sqref>O25 Q25</xm:sqref>
        </x14:conditionalFormatting>
        <x14:conditionalFormatting xmlns:xm="http://schemas.microsoft.com/office/excel/2006/main">
          <x14:cfRule type="iconSet" priority="12" id="{EF8C1927-39DE-4363-8703-4FE6E79CF058}">
            <x14:iconSet iconSet="3Stars">
              <x14:cfvo type="percent">
                <xm:f>0</xm:f>
              </x14:cfvo>
              <x14:cfvo type="num">
                <xm:f>0.33</xm:f>
              </x14:cfvo>
              <x14:cfvo type="num">
                <xm:f>0.67</xm:f>
              </x14:cfvo>
            </x14:iconSet>
          </x14:cfRule>
          <xm:sqref>Q27</xm:sqref>
        </x14:conditionalFormatting>
        <x14:conditionalFormatting xmlns:xm="http://schemas.microsoft.com/office/excel/2006/main">
          <x14:cfRule type="iconSet" priority="11" id="{230F3313-5372-4780-ACAC-F76A61EC27AE}">
            <x14:iconSet iconSet="3Stars">
              <x14:cfvo type="percent">
                <xm:f>0</xm:f>
              </x14:cfvo>
              <x14:cfvo type="num">
                <xm:f>0.33</xm:f>
              </x14:cfvo>
              <x14:cfvo type="num">
                <xm:f>0.67</xm:f>
              </x14:cfvo>
            </x14:iconSet>
          </x14:cfRule>
          <xm:sqref>O27</xm:sqref>
        </x14:conditionalFormatting>
        <x14:conditionalFormatting xmlns:xm="http://schemas.microsoft.com/office/excel/2006/main">
          <x14:cfRule type="iconSet" priority="9" id="{30A0D938-1F9A-47A5-BEB3-0EEC47D3149E}">
            <x14:iconSet iconSet="3Stars">
              <x14:cfvo type="percent">
                <xm:f>0</xm:f>
              </x14:cfvo>
              <x14:cfvo type="num">
                <xm:f>0.33</xm:f>
              </x14:cfvo>
              <x14:cfvo type="num">
                <xm:f>0.67</xm:f>
              </x14:cfvo>
            </x14:iconSet>
          </x14:cfRule>
          <xm:sqref>O11</xm:sqref>
        </x14:conditionalFormatting>
        <x14:conditionalFormatting xmlns:xm="http://schemas.microsoft.com/office/excel/2006/main">
          <x14:cfRule type="iconSet" priority="8" id="{FD16A144-FE07-4840-A849-E1BE74CC6C13}">
            <x14:iconSet iconSet="3Stars">
              <x14:cfvo type="percent">
                <xm:f>0</xm:f>
              </x14:cfvo>
              <x14:cfvo type="num">
                <xm:f>0.33</xm:f>
              </x14:cfvo>
              <x14:cfvo type="num">
                <xm:f>0.67</xm:f>
              </x14:cfvo>
            </x14:iconSet>
          </x14:cfRule>
          <xm:sqref>Q11</xm:sqref>
        </x14:conditionalFormatting>
        <x14:conditionalFormatting xmlns:xm="http://schemas.microsoft.com/office/excel/2006/main">
          <x14:cfRule type="iconSet" priority="4" id="{CE2AD086-8D1F-428B-9178-7A93B059AD58}">
            <x14:iconSet iconSet="3Stars">
              <x14:cfvo type="percent">
                <xm:f>0</xm:f>
              </x14:cfvo>
              <x14:cfvo type="num">
                <xm:f>0.33</xm:f>
              </x14:cfvo>
              <x14:cfvo type="num">
                <xm:f>0.67</xm:f>
              </x14:cfvo>
            </x14:iconSet>
          </x14:cfRule>
          <xm:sqref>O19 Q19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9.9978637043366805E-2"/>
    <pageSetUpPr fitToPage="1"/>
  </sheetPr>
  <dimension ref="A1:L40"/>
  <sheetViews>
    <sheetView showGridLines="0" zoomScaleNormal="100" workbookViewId="0">
      <pane xSplit="5" ySplit="7" topLeftCell="J8" activePane="bottomRight" state="frozen"/>
      <selection pane="topRight" activeCell="F1" sqref="F1"/>
      <selection pane="bottomLeft" activeCell="A8" sqref="A8"/>
      <selection pane="bottomRight" activeCell="G3" sqref="G3"/>
    </sheetView>
  </sheetViews>
  <sheetFormatPr defaultRowHeight="12.75" x14ac:dyDescent="0.2"/>
  <cols>
    <col min="1" max="1" width="3.140625" style="25" customWidth="1"/>
    <col min="2" max="2" width="28" style="25" customWidth="1"/>
    <col min="3" max="3" width="28.5703125" style="27" customWidth="1"/>
    <col min="4" max="4" width="15.7109375" style="25" customWidth="1"/>
    <col min="5" max="5" width="40.5703125" style="27" bestFit="1" customWidth="1"/>
    <col min="6" max="8" width="16.7109375" style="5" customWidth="1"/>
    <col min="9" max="9" width="16.7109375" style="699" customWidth="1"/>
    <col min="10" max="10" width="27.28515625" style="5" bestFit="1" customWidth="1"/>
    <col min="11" max="11" width="17.140625" style="5" customWidth="1"/>
    <col min="12" max="12" width="40.7109375" style="27" customWidth="1"/>
    <col min="13" max="257" width="9.140625" style="25"/>
    <col min="258" max="258" width="3.140625" style="25" customWidth="1"/>
    <col min="259" max="259" width="21.5703125" style="25" customWidth="1"/>
    <col min="260" max="260" width="17.85546875" style="25" customWidth="1"/>
    <col min="261" max="261" width="15.7109375" style="25" customWidth="1"/>
    <col min="262" max="262" width="10" style="25" customWidth="1"/>
    <col min="263" max="263" width="11" style="25" customWidth="1"/>
    <col min="264" max="264" width="8.7109375" style="25" customWidth="1"/>
    <col min="265" max="265" width="11.7109375" style="25" customWidth="1"/>
    <col min="266" max="266" width="11.140625" style="25" customWidth="1"/>
    <col min="267" max="267" width="17.140625" style="25" customWidth="1"/>
    <col min="268" max="268" width="40.7109375" style="25" customWidth="1"/>
    <col min="269" max="513" width="9.140625" style="25"/>
    <col min="514" max="514" width="3.140625" style="25" customWidth="1"/>
    <col min="515" max="515" width="21.5703125" style="25" customWidth="1"/>
    <col min="516" max="516" width="17.85546875" style="25" customWidth="1"/>
    <col min="517" max="517" width="15.7109375" style="25" customWidth="1"/>
    <col min="518" max="518" width="10" style="25" customWidth="1"/>
    <col min="519" max="519" width="11" style="25" customWidth="1"/>
    <col min="520" max="520" width="8.7109375" style="25" customWidth="1"/>
    <col min="521" max="521" width="11.7109375" style="25" customWidth="1"/>
    <col min="522" max="522" width="11.140625" style="25" customWidth="1"/>
    <col min="523" max="523" width="17.140625" style="25" customWidth="1"/>
    <col min="524" max="524" width="40.7109375" style="25" customWidth="1"/>
    <col min="525" max="769" width="9.140625" style="25"/>
    <col min="770" max="770" width="3.140625" style="25" customWidth="1"/>
    <col min="771" max="771" width="21.5703125" style="25" customWidth="1"/>
    <col min="772" max="772" width="17.85546875" style="25" customWidth="1"/>
    <col min="773" max="773" width="15.7109375" style="25" customWidth="1"/>
    <col min="774" max="774" width="10" style="25" customWidth="1"/>
    <col min="775" max="775" width="11" style="25" customWidth="1"/>
    <col min="776" max="776" width="8.7109375" style="25" customWidth="1"/>
    <col min="777" max="777" width="11.7109375" style="25" customWidth="1"/>
    <col min="778" max="778" width="11.140625" style="25" customWidth="1"/>
    <col min="779" max="779" width="17.140625" style="25" customWidth="1"/>
    <col min="780" max="780" width="40.7109375" style="25" customWidth="1"/>
    <col min="781" max="1025" width="9.140625" style="25"/>
    <col min="1026" max="1026" width="3.140625" style="25" customWidth="1"/>
    <col min="1027" max="1027" width="21.5703125" style="25" customWidth="1"/>
    <col min="1028" max="1028" width="17.85546875" style="25" customWidth="1"/>
    <col min="1029" max="1029" width="15.7109375" style="25" customWidth="1"/>
    <col min="1030" max="1030" width="10" style="25" customWidth="1"/>
    <col min="1031" max="1031" width="11" style="25" customWidth="1"/>
    <col min="1032" max="1032" width="8.7109375" style="25" customWidth="1"/>
    <col min="1033" max="1033" width="11.7109375" style="25" customWidth="1"/>
    <col min="1034" max="1034" width="11.140625" style="25" customWidth="1"/>
    <col min="1035" max="1035" width="17.140625" style="25" customWidth="1"/>
    <col min="1036" max="1036" width="40.7109375" style="25" customWidth="1"/>
    <col min="1037" max="1281" width="9.140625" style="25"/>
    <col min="1282" max="1282" width="3.140625" style="25" customWidth="1"/>
    <col min="1283" max="1283" width="21.5703125" style="25" customWidth="1"/>
    <col min="1284" max="1284" width="17.85546875" style="25" customWidth="1"/>
    <col min="1285" max="1285" width="15.7109375" style="25" customWidth="1"/>
    <col min="1286" max="1286" width="10" style="25" customWidth="1"/>
    <col min="1287" max="1287" width="11" style="25" customWidth="1"/>
    <col min="1288" max="1288" width="8.7109375" style="25" customWidth="1"/>
    <col min="1289" max="1289" width="11.7109375" style="25" customWidth="1"/>
    <col min="1290" max="1290" width="11.140625" style="25" customWidth="1"/>
    <col min="1291" max="1291" width="17.140625" style="25" customWidth="1"/>
    <col min="1292" max="1292" width="40.7109375" style="25" customWidth="1"/>
    <col min="1293" max="1537" width="9.140625" style="25"/>
    <col min="1538" max="1538" width="3.140625" style="25" customWidth="1"/>
    <col min="1539" max="1539" width="21.5703125" style="25" customWidth="1"/>
    <col min="1540" max="1540" width="17.85546875" style="25" customWidth="1"/>
    <col min="1541" max="1541" width="15.7109375" style="25" customWidth="1"/>
    <col min="1542" max="1542" width="10" style="25" customWidth="1"/>
    <col min="1543" max="1543" width="11" style="25" customWidth="1"/>
    <col min="1544" max="1544" width="8.7109375" style="25" customWidth="1"/>
    <col min="1545" max="1545" width="11.7109375" style="25" customWidth="1"/>
    <col min="1546" max="1546" width="11.140625" style="25" customWidth="1"/>
    <col min="1547" max="1547" width="17.140625" style="25" customWidth="1"/>
    <col min="1548" max="1548" width="40.7109375" style="25" customWidth="1"/>
    <col min="1549" max="1793" width="9.140625" style="25"/>
    <col min="1794" max="1794" width="3.140625" style="25" customWidth="1"/>
    <col min="1795" max="1795" width="21.5703125" style="25" customWidth="1"/>
    <col min="1796" max="1796" width="17.85546875" style="25" customWidth="1"/>
    <col min="1797" max="1797" width="15.7109375" style="25" customWidth="1"/>
    <col min="1798" max="1798" width="10" style="25" customWidth="1"/>
    <col min="1799" max="1799" width="11" style="25" customWidth="1"/>
    <col min="1800" max="1800" width="8.7109375" style="25" customWidth="1"/>
    <col min="1801" max="1801" width="11.7109375" style="25" customWidth="1"/>
    <col min="1802" max="1802" width="11.140625" style="25" customWidth="1"/>
    <col min="1803" max="1803" width="17.140625" style="25" customWidth="1"/>
    <col min="1804" max="1804" width="40.7109375" style="25" customWidth="1"/>
    <col min="1805" max="2049" width="9.140625" style="25"/>
    <col min="2050" max="2050" width="3.140625" style="25" customWidth="1"/>
    <col min="2051" max="2051" width="21.5703125" style="25" customWidth="1"/>
    <col min="2052" max="2052" width="17.85546875" style="25" customWidth="1"/>
    <col min="2053" max="2053" width="15.7109375" style="25" customWidth="1"/>
    <col min="2054" max="2054" width="10" style="25" customWidth="1"/>
    <col min="2055" max="2055" width="11" style="25" customWidth="1"/>
    <col min="2056" max="2056" width="8.7109375" style="25" customWidth="1"/>
    <col min="2057" max="2057" width="11.7109375" style="25" customWidth="1"/>
    <col min="2058" max="2058" width="11.140625" style="25" customWidth="1"/>
    <col min="2059" max="2059" width="17.140625" style="25" customWidth="1"/>
    <col min="2060" max="2060" width="40.7109375" style="25" customWidth="1"/>
    <col min="2061" max="2305" width="9.140625" style="25"/>
    <col min="2306" max="2306" width="3.140625" style="25" customWidth="1"/>
    <col min="2307" max="2307" width="21.5703125" style="25" customWidth="1"/>
    <col min="2308" max="2308" width="17.85546875" style="25" customWidth="1"/>
    <col min="2309" max="2309" width="15.7109375" style="25" customWidth="1"/>
    <col min="2310" max="2310" width="10" style="25" customWidth="1"/>
    <col min="2311" max="2311" width="11" style="25" customWidth="1"/>
    <col min="2312" max="2312" width="8.7109375" style="25" customWidth="1"/>
    <col min="2313" max="2313" width="11.7109375" style="25" customWidth="1"/>
    <col min="2314" max="2314" width="11.140625" style="25" customWidth="1"/>
    <col min="2315" max="2315" width="17.140625" style="25" customWidth="1"/>
    <col min="2316" max="2316" width="40.7109375" style="25" customWidth="1"/>
    <col min="2317" max="2561" width="9.140625" style="25"/>
    <col min="2562" max="2562" width="3.140625" style="25" customWidth="1"/>
    <col min="2563" max="2563" width="21.5703125" style="25" customWidth="1"/>
    <col min="2564" max="2564" width="17.85546875" style="25" customWidth="1"/>
    <col min="2565" max="2565" width="15.7109375" style="25" customWidth="1"/>
    <col min="2566" max="2566" width="10" style="25" customWidth="1"/>
    <col min="2567" max="2567" width="11" style="25" customWidth="1"/>
    <col min="2568" max="2568" width="8.7109375" style="25" customWidth="1"/>
    <col min="2569" max="2569" width="11.7109375" style="25" customWidth="1"/>
    <col min="2570" max="2570" width="11.140625" style="25" customWidth="1"/>
    <col min="2571" max="2571" width="17.140625" style="25" customWidth="1"/>
    <col min="2572" max="2572" width="40.7109375" style="25" customWidth="1"/>
    <col min="2573" max="2817" width="9.140625" style="25"/>
    <col min="2818" max="2818" width="3.140625" style="25" customWidth="1"/>
    <col min="2819" max="2819" width="21.5703125" style="25" customWidth="1"/>
    <col min="2820" max="2820" width="17.85546875" style="25" customWidth="1"/>
    <col min="2821" max="2821" width="15.7109375" style="25" customWidth="1"/>
    <col min="2822" max="2822" width="10" style="25" customWidth="1"/>
    <col min="2823" max="2823" width="11" style="25" customWidth="1"/>
    <col min="2824" max="2824" width="8.7109375" style="25" customWidth="1"/>
    <col min="2825" max="2825" width="11.7109375" style="25" customWidth="1"/>
    <col min="2826" max="2826" width="11.140625" style="25" customWidth="1"/>
    <col min="2827" max="2827" width="17.140625" style="25" customWidth="1"/>
    <col min="2828" max="2828" width="40.7109375" style="25" customWidth="1"/>
    <col min="2829" max="3073" width="9.140625" style="25"/>
    <col min="3074" max="3074" width="3.140625" style="25" customWidth="1"/>
    <col min="3075" max="3075" width="21.5703125" style="25" customWidth="1"/>
    <col min="3076" max="3076" width="17.85546875" style="25" customWidth="1"/>
    <col min="3077" max="3077" width="15.7109375" style="25" customWidth="1"/>
    <col min="3078" max="3078" width="10" style="25" customWidth="1"/>
    <col min="3079" max="3079" width="11" style="25" customWidth="1"/>
    <col min="3080" max="3080" width="8.7109375" style="25" customWidth="1"/>
    <col min="3081" max="3081" width="11.7109375" style="25" customWidth="1"/>
    <col min="3082" max="3082" width="11.140625" style="25" customWidth="1"/>
    <col min="3083" max="3083" width="17.140625" style="25" customWidth="1"/>
    <col min="3084" max="3084" width="40.7109375" style="25" customWidth="1"/>
    <col min="3085" max="3329" width="9.140625" style="25"/>
    <col min="3330" max="3330" width="3.140625" style="25" customWidth="1"/>
    <col min="3331" max="3331" width="21.5703125" style="25" customWidth="1"/>
    <col min="3332" max="3332" width="17.85546875" style="25" customWidth="1"/>
    <col min="3333" max="3333" width="15.7109375" style="25" customWidth="1"/>
    <col min="3334" max="3334" width="10" style="25" customWidth="1"/>
    <col min="3335" max="3335" width="11" style="25" customWidth="1"/>
    <col min="3336" max="3336" width="8.7109375" style="25" customWidth="1"/>
    <col min="3337" max="3337" width="11.7109375" style="25" customWidth="1"/>
    <col min="3338" max="3338" width="11.140625" style="25" customWidth="1"/>
    <col min="3339" max="3339" width="17.140625" style="25" customWidth="1"/>
    <col min="3340" max="3340" width="40.7109375" style="25" customWidth="1"/>
    <col min="3341" max="3585" width="9.140625" style="25"/>
    <col min="3586" max="3586" width="3.140625" style="25" customWidth="1"/>
    <col min="3587" max="3587" width="21.5703125" style="25" customWidth="1"/>
    <col min="3588" max="3588" width="17.85546875" style="25" customWidth="1"/>
    <col min="3589" max="3589" width="15.7109375" style="25" customWidth="1"/>
    <col min="3590" max="3590" width="10" style="25" customWidth="1"/>
    <col min="3591" max="3591" width="11" style="25" customWidth="1"/>
    <col min="3592" max="3592" width="8.7109375" style="25" customWidth="1"/>
    <col min="3593" max="3593" width="11.7109375" style="25" customWidth="1"/>
    <col min="3594" max="3594" width="11.140625" style="25" customWidth="1"/>
    <col min="3595" max="3595" width="17.140625" style="25" customWidth="1"/>
    <col min="3596" max="3596" width="40.7109375" style="25" customWidth="1"/>
    <col min="3597" max="3841" width="9.140625" style="25"/>
    <col min="3842" max="3842" width="3.140625" style="25" customWidth="1"/>
    <col min="3843" max="3843" width="21.5703125" style="25" customWidth="1"/>
    <col min="3844" max="3844" width="17.85546875" style="25" customWidth="1"/>
    <col min="3845" max="3845" width="15.7109375" style="25" customWidth="1"/>
    <col min="3846" max="3846" width="10" style="25" customWidth="1"/>
    <col min="3847" max="3847" width="11" style="25" customWidth="1"/>
    <col min="3848" max="3848" width="8.7109375" style="25" customWidth="1"/>
    <col min="3849" max="3849" width="11.7109375" style="25" customWidth="1"/>
    <col min="3850" max="3850" width="11.140625" style="25" customWidth="1"/>
    <col min="3851" max="3851" width="17.140625" style="25" customWidth="1"/>
    <col min="3852" max="3852" width="40.7109375" style="25" customWidth="1"/>
    <col min="3853" max="4097" width="9.140625" style="25"/>
    <col min="4098" max="4098" width="3.140625" style="25" customWidth="1"/>
    <col min="4099" max="4099" width="21.5703125" style="25" customWidth="1"/>
    <col min="4100" max="4100" width="17.85546875" style="25" customWidth="1"/>
    <col min="4101" max="4101" width="15.7109375" style="25" customWidth="1"/>
    <col min="4102" max="4102" width="10" style="25" customWidth="1"/>
    <col min="4103" max="4103" width="11" style="25" customWidth="1"/>
    <col min="4104" max="4104" width="8.7109375" style="25" customWidth="1"/>
    <col min="4105" max="4105" width="11.7109375" style="25" customWidth="1"/>
    <col min="4106" max="4106" width="11.140625" style="25" customWidth="1"/>
    <col min="4107" max="4107" width="17.140625" style="25" customWidth="1"/>
    <col min="4108" max="4108" width="40.7109375" style="25" customWidth="1"/>
    <col min="4109" max="4353" width="9.140625" style="25"/>
    <col min="4354" max="4354" width="3.140625" style="25" customWidth="1"/>
    <col min="4355" max="4355" width="21.5703125" style="25" customWidth="1"/>
    <col min="4356" max="4356" width="17.85546875" style="25" customWidth="1"/>
    <col min="4357" max="4357" width="15.7109375" style="25" customWidth="1"/>
    <col min="4358" max="4358" width="10" style="25" customWidth="1"/>
    <col min="4359" max="4359" width="11" style="25" customWidth="1"/>
    <col min="4360" max="4360" width="8.7109375" style="25" customWidth="1"/>
    <col min="4361" max="4361" width="11.7109375" style="25" customWidth="1"/>
    <col min="4362" max="4362" width="11.140625" style="25" customWidth="1"/>
    <col min="4363" max="4363" width="17.140625" style="25" customWidth="1"/>
    <col min="4364" max="4364" width="40.7109375" style="25" customWidth="1"/>
    <col min="4365" max="4609" width="9.140625" style="25"/>
    <col min="4610" max="4610" width="3.140625" style="25" customWidth="1"/>
    <col min="4611" max="4611" width="21.5703125" style="25" customWidth="1"/>
    <col min="4612" max="4612" width="17.85546875" style="25" customWidth="1"/>
    <col min="4613" max="4613" width="15.7109375" style="25" customWidth="1"/>
    <col min="4614" max="4614" width="10" style="25" customWidth="1"/>
    <col min="4615" max="4615" width="11" style="25" customWidth="1"/>
    <col min="4616" max="4616" width="8.7109375" style="25" customWidth="1"/>
    <col min="4617" max="4617" width="11.7109375" style="25" customWidth="1"/>
    <col min="4618" max="4618" width="11.140625" style="25" customWidth="1"/>
    <col min="4619" max="4619" width="17.140625" style="25" customWidth="1"/>
    <col min="4620" max="4620" width="40.7109375" style="25" customWidth="1"/>
    <col min="4621" max="4865" width="9.140625" style="25"/>
    <col min="4866" max="4866" width="3.140625" style="25" customWidth="1"/>
    <col min="4867" max="4867" width="21.5703125" style="25" customWidth="1"/>
    <col min="4868" max="4868" width="17.85546875" style="25" customWidth="1"/>
    <col min="4869" max="4869" width="15.7109375" style="25" customWidth="1"/>
    <col min="4870" max="4870" width="10" style="25" customWidth="1"/>
    <col min="4871" max="4871" width="11" style="25" customWidth="1"/>
    <col min="4872" max="4872" width="8.7109375" style="25" customWidth="1"/>
    <col min="4873" max="4873" width="11.7109375" style="25" customWidth="1"/>
    <col min="4874" max="4874" width="11.140625" style="25" customWidth="1"/>
    <col min="4875" max="4875" width="17.140625" style="25" customWidth="1"/>
    <col min="4876" max="4876" width="40.7109375" style="25" customWidth="1"/>
    <col min="4877" max="5121" width="9.140625" style="25"/>
    <col min="5122" max="5122" width="3.140625" style="25" customWidth="1"/>
    <col min="5123" max="5123" width="21.5703125" style="25" customWidth="1"/>
    <col min="5124" max="5124" width="17.85546875" style="25" customWidth="1"/>
    <col min="5125" max="5125" width="15.7109375" style="25" customWidth="1"/>
    <col min="5126" max="5126" width="10" style="25" customWidth="1"/>
    <col min="5127" max="5127" width="11" style="25" customWidth="1"/>
    <col min="5128" max="5128" width="8.7109375" style="25" customWidth="1"/>
    <col min="5129" max="5129" width="11.7109375" style="25" customWidth="1"/>
    <col min="5130" max="5130" width="11.140625" style="25" customWidth="1"/>
    <col min="5131" max="5131" width="17.140625" style="25" customWidth="1"/>
    <col min="5132" max="5132" width="40.7109375" style="25" customWidth="1"/>
    <col min="5133" max="5377" width="9.140625" style="25"/>
    <col min="5378" max="5378" width="3.140625" style="25" customWidth="1"/>
    <col min="5379" max="5379" width="21.5703125" style="25" customWidth="1"/>
    <col min="5380" max="5380" width="17.85546875" style="25" customWidth="1"/>
    <col min="5381" max="5381" width="15.7109375" style="25" customWidth="1"/>
    <col min="5382" max="5382" width="10" style="25" customWidth="1"/>
    <col min="5383" max="5383" width="11" style="25" customWidth="1"/>
    <col min="5384" max="5384" width="8.7109375" style="25" customWidth="1"/>
    <col min="5385" max="5385" width="11.7109375" style="25" customWidth="1"/>
    <col min="5386" max="5386" width="11.140625" style="25" customWidth="1"/>
    <col min="5387" max="5387" width="17.140625" style="25" customWidth="1"/>
    <col min="5388" max="5388" width="40.7109375" style="25" customWidth="1"/>
    <col min="5389" max="5633" width="9.140625" style="25"/>
    <col min="5634" max="5634" width="3.140625" style="25" customWidth="1"/>
    <col min="5635" max="5635" width="21.5703125" style="25" customWidth="1"/>
    <col min="5636" max="5636" width="17.85546875" style="25" customWidth="1"/>
    <col min="5637" max="5637" width="15.7109375" style="25" customWidth="1"/>
    <col min="5638" max="5638" width="10" style="25" customWidth="1"/>
    <col min="5639" max="5639" width="11" style="25" customWidth="1"/>
    <col min="5640" max="5640" width="8.7109375" style="25" customWidth="1"/>
    <col min="5641" max="5641" width="11.7109375" style="25" customWidth="1"/>
    <col min="5642" max="5642" width="11.140625" style="25" customWidth="1"/>
    <col min="5643" max="5643" width="17.140625" style="25" customWidth="1"/>
    <col min="5644" max="5644" width="40.7109375" style="25" customWidth="1"/>
    <col min="5645" max="5889" width="9.140625" style="25"/>
    <col min="5890" max="5890" width="3.140625" style="25" customWidth="1"/>
    <col min="5891" max="5891" width="21.5703125" style="25" customWidth="1"/>
    <col min="5892" max="5892" width="17.85546875" style="25" customWidth="1"/>
    <col min="5893" max="5893" width="15.7109375" style="25" customWidth="1"/>
    <col min="5894" max="5894" width="10" style="25" customWidth="1"/>
    <col min="5895" max="5895" width="11" style="25" customWidth="1"/>
    <col min="5896" max="5896" width="8.7109375" style="25" customWidth="1"/>
    <col min="5897" max="5897" width="11.7109375" style="25" customWidth="1"/>
    <col min="5898" max="5898" width="11.140625" style="25" customWidth="1"/>
    <col min="5899" max="5899" width="17.140625" style="25" customWidth="1"/>
    <col min="5900" max="5900" width="40.7109375" style="25" customWidth="1"/>
    <col min="5901" max="6145" width="9.140625" style="25"/>
    <col min="6146" max="6146" width="3.140625" style="25" customWidth="1"/>
    <col min="6147" max="6147" width="21.5703125" style="25" customWidth="1"/>
    <col min="6148" max="6148" width="17.85546875" style="25" customWidth="1"/>
    <col min="6149" max="6149" width="15.7109375" style="25" customWidth="1"/>
    <col min="6150" max="6150" width="10" style="25" customWidth="1"/>
    <col min="6151" max="6151" width="11" style="25" customWidth="1"/>
    <col min="6152" max="6152" width="8.7109375" style="25" customWidth="1"/>
    <col min="6153" max="6153" width="11.7109375" style="25" customWidth="1"/>
    <col min="6154" max="6154" width="11.140625" style="25" customWidth="1"/>
    <col min="6155" max="6155" width="17.140625" style="25" customWidth="1"/>
    <col min="6156" max="6156" width="40.7109375" style="25" customWidth="1"/>
    <col min="6157" max="6401" width="9.140625" style="25"/>
    <col min="6402" max="6402" width="3.140625" style="25" customWidth="1"/>
    <col min="6403" max="6403" width="21.5703125" style="25" customWidth="1"/>
    <col min="6404" max="6404" width="17.85546875" style="25" customWidth="1"/>
    <col min="6405" max="6405" width="15.7109375" style="25" customWidth="1"/>
    <col min="6406" max="6406" width="10" style="25" customWidth="1"/>
    <col min="6407" max="6407" width="11" style="25" customWidth="1"/>
    <col min="6408" max="6408" width="8.7109375" style="25" customWidth="1"/>
    <col min="6409" max="6409" width="11.7109375" style="25" customWidth="1"/>
    <col min="6410" max="6410" width="11.140625" style="25" customWidth="1"/>
    <col min="6411" max="6411" width="17.140625" style="25" customWidth="1"/>
    <col min="6412" max="6412" width="40.7109375" style="25" customWidth="1"/>
    <col min="6413" max="6657" width="9.140625" style="25"/>
    <col min="6658" max="6658" width="3.140625" style="25" customWidth="1"/>
    <col min="6659" max="6659" width="21.5703125" style="25" customWidth="1"/>
    <col min="6660" max="6660" width="17.85546875" style="25" customWidth="1"/>
    <col min="6661" max="6661" width="15.7109375" style="25" customWidth="1"/>
    <col min="6662" max="6662" width="10" style="25" customWidth="1"/>
    <col min="6663" max="6663" width="11" style="25" customWidth="1"/>
    <col min="6664" max="6664" width="8.7109375" style="25" customWidth="1"/>
    <col min="6665" max="6665" width="11.7109375" style="25" customWidth="1"/>
    <col min="6666" max="6666" width="11.140625" style="25" customWidth="1"/>
    <col min="6667" max="6667" width="17.140625" style="25" customWidth="1"/>
    <col min="6668" max="6668" width="40.7109375" style="25" customWidth="1"/>
    <col min="6669" max="6913" width="9.140625" style="25"/>
    <col min="6914" max="6914" width="3.140625" style="25" customWidth="1"/>
    <col min="6915" max="6915" width="21.5703125" style="25" customWidth="1"/>
    <col min="6916" max="6916" width="17.85546875" style="25" customWidth="1"/>
    <col min="6917" max="6917" width="15.7109375" style="25" customWidth="1"/>
    <col min="6918" max="6918" width="10" style="25" customWidth="1"/>
    <col min="6919" max="6919" width="11" style="25" customWidth="1"/>
    <col min="6920" max="6920" width="8.7109375" style="25" customWidth="1"/>
    <col min="6921" max="6921" width="11.7109375" style="25" customWidth="1"/>
    <col min="6922" max="6922" width="11.140625" style="25" customWidth="1"/>
    <col min="6923" max="6923" width="17.140625" style="25" customWidth="1"/>
    <col min="6924" max="6924" width="40.7109375" style="25" customWidth="1"/>
    <col min="6925" max="7169" width="9.140625" style="25"/>
    <col min="7170" max="7170" width="3.140625" style="25" customWidth="1"/>
    <col min="7171" max="7171" width="21.5703125" style="25" customWidth="1"/>
    <col min="7172" max="7172" width="17.85546875" style="25" customWidth="1"/>
    <col min="7173" max="7173" width="15.7109375" style="25" customWidth="1"/>
    <col min="7174" max="7174" width="10" style="25" customWidth="1"/>
    <col min="7175" max="7175" width="11" style="25" customWidth="1"/>
    <col min="7176" max="7176" width="8.7109375" style="25" customWidth="1"/>
    <col min="7177" max="7177" width="11.7109375" style="25" customWidth="1"/>
    <col min="7178" max="7178" width="11.140625" style="25" customWidth="1"/>
    <col min="7179" max="7179" width="17.140625" style="25" customWidth="1"/>
    <col min="7180" max="7180" width="40.7109375" style="25" customWidth="1"/>
    <col min="7181" max="7425" width="9.140625" style="25"/>
    <col min="7426" max="7426" width="3.140625" style="25" customWidth="1"/>
    <col min="7427" max="7427" width="21.5703125" style="25" customWidth="1"/>
    <col min="7428" max="7428" width="17.85546875" style="25" customWidth="1"/>
    <col min="7429" max="7429" width="15.7109375" style="25" customWidth="1"/>
    <col min="7430" max="7430" width="10" style="25" customWidth="1"/>
    <col min="7431" max="7431" width="11" style="25" customWidth="1"/>
    <col min="7432" max="7432" width="8.7109375" style="25" customWidth="1"/>
    <col min="7433" max="7433" width="11.7109375" style="25" customWidth="1"/>
    <col min="7434" max="7434" width="11.140625" style="25" customWidth="1"/>
    <col min="7435" max="7435" width="17.140625" style="25" customWidth="1"/>
    <col min="7436" max="7436" width="40.7109375" style="25" customWidth="1"/>
    <col min="7437" max="7681" width="9.140625" style="25"/>
    <col min="7682" max="7682" width="3.140625" style="25" customWidth="1"/>
    <col min="7683" max="7683" width="21.5703125" style="25" customWidth="1"/>
    <col min="7684" max="7684" width="17.85546875" style="25" customWidth="1"/>
    <col min="7685" max="7685" width="15.7109375" style="25" customWidth="1"/>
    <col min="7686" max="7686" width="10" style="25" customWidth="1"/>
    <col min="7687" max="7687" width="11" style="25" customWidth="1"/>
    <col min="7688" max="7688" width="8.7109375" style="25" customWidth="1"/>
    <col min="7689" max="7689" width="11.7109375" style="25" customWidth="1"/>
    <col min="7690" max="7690" width="11.140625" style="25" customWidth="1"/>
    <col min="7691" max="7691" width="17.140625" style="25" customWidth="1"/>
    <col min="7692" max="7692" width="40.7109375" style="25" customWidth="1"/>
    <col min="7693" max="7937" width="9.140625" style="25"/>
    <col min="7938" max="7938" width="3.140625" style="25" customWidth="1"/>
    <col min="7939" max="7939" width="21.5703125" style="25" customWidth="1"/>
    <col min="7940" max="7940" width="17.85546875" style="25" customWidth="1"/>
    <col min="7941" max="7941" width="15.7109375" style="25" customWidth="1"/>
    <col min="7942" max="7942" width="10" style="25" customWidth="1"/>
    <col min="7943" max="7943" width="11" style="25" customWidth="1"/>
    <col min="7944" max="7944" width="8.7109375" style="25" customWidth="1"/>
    <col min="7945" max="7945" width="11.7109375" style="25" customWidth="1"/>
    <col min="7946" max="7946" width="11.140625" style="25" customWidth="1"/>
    <col min="7947" max="7947" width="17.140625" style="25" customWidth="1"/>
    <col min="7948" max="7948" width="40.7109375" style="25" customWidth="1"/>
    <col min="7949" max="8193" width="9.140625" style="25"/>
    <col min="8194" max="8194" width="3.140625" style="25" customWidth="1"/>
    <col min="8195" max="8195" width="21.5703125" style="25" customWidth="1"/>
    <col min="8196" max="8196" width="17.85546875" style="25" customWidth="1"/>
    <col min="8197" max="8197" width="15.7109375" style="25" customWidth="1"/>
    <col min="8198" max="8198" width="10" style="25" customWidth="1"/>
    <col min="8199" max="8199" width="11" style="25" customWidth="1"/>
    <col min="8200" max="8200" width="8.7109375" style="25" customWidth="1"/>
    <col min="8201" max="8201" width="11.7109375" style="25" customWidth="1"/>
    <col min="8202" max="8202" width="11.140625" style="25" customWidth="1"/>
    <col min="8203" max="8203" width="17.140625" style="25" customWidth="1"/>
    <col min="8204" max="8204" width="40.7109375" style="25" customWidth="1"/>
    <col min="8205" max="8449" width="9.140625" style="25"/>
    <col min="8450" max="8450" width="3.140625" style="25" customWidth="1"/>
    <col min="8451" max="8451" width="21.5703125" style="25" customWidth="1"/>
    <col min="8452" max="8452" width="17.85546875" style="25" customWidth="1"/>
    <col min="8453" max="8453" width="15.7109375" style="25" customWidth="1"/>
    <col min="8454" max="8454" width="10" style="25" customWidth="1"/>
    <col min="8455" max="8455" width="11" style="25" customWidth="1"/>
    <col min="8456" max="8456" width="8.7109375" style="25" customWidth="1"/>
    <col min="8457" max="8457" width="11.7109375" style="25" customWidth="1"/>
    <col min="8458" max="8458" width="11.140625" style="25" customWidth="1"/>
    <col min="8459" max="8459" width="17.140625" style="25" customWidth="1"/>
    <col min="8460" max="8460" width="40.7109375" style="25" customWidth="1"/>
    <col min="8461" max="8705" width="9.140625" style="25"/>
    <col min="8706" max="8706" width="3.140625" style="25" customWidth="1"/>
    <col min="8707" max="8707" width="21.5703125" style="25" customWidth="1"/>
    <col min="8708" max="8708" width="17.85546875" style="25" customWidth="1"/>
    <col min="8709" max="8709" width="15.7109375" style="25" customWidth="1"/>
    <col min="8710" max="8710" width="10" style="25" customWidth="1"/>
    <col min="8711" max="8711" width="11" style="25" customWidth="1"/>
    <col min="8712" max="8712" width="8.7109375" style="25" customWidth="1"/>
    <col min="8713" max="8713" width="11.7109375" style="25" customWidth="1"/>
    <col min="8714" max="8714" width="11.140625" style="25" customWidth="1"/>
    <col min="8715" max="8715" width="17.140625" style="25" customWidth="1"/>
    <col min="8716" max="8716" width="40.7109375" style="25" customWidth="1"/>
    <col min="8717" max="8961" width="9.140625" style="25"/>
    <col min="8962" max="8962" width="3.140625" style="25" customWidth="1"/>
    <col min="8963" max="8963" width="21.5703125" style="25" customWidth="1"/>
    <col min="8964" max="8964" width="17.85546875" style="25" customWidth="1"/>
    <col min="8965" max="8965" width="15.7109375" style="25" customWidth="1"/>
    <col min="8966" max="8966" width="10" style="25" customWidth="1"/>
    <col min="8967" max="8967" width="11" style="25" customWidth="1"/>
    <col min="8968" max="8968" width="8.7109375" style="25" customWidth="1"/>
    <col min="8969" max="8969" width="11.7109375" style="25" customWidth="1"/>
    <col min="8970" max="8970" width="11.140625" style="25" customWidth="1"/>
    <col min="8971" max="8971" width="17.140625" style="25" customWidth="1"/>
    <col min="8972" max="8972" width="40.7109375" style="25" customWidth="1"/>
    <col min="8973" max="9217" width="9.140625" style="25"/>
    <col min="9218" max="9218" width="3.140625" style="25" customWidth="1"/>
    <col min="9219" max="9219" width="21.5703125" style="25" customWidth="1"/>
    <col min="9220" max="9220" width="17.85546875" style="25" customWidth="1"/>
    <col min="9221" max="9221" width="15.7109375" style="25" customWidth="1"/>
    <col min="9222" max="9222" width="10" style="25" customWidth="1"/>
    <col min="9223" max="9223" width="11" style="25" customWidth="1"/>
    <col min="9224" max="9224" width="8.7109375" style="25" customWidth="1"/>
    <col min="9225" max="9225" width="11.7109375" style="25" customWidth="1"/>
    <col min="9226" max="9226" width="11.140625" style="25" customWidth="1"/>
    <col min="9227" max="9227" width="17.140625" style="25" customWidth="1"/>
    <col min="9228" max="9228" width="40.7109375" style="25" customWidth="1"/>
    <col min="9229" max="9473" width="9.140625" style="25"/>
    <col min="9474" max="9474" width="3.140625" style="25" customWidth="1"/>
    <col min="9475" max="9475" width="21.5703125" style="25" customWidth="1"/>
    <col min="9476" max="9476" width="17.85546875" style="25" customWidth="1"/>
    <col min="9477" max="9477" width="15.7109375" style="25" customWidth="1"/>
    <col min="9478" max="9478" width="10" style="25" customWidth="1"/>
    <col min="9479" max="9479" width="11" style="25" customWidth="1"/>
    <col min="9480" max="9480" width="8.7109375" style="25" customWidth="1"/>
    <col min="9481" max="9481" width="11.7109375" style="25" customWidth="1"/>
    <col min="9482" max="9482" width="11.140625" style="25" customWidth="1"/>
    <col min="9483" max="9483" width="17.140625" style="25" customWidth="1"/>
    <col min="9484" max="9484" width="40.7109375" style="25" customWidth="1"/>
    <col min="9485" max="9729" width="9.140625" style="25"/>
    <col min="9730" max="9730" width="3.140625" style="25" customWidth="1"/>
    <col min="9731" max="9731" width="21.5703125" style="25" customWidth="1"/>
    <col min="9732" max="9732" width="17.85546875" style="25" customWidth="1"/>
    <col min="9733" max="9733" width="15.7109375" style="25" customWidth="1"/>
    <col min="9734" max="9734" width="10" style="25" customWidth="1"/>
    <col min="9735" max="9735" width="11" style="25" customWidth="1"/>
    <col min="9736" max="9736" width="8.7109375" style="25" customWidth="1"/>
    <col min="9737" max="9737" width="11.7109375" style="25" customWidth="1"/>
    <col min="9738" max="9738" width="11.140625" style="25" customWidth="1"/>
    <col min="9739" max="9739" width="17.140625" style="25" customWidth="1"/>
    <col min="9740" max="9740" width="40.7109375" style="25" customWidth="1"/>
    <col min="9741" max="9985" width="9.140625" style="25"/>
    <col min="9986" max="9986" width="3.140625" style="25" customWidth="1"/>
    <col min="9987" max="9987" width="21.5703125" style="25" customWidth="1"/>
    <col min="9988" max="9988" width="17.85546875" style="25" customWidth="1"/>
    <col min="9989" max="9989" width="15.7109375" style="25" customWidth="1"/>
    <col min="9990" max="9990" width="10" style="25" customWidth="1"/>
    <col min="9991" max="9991" width="11" style="25" customWidth="1"/>
    <col min="9992" max="9992" width="8.7109375" style="25" customWidth="1"/>
    <col min="9993" max="9993" width="11.7109375" style="25" customWidth="1"/>
    <col min="9994" max="9994" width="11.140625" style="25" customWidth="1"/>
    <col min="9995" max="9995" width="17.140625" style="25" customWidth="1"/>
    <col min="9996" max="9996" width="40.7109375" style="25" customWidth="1"/>
    <col min="9997" max="10241" width="9.140625" style="25"/>
    <col min="10242" max="10242" width="3.140625" style="25" customWidth="1"/>
    <col min="10243" max="10243" width="21.5703125" style="25" customWidth="1"/>
    <col min="10244" max="10244" width="17.85546875" style="25" customWidth="1"/>
    <col min="10245" max="10245" width="15.7109375" style="25" customWidth="1"/>
    <col min="10246" max="10246" width="10" style="25" customWidth="1"/>
    <col min="10247" max="10247" width="11" style="25" customWidth="1"/>
    <col min="10248" max="10248" width="8.7109375" style="25" customWidth="1"/>
    <col min="10249" max="10249" width="11.7109375" style="25" customWidth="1"/>
    <col min="10250" max="10250" width="11.140625" style="25" customWidth="1"/>
    <col min="10251" max="10251" width="17.140625" style="25" customWidth="1"/>
    <col min="10252" max="10252" width="40.7109375" style="25" customWidth="1"/>
    <col min="10253" max="10497" width="9.140625" style="25"/>
    <col min="10498" max="10498" width="3.140625" style="25" customWidth="1"/>
    <col min="10499" max="10499" width="21.5703125" style="25" customWidth="1"/>
    <col min="10500" max="10500" width="17.85546875" style="25" customWidth="1"/>
    <col min="10501" max="10501" width="15.7109375" style="25" customWidth="1"/>
    <col min="10502" max="10502" width="10" style="25" customWidth="1"/>
    <col min="10503" max="10503" width="11" style="25" customWidth="1"/>
    <col min="10504" max="10504" width="8.7109375" style="25" customWidth="1"/>
    <col min="10505" max="10505" width="11.7109375" style="25" customWidth="1"/>
    <col min="10506" max="10506" width="11.140625" style="25" customWidth="1"/>
    <col min="10507" max="10507" width="17.140625" style="25" customWidth="1"/>
    <col min="10508" max="10508" width="40.7109375" style="25" customWidth="1"/>
    <col min="10509" max="10753" width="9.140625" style="25"/>
    <col min="10754" max="10754" width="3.140625" style="25" customWidth="1"/>
    <col min="10755" max="10755" width="21.5703125" style="25" customWidth="1"/>
    <col min="10756" max="10756" width="17.85546875" style="25" customWidth="1"/>
    <col min="10757" max="10757" width="15.7109375" style="25" customWidth="1"/>
    <col min="10758" max="10758" width="10" style="25" customWidth="1"/>
    <col min="10759" max="10759" width="11" style="25" customWidth="1"/>
    <col min="10760" max="10760" width="8.7109375" style="25" customWidth="1"/>
    <col min="10761" max="10761" width="11.7109375" style="25" customWidth="1"/>
    <col min="10762" max="10762" width="11.140625" style="25" customWidth="1"/>
    <col min="10763" max="10763" width="17.140625" style="25" customWidth="1"/>
    <col min="10764" max="10764" width="40.7109375" style="25" customWidth="1"/>
    <col min="10765" max="11009" width="9.140625" style="25"/>
    <col min="11010" max="11010" width="3.140625" style="25" customWidth="1"/>
    <col min="11011" max="11011" width="21.5703125" style="25" customWidth="1"/>
    <col min="11012" max="11012" width="17.85546875" style="25" customWidth="1"/>
    <col min="11013" max="11013" width="15.7109375" style="25" customWidth="1"/>
    <col min="11014" max="11014" width="10" style="25" customWidth="1"/>
    <col min="11015" max="11015" width="11" style="25" customWidth="1"/>
    <col min="11016" max="11016" width="8.7109375" style="25" customWidth="1"/>
    <col min="11017" max="11017" width="11.7109375" style="25" customWidth="1"/>
    <col min="11018" max="11018" width="11.140625" style="25" customWidth="1"/>
    <col min="11019" max="11019" width="17.140625" style="25" customWidth="1"/>
    <col min="11020" max="11020" width="40.7109375" style="25" customWidth="1"/>
    <col min="11021" max="11265" width="9.140625" style="25"/>
    <col min="11266" max="11266" width="3.140625" style="25" customWidth="1"/>
    <col min="11267" max="11267" width="21.5703125" style="25" customWidth="1"/>
    <col min="11268" max="11268" width="17.85546875" style="25" customWidth="1"/>
    <col min="11269" max="11269" width="15.7109375" style="25" customWidth="1"/>
    <col min="11270" max="11270" width="10" style="25" customWidth="1"/>
    <col min="11271" max="11271" width="11" style="25" customWidth="1"/>
    <col min="11272" max="11272" width="8.7109375" style="25" customWidth="1"/>
    <col min="11273" max="11273" width="11.7109375" style="25" customWidth="1"/>
    <col min="11274" max="11274" width="11.140625" style="25" customWidth="1"/>
    <col min="11275" max="11275" width="17.140625" style="25" customWidth="1"/>
    <col min="11276" max="11276" width="40.7109375" style="25" customWidth="1"/>
    <col min="11277" max="11521" width="9.140625" style="25"/>
    <col min="11522" max="11522" width="3.140625" style="25" customWidth="1"/>
    <col min="11523" max="11523" width="21.5703125" style="25" customWidth="1"/>
    <col min="11524" max="11524" width="17.85546875" style="25" customWidth="1"/>
    <col min="11525" max="11525" width="15.7109375" style="25" customWidth="1"/>
    <col min="11526" max="11526" width="10" style="25" customWidth="1"/>
    <col min="11527" max="11527" width="11" style="25" customWidth="1"/>
    <col min="11528" max="11528" width="8.7109375" style="25" customWidth="1"/>
    <col min="11529" max="11529" width="11.7109375" style="25" customWidth="1"/>
    <col min="11530" max="11530" width="11.140625" style="25" customWidth="1"/>
    <col min="11531" max="11531" width="17.140625" style="25" customWidth="1"/>
    <col min="11532" max="11532" width="40.7109375" style="25" customWidth="1"/>
    <col min="11533" max="11777" width="9.140625" style="25"/>
    <col min="11778" max="11778" width="3.140625" style="25" customWidth="1"/>
    <col min="11779" max="11779" width="21.5703125" style="25" customWidth="1"/>
    <col min="11780" max="11780" width="17.85546875" style="25" customWidth="1"/>
    <col min="11781" max="11781" width="15.7109375" style="25" customWidth="1"/>
    <col min="11782" max="11782" width="10" style="25" customWidth="1"/>
    <col min="11783" max="11783" width="11" style="25" customWidth="1"/>
    <col min="11784" max="11784" width="8.7109375" style="25" customWidth="1"/>
    <col min="11785" max="11785" width="11.7109375" style="25" customWidth="1"/>
    <col min="11786" max="11786" width="11.140625" style="25" customWidth="1"/>
    <col min="11787" max="11787" width="17.140625" style="25" customWidth="1"/>
    <col min="11788" max="11788" width="40.7109375" style="25" customWidth="1"/>
    <col min="11789" max="12033" width="9.140625" style="25"/>
    <col min="12034" max="12034" width="3.140625" style="25" customWidth="1"/>
    <col min="12035" max="12035" width="21.5703125" style="25" customWidth="1"/>
    <col min="12036" max="12036" width="17.85546875" style="25" customWidth="1"/>
    <col min="12037" max="12037" width="15.7109375" style="25" customWidth="1"/>
    <col min="12038" max="12038" width="10" style="25" customWidth="1"/>
    <col min="12039" max="12039" width="11" style="25" customWidth="1"/>
    <col min="12040" max="12040" width="8.7109375" style="25" customWidth="1"/>
    <col min="12041" max="12041" width="11.7109375" style="25" customWidth="1"/>
    <col min="12042" max="12042" width="11.140625" style="25" customWidth="1"/>
    <col min="12043" max="12043" width="17.140625" style="25" customWidth="1"/>
    <col min="12044" max="12044" width="40.7109375" style="25" customWidth="1"/>
    <col min="12045" max="12289" width="9.140625" style="25"/>
    <col min="12290" max="12290" width="3.140625" style="25" customWidth="1"/>
    <col min="12291" max="12291" width="21.5703125" style="25" customWidth="1"/>
    <col min="12292" max="12292" width="17.85546875" style="25" customWidth="1"/>
    <col min="12293" max="12293" width="15.7109375" style="25" customWidth="1"/>
    <col min="12294" max="12294" width="10" style="25" customWidth="1"/>
    <col min="12295" max="12295" width="11" style="25" customWidth="1"/>
    <col min="12296" max="12296" width="8.7109375" style="25" customWidth="1"/>
    <col min="12297" max="12297" width="11.7109375" style="25" customWidth="1"/>
    <col min="12298" max="12298" width="11.140625" style="25" customWidth="1"/>
    <col min="12299" max="12299" width="17.140625" style="25" customWidth="1"/>
    <col min="12300" max="12300" width="40.7109375" style="25" customWidth="1"/>
    <col min="12301" max="12545" width="9.140625" style="25"/>
    <col min="12546" max="12546" width="3.140625" style="25" customWidth="1"/>
    <col min="12547" max="12547" width="21.5703125" style="25" customWidth="1"/>
    <col min="12548" max="12548" width="17.85546875" style="25" customWidth="1"/>
    <col min="12549" max="12549" width="15.7109375" style="25" customWidth="1"/>
    <col min="12550" max="12550" width="10" style="25" customWidth="1"/>
    <col min="12551" max="12551" width="11" style="25" customWidth="1"/>
    <col min="12552" max="12552" width="8.7109375" style="25" customWidth="1"/>
    <col min="12553" max="12553" width="11.7109375" style="25" customWidth="1"/>
    <col min="12554" max="12554" width="11.140625" style="25" customWidth="1"/>
    <col min="12555" max="12555" width="17.140625" style="25" customWidth="1"/>
    <col min="12556" max="12556" width="40.7109375" style="25" customWidth="1"/>
    <col min="12557" max="12801" width="9.140625" style="25"/>
    <col min="12802" max="12802" width="3.140625" style="25" customWidth="1"/>
    <col min="12803" max="12803" width="21.5703125" style="25" customWidth="1"/>
    <col min="12804" max="12804" width="17.85546875" style="25" customWidth="1"/>
    <col min="12805" max="12805" width="15.7109375" style="25" customWidth="1"/>
    <col min="12806" max="12806" width="10" style="25" customWidth="1"/>
    <col min="12807" max="12807" width="11" style="25" customWidth="1"/>
    <col min="12808" max="12808" width="8.7109375" style="25" customWidth="1"/>
    <col min="12809" max="12809" width="11.7109375" style="25" customWidth="1"/>
    <col min="12810" max="12810" width="11.140625" style="25" customWidth="1"/>
    <col min="12811" max="12811" width="17.140625" style="25" customWidth="1"/>
    <col min="12812" max="12812" width="40.7109375" style="25" customWidth="1"/>
    <col min="12813" max="13057" width="9.140625" style="25"/>
    <col min="13058" max="13058" width="3.140625" style="25" customWidth="1"/>
    <col min="13059" max="13059" width="21.5703125" style="25" customWidth="1"/>
    <col min="13060" max="13060" width="17.85546875" style="25" customWidth="1"/>
    <col min="13061" max="13061" width="15.7109375" style="25" customWidth="1"/>
    <col min="13062" max="13062" width="10" style="25" customWidth="1"/>
    <col min="13063" max="13063" width="11" style="25" customWidth="1"/>
    <col min="13064" max="13064" width="8.7109375" style="25" customWidth="1"/>
    <col min="13065" max="13065" width="11.7109375" style="25" customWidth="1"/>
    <col min="13066" max="13066" width="11.140625" style="25" customWidth="1"/>
    <col min="13067" max="13067" width="17.140625" style="25" customWidth="1"/>
    <col min="13068" max="13068" width="40.7109375" style="25" customWidth="1"/>
    <col min="13069" max="13313" width="9.140625" style="25"/>
    <col min="13314" max="13314" width="3.140625" style="25" customWidth="1"/>
    <col min="13315" max="13315" width="21.5703125" style="25" customWidth="1"/>
    <col min="13316" max="13316" width="17.85546875" style="25" customWidth="1"/>
    <col min="13317" max="13317" width="15.7109375" style="25" customWidth="1"/>
    <col min="13318" max="13318" width="10" style="25" customWidth="1"/>
    <col min="13319" max="13319" width="11" style="25" customWidth="1"/>
    <col min="13320" max="13320" width="8.7109375" style="25" customWidth="1"/>
    <col min="13321" max="13321" width="11.7109375" style="25" customWidth="1"/>
    <col min="13322" max="13322" width="11.140625" style="25" customWidth="1"/>
    <col min="13323" max="13323" width="17.140625" style="25" customWidth="1"/>
    <col min="13324" max="13324" width="40.7109375" style="25" customWidth="1"/>
    <col min="13325" max="13569" width="9.140625" style="25"/>
    <col min="13570" max="13570" width="3.140625" style="25" customWidth="1"/>
    <col min="13571" max="13571" width="21.5703125" style="25" customWidth="1"/>
    <col min="13572" max="13572" width="17.85546875" style="25" customWidth="1"/>
    <col min="13573" max="13573" width="15.7109375" style="25" customWidth="1"/>
    <col min="13574" max="13574" width="10" style="25" customWidth="1"/>
    <col min="13575" max="13575" width="11" style="25" customWidth="1"/>
    <col min="13576" max="13576" width="8.7109375" style="25" customWidth="1"/>
    <col min="13577" max="13577" width="11.7109375" style="25" customWidth="1"/>
    <col min="13578" max="13578" width="11.140625" style="25" customWidth="1"/>
    <col min="13579" max="13579" width="17.140625" style="25" customWidth="1"/>
    <col min="13580" max="13580" width="40.7109375" style="25" customWidth="1"/>
    <col min="13581" max="13825" width="9.140625" style="25"/>
    <col min="13826" max="13826" width="3.140625" style="25" customWidth="1"/>
    <col min="13827" max="13827" width="21.5703125" style="25" customWidth="1"/>
    <col min="13828" max="13828" width="17.85546875" style="25" customWidth="1"/>
    <col min="13829" max="13829" width="15.7109375" style="25" customWidth="1"/>
    <col min="13830" max="13830" width="10" style="25" customWidth="1"/>
    <col min="13831" max="13831" width="11" style="25" customWidth="1"/>
    <col min="13832" max="13832" width="8.7109375" style="25" customWidth="1"/>
    <col min="13833" max="13833" width="11.7109375" style="25" customWidth="1"/>
    <col min="13834" max="13834" width="11.140625" style="25" customWidth="1"/>
    <col min="13835" max="13835" width="17.140625" style="25" customWidth="1"/>
    <col min="13836" max="13836" width="40.7109375" style="25" customWidth="1"/>
    <col min="13837" max="14081" width="9.140625" style="25"/>
    <col min="14082" max="14082" width="3.140625" style="25" customWidth="1"/>
    <col min="14083" max="14083" width="21.5703125" style="25" customWidth="1"/>
    <col min="14084" max="14084" width="17.85546875" style="25" customWidth="1"/>
    <col min="14085" max="14085" width="15.7109375" style="25" customWidth="1"/>
    <col min="14086" max="14086" width="10" style="25" customWidth="1"/>
    <col min="14087" max="14087" width="11" style="25" customWidth="1"/>
    <col min="14088" max="14088" width="8.7109375" style="25" customWidth="1"/>
    <col min="14089" max="14089" width="11.7109375" style="25" customWidth="1"/>
    <col min="14090" max="14090" width="11.140625" style="25" customWidth="1"/>
    <col min="14091" max="14091" width="17.140625" style="25" customWidth="1"/>
    <col min="14092" max="14092" width="40.7109375" style="25" customWidth="1"/>
    <col min="14093" max="14337" width="9.140625" style="25"/>
    <col min="14338" max="14338" width="3.140625" style="25" customWidth="1"/>
    <col min="14339" max="14339" width="21.5703125" style="25" customWidth="1"/>
    <col min="14340" max="14340" width="17.85546875" style="25" customWidth="1"/>
    <col min="14341" max="14341" width="15.7109375" style="25" customWidth="1"/>
    <col min="14342" max="14342" width="10" style="25" customWidth="1"/>
    <col min="14343" max="14343" width="11" style="25" customWidth="1"/>
    <col min="14344" max="14344" width="8.7109375" style="25" customWidth="1"/>
    <col min="14345" max="14345" width="11.7109375" style="25" customWidth="1"/>
    <col min="14346" max="14346" width="11.140625" style="25" customWidth="1"/>
    <col min="14347" max="14347" width="17.140625" style="25" customWidth="1"/>
    <col min="14348" max="14348" width="40.7109375" style="25" customWidth="1"/>
    <col min="14349" max="14593" width="9.140625" style="25"/>
    <col min="14594" max="14594" width="3.140625" style="25" customWidth="1"/>
    <col min="14595" max="14595" width="21.5703125" style="25" customWidth="1"/>
    <col min="14596" max="14596" width="17.85546875" style="25" customWidth="1"/>
    <col min="14597" max="14597" width="15.7109375" style="25" customWidth="1"/>
    <col min="14598" max="14598" width="10" style="25" customWidth="1"/>
    <col min="14599" max="14599" width="11" style="25" customWidth="1"/>
    <col min="14600" max="14600" width="8.7109375" style="25" customWidth="1"/>
    <col min="14601" max="14601" width="11.7109375" style="25" customWidth="1"/>
    <col min="14602" max="14602" width="11.140625" style="25" customWidth="1"/>
    <col min="14603" max="14603" width="17.140625" style="25" customWidth="1"/>
    <col min="14604" max="14604" width="40.7109375" style="25" customWidth="1"/>
    <col min="14605" max="14849" width="9.140625" style="25"/>
    <col min="14850" max="14850" width="3.140625" style="25" customWidth="1"/>
    <col min="14851" max="14851" width="21.5703125" style="25" customWidth="1"/>
    <col min="14852" max="14852" width="17.85546875" style="25" customWidth="1"/>
    <col min="14853" max="14853" width="15.7109375" style="25" customWidth="1"/>
    <col min="14854" max="14854" width="10" style="25" customWidth="1"/>
    <col min="14855" max="14855" width="11" style="25" customWidth="1"/>
    <col min="14856" max="14856" width="8.7109375" style="25" customWidth="1"/>
    <col min="14857" max="14857" width="11.7109375" style="25" customWidth="1"/>
    <col min="14858" max="14858" width="11.140625" style="25" customWidth="1"/>
    <col min="14859" max="14859" width="17.140625" style="25" customWidth="1"/>
    <col min="14860" max="14860" width="40.7109375" style="25" customWidth="1"/>
    <col min="14861" max="15105" width="9.140625" style="25"/>
    <col min="15106" max="15106" width="3.140625" style="25" customWidth="1"/>
    <col min="15107" max="15107" width="21.5703125" style="25" customWidth="1"/>
    <col min="15108" max="15108" width="17.85546875" style="25" customWidth="1"/>
    <col min="15109" max="15109" width="15.7109375" style="25" customWidth="1"/>
    <col min="15110" max="15110" width="10" style="25" customWidth="1"/>
    <col min="15111" max="15111" width="11" style="25" customWidth="1"/>
    <col min="15112" max="15112" width="8.7109375" style="25" customWidth="1"/>
    <col min="15113" max="15113" width="11.7109375" style="25" customWidth="1"/>
    <col min="15114" max="15114" width="11.140625" style="25" customWidth="1"/>
    <col min="15115" max="15115" width="17.140625" style="25" customWidth="1"/>
    <col min="15116" max="15116" width="40.7109375" style="25" customWidth="1"/>
    <col min="15117" max="15361" width="9.140625" style="25"/>
    <col min="15362" max="15362" width="3.140625" style="25" customWidth="1"/>
    <col min="15363" max="15363" width="21.5703125" style="25" customWidth="1"/>
    <col min="15364" max="15364" width="17.85546875" style="25" customWidth="1"/>
    <col min="15365" max="15365" width="15.7109375" style="25" customWidth="1"/>
    <col min="15366" max="15366" width="10" style="25" customWidth="1"/>
    <col min="15367" max="15367" width="11" style="25" customWidth="1"/>
    <col min="15368" max="15368" width="8.7109375" style="25" customWidth="1"/>
    <col min="15369" max="15369" width="11.7109375" style="25" customWidth="1"/>
    <col min="15370" max="15370" width="11.140625" style="25" customWidth="1"/>
    <col min="15371" max="15371" width="17.140625" style="25" customWidth="1"/>
    <col min="15372" max="15372" width="40.7109375" style="25" customWidth="1"/>
    <col min="15373" max="15617" width="9.140625" style="25"/>
    <col min="15618" max="15618" width="3.140625" style="25" customWidth="1"/>
    <col min="15619" max="15619" width="21.5703125" style="25" customWidth="1"/>
    <col min="15620" max="15620" width="17.85546875" style="25" customWidth="1"/>
    <col min="15621" max="15621" width="15.7109375" style="25" customWidth="1"/>
    <col min="15622" max="15622" width="10" style="25" customWidth="1"/>
    <col min="15623" max="15623" width="11" style="25" customWidth="1"/>
    <col min="15624" max="15624" width="8.7109375" style="25" customWidth="1"/>
    <col min="15625" max="15625" width="11.7109375" style="25" customWidth="1"/>
    <col min="15626" max="15626" width="11.140625" style="25" customWidth="1"/>
    <col min="15627" max="15627" width="17.140625" style="25" customWidth="1"/>
    <col min="15628" max="15628" width="40.7109375" style="25" customWidth="1"/>
    <col min="15629" max="15873" width="9.140625" style="25"/>
    <col min="15874" max="15874" width="3.140625" style="25" customWidth="1"/>
    <col min="15875" max="15875" width="21.5703125" style="25" customWidth="1"/>
    <col min="15876" max="15876" width="17.85546875" style="25" customWidth="1"/>
    <col min="15877" max="15877" width="15.7109375" style="25" customWidth="1"/>
    <col min="15878" max="15878" width="10" style="25" customWidth="1"/>
    <col min="15879" max="15879" width="11" style="25" customWidth="1"/>
    <col min="15880" max="15880" width="8.7109375" style="25" customWidth="1"/>
    <col min="15881" max="15881" width="11.7109375" style="25" customWidth="1"/>
    <col min="15882" max="15882" width="11.140625" style="25" customWidth="1"/>
    <col min="15883" max="15883" width="17.140625" style="25" customWidth="1"/>
    <col min="15884" max="15884" width="40.7109375" style="25" customWidth="1"/>
    <col min="15885" max="16129" width="9.140625" style="25"/>
    <col min="16130" max="16130" width="3.140625" style="25" customWidth="1"/>
    <col min="16131" max="16131" width="21.5703125" style="25" customWidth="1"/>
    <col min="16132" max="16132" width="17.85546875" style="25" customWidth="1"/>
    <col min="16133" max="16133" width="15.7109375" style="25" customWidth="1"/>
    <col min="16134" max="16134" width="10" style="25" customWidth="1"/>
    <col min="16135" max="16135" width="11" style="25" customWidth="1"/>
    <col min="16136" max="16136" width="8.7109375" style="25" customWidth="1"/>
    <col min="16137" max="16137" width="11.7109375" style="25" customWidth="1"/>
    <col min="16138" max="16138" width="11.140625" style="25" customWidth="1"/>
    <col min="16139" max="16139" width="17.140625" style="25" customWidth="1"/>
    <col min="16140" max="16140" width="40.7109375" style="25" customWidth="1"/>
    <col min="16141" max="16383" width="9.140625" style="25"/>
    <col min="16384" max="16384" width="9.140625" style="25" customWidth="1"/>
  </cols>
  <sheetData>
    <row r="1" spans="1:12" ht="50.25" customHeight="1" thickBot="1" x14ac:dyDescent="0.3">
      <c r="A1" s="1"/>
      <c r="B1" s="936" t="s">
        <v>1030</v>
      </c>
      <c r="C1" s="937"/>
      <c r="D1" s="937"/>
      <c r="E1" s="937"/>
      <c r="F1" s="937"/>
      <c r="G1" s="937"/>
      <c r="H1" s="937"/>
      <c r="I1" s="937"/>
      <c r="J1" s="937"/>
      <c r="K1" s="938"/>
      <c r="L1" s="938"/>
    </row>
    <row r="2" spans="1:12" ht="15.95" customHeight="1" thickTop="1" x14ac:dyDescent="0.2">
      <c r="B2" s="739"/>
      <c r="C2" s="740"/>
      <c r="D2" s="741"/>
      <c r="E2" s="740"/>
      <c r="F2" s="742"/>
      <c r="G2" s="742"/>
      <c r="H2" s="742"/>
      <c r="I2" s="743"/>
      <c r="J2" s="742"/>
      <c r="K2" s="939" t="s">
        <v>44</v>
      </c>
      <c r="L2" s="781" t="s">
        <v>1026</v>
      </c>
    </row>
    <row r="3" spans="1:12" ht="15.95" customHeight="1" x14ac:dyDescent="0.2">
      <c r="A3" s="2"/>
      <c r="B3" s="744"/>
      <c r="C3" s="37"/>
      <c r="D3" s="36"/>
      <c r="E3" s="37"/>
      <c r="F3" s="43"/>
      <c r="G3" s="43"/>
      <c r="H3" s="43"/>
      <c r="I3" s="697"/>
      <c r="J3" s="43"/>
      <c r="K3" s="940"/>
      <c r="L3" s="778" t="s">
        <v>1028</v>
      </c>
    </row>
    <row r="4" spans="1:12" ht="15.95" customHeight="1" x14ac:dyDescent="0.3">
      <c r="A4" s="2"/>
      <c r="B4" s="745" t="s">
        <v>45</v>
      </c>
      <c r="C4" s="942"/>
      <c r="D4" s="943"/>
      <c r="E4" s="943"/>
      <c r="F4" s="943"/>
      <c r="G4" s="43"/>
      <c r="H4" s="43"/>
      <c r="I4" s="697"/>
      <c r="J4" s="43"/>
      <c r="K4" s="940"/>
      <c r="L4" s="779" t="s">
        <v>1027</v>
      </c>
    </row>
    <row r="5" spans="1:12" ht="15.95" customHeight="1" thickBot="1" x14ac:dyDescent="0.25">
      <c r="B5" s="744"/>
      <c r="C5" s="37"/>
      <c r="D5" s="36"/>
      <c r="E5" s="37"/>
      <c r="F5" s="43"/>
      <c r="G5" s="43"/>
      <c r="H5" s="43"/>
      <c r="I5" s="697"/>
      <c r="J5" s="43"/>
      <c r="K5" s="941"/>
      <c r="L5" s="780" t="s">
        <v>46</v>
      </c>
    </row>
    <row r="6" spans="1:12" s="27" customFormat="1" ht="30" x14ac:dyDescent="0.25">
      <c r="B6" s="746" t="s">
        <v>47</v>
      </c>
      <c r="C6" s="687" t="s">
        <v>48</v>
      </c>
      <c r="D6" s="687" t="s">
        <v>49</v>
      </c>
      <c r="E6" s="687" t="s">
        <v>50</v>
      </c>
      <c r="F6" s="688" t="s">
        <v>51</v>
      </c>
      <c r="G6" s="688" t="s">
        <v>1031</v>
      </c>
      <c r="H6" s="688" t="s">
        <v>52</v>
      </c>
      <c r="I6" s="689" t="s">
        <v>53</v>
      </c>
      <c r="J6" s="688" t="s">
        <v>54</v>
      </c>
      <c r="K6" s="776" t="s">
        <v>55</v>
      </c>
      <c r="L6" s="777" t="s">
        <v>56</v>
      </c>
    </row>
    <row r="7" spans="1:12" ht="15.95" customHeight="1" x14ac:dyDescent="0.25">
      <c r="B7" s="747" t="s">
        <v>1029</v>
      </c>
      <c r="C7" s="693"/>
      <c r="D7" s="692"/>
      <c r="E7" s="693"/>
      <c r="F7" s="700" t="str">
        <f>IF(MIN(F8:F24)=0,"Date Pending",MIN(F8:F24))</f>
        <v>Date Pending</v>
      </c>
      <c r="G7" s="701" t="str">
        <f>IF(MAX(G8:G24)=0,"Date Pending",MAX(G8:G24))</f>
        <v>Date Pending</v>
      </c>
      <c r="H7" s="702" t="str">
        <f ca="1">IF(G7="Date Pending","To Be Established",G7-TODAY())</f>
        <v>To Be Established</v>
      </c>
      <c r="I7" s="701">
        <f>IF(MAX(I8:I24)=0,0,MAX(I8:I24))</f>
        <v>0</v>
      </c>
      <c r="J7" s="694"/>
      <c r="K7" s="703" t="str">
        <f ca="1">IF(I7&gt;0,"COMPLETED",(IF(J7&gt;0,"ISSUE IDENTIFIED",(IF(TODAY()&gt;G7,"OVERDUE","In Progress")))))</f>
        <v>In Progress</v>
      </c>
      <c r="L7" s="748"/>
    </row>
    <row r="8" spans="1:12" ht="27" customHeight="1" x14ac:dyDescent="0.2">
      <c r="B8" s="773" t="s">
        <v>58</v>
      </c>
      <c r="C8" s="749"/>
      <c r="D8" s="750"/>
      <c r="E8" s="749"/>
      <c r="F8" s="751" t="str">
        <f>IF(MIN('Day 0 Compliance'!D$9:D$150)=0,"Date Pending",MIN('Day 0 Compliance'!D$9:D$150))</f>
        <v>Date Pending</v>
      </c>
      <c r="G8" s="751" t="str">
        <f>IF(MAX('Day 0 Compliance'!E$9:E$150)=0,"Date Pending",MAX('Day 0 Compliance'!E$9:E$150))</f>
        <v>Date Pending</v>
      </c>
      <c r="H8" s="752" t="str">
        <f ca="1">IF(G8="Date Pending","To Be Established",G8-TODAY())</f>
        <v>To Be Established</v>
      </c>
      <c r="I8" s="753">
        <f>IF(MAX('Day 0 Compliance'!H$9:H$150)=0,0,MAX('Day 0 Compliance'!H$9:H$150))</f>
        <v>0</v>
      </c>
      <c r="J8" s="754"/>
      <c r="K8" s="755" t="str">
        <f t="shared" ref="K8:K17" ca="1" si="0">IF(I8&gt;0,"Completed",(IF(TODAY()&gt;G8,"OVERDUE",(IF(J8&gt;0,"ISSUE IDENTIFIED","In Progress")))))</f>
        <v>In Progress</v>
      </c>
      <c r="L8" s="756"/>
    </row>
    <row r="9" spans="1:12" ht="27" customHeight="1" x14ac:dyDescent="0.2">
      <c r="B9" s="773" t="s">
        <v>59</v>
      </c>
      <c r="C9" s="749"/>
      <c r="D9" s="750"/>
      <c r="E9" s="749"/>
      <c r="F9" s="751" t="str">
        <f>IF(MIN(Transaction!D$9:D$150)=0,"Date Pending",MIN(Transaction!D$9:D$150))</f>
        <v>Date Pending</v>
      </c>
      <c r="G9" s="751" t="str">
        <f>IF(MAX(Transaction!E$9:E$150)=0,"Date Pending",MAX(Transaction!E$9:E$150))</f>
        <v>Date Pending</v>
      </c>
      <c r="H9" s="752" t="str">
        <f t="shared" ref="H9:H24" ca="1" si="1">IF(G9="Date Pending","To Be Established",G9-TODAY())</f>
        <v>To Be Established</v>
      </c>
      <c r="I9" s="753">
        <f>IF(MAX(Transaction!H$9:H$150)=0,0,MAX(Transaction!H$9:H$150))</f>
        <v>0</v>
      </c>
      <c r="J9" s="754"/>
      <c r="K9" s="755" t="str">
        <f t="shared" ca="1" si="0"/>
        <v>In Progress</v>
      </c>
      <c r="L9" s="756"/>
    </row>
    <row r="10" spans="1:12" ht="31.9" customHeight="1" x14ac:dyDescent="0.2">
      <c r="B10" s="774" t="s">
        <v>60</v>
      </c>
      <c r="C10" s="757"/>
      <c r="D10" s="758"/>
      <c r="E10" s="757"/>
      <c r="F10" s="759" t="str">
        <f>IF(MIN('Change Management'!D$9:D$150)=0,"Date Pending",MIN('Change Management'!D$9:D$150))</f>
        <v>Date Pending</v>
      </c>
      <c r="G10" s="760" t="str">
        <f>IF(MAX('Change Management'!E$9:E$150)=0,"Date Pending",MAX('Change Management'!E$9:E$150))</f>
        <v>Date Pending</v>
      </c>
      <c r="H10" s="761" t="str">
        <f t="shared" ca="1" si="1"/>
        <v>To Be Established</v>
      </c>
      <c r="I10" s="760">
        <f>IF(MAX('Change Management'!H$9:H$150)=0,0,MAX('Change Management'!H$9:H$150))</f>
        <v>0</v>
      </c>
      <c r="J10" s="762"/>
      <c r="K10" s="755" t="str">
        <f t="shared" ca="1" si="0"/>
        <v>In Progress</v>
      </c>
      <c r="L10" s="763"/>
    </row>
    <row r="11" spans="1:12" ht="31.9" customHeight="1" x14ac:dyDescent="0.2">
      <c r="B11" s="774" t="s">
        <v>61</v>
      </c>
      <c r="C11" s="757"/>
      <c r="D11" s="758"/>
      <c r="E11" s="757"/>
      <c r="F11" s="759" t="str">
        <f>IF(MIN(Communications!D$9:D$150)=0,"Date Pending",MIN(Communications!D$9:D$150))</f>
        <v>Date Pending</v>
      </c>
      <c r="G11" s="760" t="str">
        <f>IF(MAX(Communications!E$9:E$150)=0,"Date Pending",MAX(Communications!E$9:E$150))</f>
        <v>Date Pending</v>
      </c>
      <c r="H11" s="761" t="str">
        <f t="shared" ca="1" si="1"/>
        <v>To Be Established</v>
      </c>
      <c r="I11" s="760">
        <f>IF(MAX(Communications!H$9:H$150)=0,0,MAX(Communications!H$9:H$150))</f>
        <v>0</v>
      </c>
      <c r="J11" s="762"/>
      <c r="K11" s="755" t="str">
        <f t="shared" ca="1" si="0"/>
        <v>In Progress</v>
      </c>
      <c r="L11" s="763"/>
    </row>
    <row r="12" spans="1:12" ht="31.9" customHeight="1" x14ac:dyDescent="0.2">
      <c r="B12" s="774" t="s">
        <v>849</v>
      </c>
      <c r="C12" s="757"/>
      <c r="D12" s="758"/>
      <c r="E12" s="757"/>
      <c r="F12" s="759" t="str">
        <f>IF(MIN('Sales and Marketing'!D$9:D$150)=0,"Date Pending",MIN('Sales and Marketing'!D$9:D$150))</f>
        <v>Date Pending</v>
      </c>
      <c r="G12" s="760" t="str">
        <f>IF(MAX('Sales and Marketing'!E$9:E$150)=0,"Date Pending",MAX('Sales and Marketing'!E$9:E$150))</f>
        <v>Date Pending</v>
      </c>
      <c r="H12" s="761" t="str">
        <f t="shared" ca="1" si="1"/>
        <v>To Be Established</v>
      </c>
      <c r="I12" s="760">
        <f>IF(MAX('Sales and Marketing'!H$9:H$150)=0,0,MAX('Sales and Marketing'!H$9:H$150))</f>
        <v>0</v>
      </c>
      <c r="J12" s="762"/>
      <c r="K12" s="755" t="str">
        <f ca="1">IF(I12&gt;0,"Completed",(IF(TODAY()&gt;G12,"OVERDUE",(IF(J12&gt;0,"ISSUE IDENTIFIED","In Progress")))))</f>
        <v>In Progress</v>
      </c>
      <c r="L12" s="763"/>
    </row>
    <row r="13" spans="1:12" ht="31.9" customHeight="1" x14ac:dyDescent="0.2">
      <c r="B13" s="774" t="s">
        <v>62</v>
      </c>
      <c r="C13" s="757"/>
      <c r="D13" s="758"/>
      <c r="E13" s="757"/>
      <c r="F13" s="759" t="str">
        <f>IF(MIN(Marketing!D$9:D$150)=0,"Date Pending",MIN(Marketing!D$9:D$150))</f>
        <v>Date Pending</v>
      </c>
      <c r="G13" s="760" t="str">
        <f>IF(MAX(Marketing!E$9:E$150)=0,"Date Pending",MAX(Marketing!E$9:E$150))</f>
        <v>Date Pending</v>
      </c>
      <c r="H13" s="761" t="str">
        <f t="shared" ca="1" si="1"/>
        <v>To Be Established</v>
      </c>
      <c r="I13" s="760">
        <f>IF(MAX(Marketing!H$9:H$150)=0,0,MAX(Marketing!H$9:H$150))</f>
        <v>0</v>
      </c>
      <c r="J13" s="762"/>
      <c r="K13" s="755" t="str">
        <f t="shared" ca="1" si="0"/>
        <v>In Progress</v>
      </c>
      <c r="L13" s="763"/>
    </row>
    <row r="14" spans="1:12" ht="31.9" customHeight="1" x14ac:dyDescent="0.2">
      <c r="B14" s="774" t="s">
        <v>63</v>
      </c>
      <c r="C14" s="757"/>
      <c r="D14" s="758"/>
      <c r="E14" s="757"/>
      <c r="F14" s="759" t="str">
        <f>IF(MIN(Sales!D$9:D$150)=0,"Date Pending",MIN(Sales!D$9:D$150))</f>
        <v>Date Pending</v>
      </c>
      <c r="G14" s="760" t="str">
        <f>IF(MAX(Sales!E$9:E$150)=0,"Date Pending",MAX(Sales!E$9:E$150))</f>
        <v>Date Pending</v>
      </c>
      <c r="H14" s="761" t="str">
        <f t="shared" ca="1" si="1"/>
        <v>To Be Established</v>
      </c>
      <c r="I14" s="760">
        <f>IF(MAX(Sales!H$9:H$150)=0,0,MAX(Sales!H$9:H$150))</f>
        <v>0</v>
      </c>
      <c r="J14" s="762"/>
      <c r="K14" s="755" t="str">
        <f t="shared" ca="1" si="0"/>
        <v>In Progress</v>
      </c>
      <c r="L14" s="763"/>
    </row>
    <row r="15" spans="1:12" ht="31.9" customHeight="1" x14ac:dyDescent="0.2">
      <c r="B15" s="774" t="s">
        <v>64</v>
      </c>
      <c r="C15" s="757"/>
      <c r="D15" s="758"/>
      <c r="E15" s="757"/>
      <c r="F15" s="759" t="str">
        <f>IF(MIN('Supply Chain.Procurement'!D$9:D$150)=0,"Date Pending",MIN('Supply Chain.Procurement'!D$9:D$150))</f>
        <v>Date Pending</v>
      </c>
      <c r="G15" s="760" t="str">
        <f>IF(MAX('Supply Chain.Procurement'!E$9:E$150)=0,"Date Pending",MAX('Supply Chain.Procurement'!E$9:E$150))</f>
        <v>Date Pending</v>
      </c>
      <c r="H15" s="761" t="str">
        <f t="shared" ca="1" si="1"/>
        <v>To Be Established</v>
      </c>
      <c r="I15" s="760">
        <f>IF(MAX('Supply Chain.Procurement'!H$9:H$150)=0,0,MAX('Supply Chain.Procurement'!H$9:H$150))</f>
        <v>0</v>
      </c>
      <c r="J15" s="762"/>
      <c r="K15" s="755" t="str">
        <f t="shared" ca="1" si="0"/>
        <v>In Progress</v>
      </c>
      <c r="L15" s="763"/>
    </row>
    <row r="16" spans="1:12" ht="31.9" customHeight="1" x14ac:dyDescent="0.2">
      <c r="B16" s="774" t="s">
        <v>65</v>
      </c>
      <c r="C16" s="757"/>
      <c r="D16" s="758"/>
      <c r="E16" s="757"/>
      <c r="F16" s="759" t="str">
        <f>IF(MIN(Operations!D$9:D$150)=0,"Date Pending",MIN(Operations!D$9:D$150))</f>
        <v>Date Pending</v>
      </c>
      <c r="G16" s="760" t="str">
        <f>IF(MAX(Operations!E$9:E$150)=0,"Date Pending",MAX(Operations!E$9:E$150))</f>
        <v>Date Pending</v>
      </c>
      <c r="H16" s="761" t="str">
        <f t="shared" ca="1" si="1"/>
        <v>To Be Established</v>
      </c>
      <c r="I16" s="760">
        <f>IF(MAX(Operations!H$9:H$150)=0,0,MAX(Operations!H$9:H$150))</f>
        <v>0</v>
      </c>
      <c r="J16" s="762"/>
      <c r="K16" s="755" t="str">
        <f t="shared" ca="1" si="0"/>
        <v>In Progress</v>
      </c>
      <c r="L16" s="763"/>
    </row>
    <row r="17" spans="2:12" ht="31.9" customHeight="1" x14ac:dyDescent="0.2">
      <c r="B17" s="774" t="s">
        <v>66</v>
      </c>
      <c r="C17" s="757"/>
      <c r="D17" s="758"/>
      <c r="E17" s="757"/>
      <c r="F17" s="759" t="str">
        <f>IF(MIN(Finance!D$9:D$150)=0,"Date Pending",MIN(Finance!D$9:D$150))</f>
        <v>Date Pending</v>
      </c>
      <c r="G17" s="760" t="str">
        <f>IF(MAX(Finance!E$9:E$150)=0,"Date Pending",MAX(Finance!E$9:E$150))</f>
        <v>Date Pending</v>
      </c>
      <c r="H17" s="761" t="str">
        <f t="shared" ca="1" si="1"/>
        <v>To Be Established</v>
      </c>
      <c r="I17" s="760">
        <f>IF(MAX(Finance!H$9:H$150)=0,0,MAX(Finance!H$9:H$150))</f>
        <v>0</v>
      </c>
      <c r="J17" s="762"/>
      <c r="K17" s="755" t="str">
        <f t="shared" ca="1" si="0"/>
        <v>In Progress</v>
      </c>
      <c r="L17" s="763"/>
    </row>
    <row r="18" spans="2:12" ht="31.9" customHeight="1" x14ac:dyDescent="0.2">
      <c r="B18" s="774" t="s">
        <v>67</v>
      </c>
      <c r="C18" s="757"/>
      <c r="D18" s="758"/>
      <c r="E18" s="757"/>
      <c r="F18" s="759" t="str">
        <f>IF(MIN('Insurance and Property'!D$9:D$150)=0,"Date Pending",MIN('Insurance and Property'!D$9:D$150))</f>
        <v>Date Pending</v>
      </c>
      <c r="G18" s="760" t="str">
        <f>IF(MAX('Insurance and Property'!E$9:E$150)=0,"Date Pending",MAX('Insurance and Property'!E$9:E$150))</f>
        <v>Date Pending</v>
      </c>
      <c r="H18" s="761" t="str">
        <f t="shared" ca="1" si="1"/>
        <v>To Be Established</v>
      </c>
      <c r="I18" s="760">
        <f>IF(MAX('Insurance and Property'!H$9:H$150)=0,0,MAX('Insurance and Property'!H$9:H$150))</f>
        <v>0</v>
      </c>
      <c r="J18" s="762"/>
      <c r="K18" s="755" t="str">
        <f t="shared" ref="K18:K24" ca="1" si="2">IF(I18&gt;0,"Completed",(IF(TODAY()&gt;G18,"OVERDUE",(IF(J18&gt;0,"ISSUE IDENTIFIED","In Progress")))))</f>
        <v>In Progress</v>
      </c>
      <c r="L18" s="763"/>
    </row>
    <row r="19" spans="2:12" ht="31.9" customHeight="1" x14ac:dyDescent="0.2">
      <c r="B19" s="774" t="s">
        <v>68</v>
      </c>
      <c r="C19" s="757"/>
      <c r="D19" s="758"/>
      <c r="E19" s="757"/>
      <c r="F19" s="759" t="str">
        <f>IF(MIN(Legal!D$9:D$150)=0,"Date Pending",MIN(Legal!D$9:D$150))</f>
        <v>Date Pending</v>
      </c>
      <c r="G19" s="760" t="str">
        <f>IF(MAX(Legal!E$9:E$150)=0,"Date Pending",MAX(Legal!E$9:E$150))</f>
        <v>Date Pending</v>
      </c>
      <c r="H19" s="761" t="str">
        <f t="shared" ca="1" si="1"/>
        <v>To Be Established</v>
      </c>
      <c r="I19" s="760">
        <f>IF(MAX(Legal!H$9:H$150)=0,0,MAX(Legal!H$9:H$150))</f>
        <v>0</v>
      </c>
      <c r="J19" s="762"/>
      <c r="K19" s="755" t="str">
        <f t="shared" ca="1" si="2"/>
        <v>In Progress</v>
      </c>
      <c r="L19" s="763"/>
    </row>
    <row r="20" spans="2:12" ht="38.25" customHeight="1" x14ac:dyDescent="0.2">
      <c r="B20" s="774" t="s">
        <v>69</v>
      </c>
      <c r="C20" s="757"/>
      <c r="D20" s="758"/>
      <c r="E20" s="757"/>
      <c r="F20" s="759" t="str">
        <f>IF(MIN(Tax!D$9:D$150)=0,"Date Pending",MIN(Tax!D$9:D$150))</f>
        <v>Date Pending</v>
      </c>
      <c r="G20" s="760" t="str">
        <f>IF(MAX(Tax!E$9:E$150)=0,"Date Pending",MAX(Tax!E$9:E$150))</f>
        <v>Date Pending</v>
      </c>
      <c r="H20" s="761" t="str">
        <f t="shared" ca="1" si="1"/>
        <v>To Be Established</v>
      </c>
      <c r="I20" s="760">
        <f>IF(MAX(Tax!H$9:H$150)=0,0,MAX(Tax!H$9:H$150))</f>
        <v>0</v>
      </c>
      <c r="J20" s="762"/>
      <c r="K20" s="755" t="str">
        <f t="shared" ref="K20" ca="1" si="3">IF(I20&gt;0,"Completed",(IF(TODAY()&gt;G20,"OVERDUE",(IF(J20&gt;0,"ISSUE IDENTIFIED","In Progress")))))</f>
        <v>In Progress</v>
      </c>
      <c r="L20" s="763"/>
    </row>
    <row r="21" spans="2:12" ht="31.9" customHeight="1" x14ac:dyDescent="0.2">
      <c r="B21" s="774" t="s">
        <v>70</v>
      </c>
      <c r="C21" s="757"/>
      <c r="D21" s="758"/>
      <c r="E21" s="757"/>
      <c r="F21" s="759" t="str">
        <f>IF(MIN(IT!D$9:D$150)=0,"Date Pending",MIN(IT!D$9:D$150))</f>
        <v>Date Pending</v>
      </c>
      <c r="G21" s="760" t="str">
        <f>IF(MAX(IT!E$9:E$150)=0,"Date Pending",MAX(IT!E$9:E$150))</f>
        <v>Date Pending</v>
      </c>
      <c r="H21" s="761" t="str">
        <f t="shared" ca="1" si="1"/>
        <v>To Be Established</v>
      </c>
      <c r="I21" s="760">
        <f>IF(MAX(IT!H$9:H$150)=0,0,MAX(IT!H$9:H$150))</f>
        <v>0</v>
      </c>
      <c r="J21" s="762"/>
      <c r="K21" s="755" t="str">
        <f t="shared" ca="1" si="2"/>
        <v>In Progress</v>
      </c>
      <c r="L21" s="763"/>
    </row>
    <row r="22" spans="2:12" ht="31.9" customHeight="1" x14ac:dyDescent="0.2">
      <c r="B22" s="774" t="s">
        <v>71</v>
      </c>
      <c r="C22" s="757"/>
      <c r="D22" s="758"/>
      <c r="E22" s="757"/>
      <c r="F22" s="759" t="str">
        <f>IF(MIN(HR!D$9:D$150)=0,"Date Pending",MIN(HR!D$9:D$150))</f>
        <v>Date Pending</v>
      </c>
      <c r="G22" s="760" t="str">
        <f>IF(MAX(HR!E$9:E$150)=0,"Date Pending",MAX(HR!E$9:E$150))</f>
        <v>Date Pending</v>
      </c>
      <c r="H22" s="761" t="str">
        <f t="shared" ca="1" si="1"/>
        <v>To Be Established</v>
      </c>
      <c r="I22" s="760">
        <f>IF(MAX(HR!H$9:H$150)=0,0,MAX(HR!H$9:H$150))</f>
        <v>0</v>
      </c>
      <c r="J22" s="762"/>
      <c r="K22" s="764" t="str">
        <f t="shared" ca="1" si="2"/>
        <v>In Progress</v>
      </c>
      <c r="L22" s="763"/>
    </row>
    <row r="23" spans="2:12" ht="31.9" customHeight="1" x14ac:dyDescent="0.2">
      <c r="B23" s="774" t="s">
        <v>72</v>
      </c>
      <c r="C23" s="757"/>
      <c r="D23" s="758"/>
      <c r="E23" s="757"/>
      <c r="F23" s="759" t="str">
        <f>IF(MIN(HSE!D$9:D$150)=0,"Date Pending",MIN(HSE!D$9:D$150))</f>
        <v>Date Pending</v>
      </c>
      <c r="G23" s="760" t="str">
        <f>IF(MAX(HSE!E$9:E$150)=0,"Date Pending",MAX(HSE!E$9:E$150))</f>
        <v>Date Pending</v>
      </c>
      <c r="H23" s="761" t="str">
        <f t="shared" ca="1" si="1"/>
        <v>To Be Established</v>
      </c>
      <c r="I23" s="760">
        <f>IF(MAX(HSE!H$9:H$150)=0,0,MAX(HSE!H$9:H$150))</f>
        <v>0</v>
      </c>
      <c r="J23" s="762"/>
      <c r="K23" s="764" t="str">
        <f t="shared" ca="1" si="2"/>
        <v>In Progress</v>
      </c>
      <c r="L23" s="763"/>
    </row>
    <row r="24" spans="2:12" ht="31.9" customHeight="1" thickBot="1" x14ac:dyDescent="0.25">
      <c r="B24" s="775" t="s">
        <v>73</v>
      </c>
      <c r="C24" s="765"/>
      <c r="D24" s="766"/>
      <c r="E24" s="765"/>
      <c r="F24" s="767" t="str">
        <f>IF(MIN(Compliance!D$9:D$150)=0,"Date Pending",MIN(Compliance!D$9:D$150))</f>
        <v>Date Pending</v>
      </c>
      <c r="G24" s="768" t="str">
        <f>IF(MAX(Compliance!E$9:E$150)=0,"Date Pending",MAX(Compliance!E$9:E$150))</f>
        <v>Date Pending</v>
      </c>
      <c r="H24" s="769" t="str">
        <f t="shared" ca="1" si="1"/>
        <v>To Be Established</v>
      </c>
      <c r="I24" s="768">
        <f>IF(MAX(Compliance!H$9:H$150)=0,0,MAX(Compliance!H$9:H$150))</f>
        <v>0</v>
      </c>
      <c r="J24" s="770"/>
      <c r="K24" s="771" t="str">
        <f t="shared" ca="1" si="2"/>
        <v>In Progress</v>
      </c>
      <c r="L24" s="772"/>
    </row>
    <row r="25" spans="2:12" ht="12.6" customHeight="1" thickTop="1" x14ac:dyDescent="0.2">
      <c r="B25" s="3"/>
      <c r="C25" s="7"/>
      <c r="D25" s="3"/>
      <c r="E25" s="7"/>
      <c r="F25" s="133"/>
      <c r="G25" s="133"/>
      <c r="H25" s="666"/>
      <c r="I25" s="698"/>
      <c r="J25" s="4"/>
      <c r="K25" s="4"/>
      <c r="L25" s="7"/>
    </row>
    <row r="26" spans="2:12" ht="15" x14ac:dyDescent="0.25">
      <c r="B26" s="695" t="s">
        <v>74</v>
      </c>
      <c r="C26" s="695" t="s">
        <v>75</v>
      </c>
      <c r="E26" s="31"/>
    </row>
    <row r="27" spans="2:12" x14ac:dyDescent="0.2">
      <c r="B27" s="686" t="s">
        <v>76</v>
      </c>
      <c r="C27" s="690" t="s">
        <v>76</v>
      </c>
      <c r="E27" s="29"/>
      <c r="I27" s="5"/>
      <c r="J27" s="25"/>
      <c r="L27" s="25"/>
    </row>
    <row r="28" spans="2:12" x14ac:dyDescent="0.2">
      <c r="B28" s="48"/>
      <c r="C28" s="49"/>
      <c r="E28" s="30"/>
      <c r="I28" s="5"/>
      <c r="J28" s="25"/>
      <c r="L28" s="25"/>
    </row>
    <row r="29" spans="2:12" x14ac:dyDescent="0.2">
      <c r="B29" s="36"/>
      <c r="C29" s="50"/>
      <c r="E29" s="30"/>
      <c r="I29" s="5"/>
      <c r="J29" s="25"/>
      <c r="L29" s="25"/>
    </row>
    <row r="30" spans="2:12" x14ac:dyDescent="0.2">
      <c r="B30" s="36"/>
      <c r="C30" s="50"/>
      <c r="E30" s="30"/>
      <c r="I30" s="5"/>
      <c r="J30" s="25"/>
      <c r="L30" s="25"/>
    </row>
    <row r="31" spans="2:12" x14ac:dyDescent="0.2">
      <c r="B31" s="36"/>
      <c r="C31" s="51"/>
      <c r="E31" s="30"/>
      <c r="I31" s="5"/>
      <c r="J31" s="25"/>
      <c r="L31" s="25"/>
    </row>
    <row r="33" spans="2:3" ht="12" customHeight="1" x14ac:dyDescent="0.25">
      <c r="B33" s="696" t="s">
        <v>77</v>
      </c>
    </row>
    <row r="34" spans="2:3" x14ac:dyDescent="0.2">
      <c r="B34" s="691" t="s">
        <v>76</v>
      </c>
      <c r="C34" s="691" t="s">
        <v>78</v>
      </c>
    </row>
    <row r="35" spans="2:3" x14ac:dyDescent="0.2">
      <c r="B35" s="13"/>
      <c r="C35" s="28"/>
    </row>
    <row r="36" spans="2:3" x14ac:dyDescent="0.2">
      <c r="B36" s="15"/>
      <c r="C36" s="14"/>
    </row>
    <row r="37" spans="2:3" x14ac:dyDescent="0.2">
      <c r="B37" s="15"/>
      <c r="C37" s="14"/>
    </row>
    <row r="38" spans="2:3" x14ac:dyDescent="0.2">
      <c r="B38" s="15"/>
      <c r="C38" s="14"/>
    </row>
    <row r="39" spans="2:3" x14ac:dyDescent="0.2">
      <c r="B39" s="15"/>
      <c r="C39" s="14"/>
    </row>
    <row r="40" spans="2:3" x14ac:dyDescent="0.2">
      <c r="B40" s="16"/>
      <c r="C40" s="17"/>
    </row>
  </sheetData>
  <sheetProtection algorithmName="SHA-512" hashValue="8451n1OmXtzcKx/tGULpP+RdxOX4CXlKLVGyCzU63v9tpA5tZn+XIis7G3g3GP6MQmHFPLVrbDFT4VKDSVUDNQ==" saltValue="JXdze3irDG/n5Ylh6VCZVg==" spinCount="100000" sheet="1" insertRows="0" deleteRows="0" sort="0" autoFilter="0"/>
  <mergeCells count="3">
    <mergeCell ref="B1:L1"/>
    <mergeCell ref="K2:K5"/>
    <mergeCell ref="C4:F4"/>
  </mergeCells>
  <conditionalFormatting sqref="H6:H24">
    <cfRule type="cellIs" dxfId="174" priority="24" stopIfTrue="1" operator="lessThan">
      <formula>-1000</formula>
    </cfRule>
  </conditionalFormatting>
  <conditionalFormatting sqref="K8:K24">
    <cfRule type="cellIs" dxfId="173" priority="21" operator="equal">
      <formula>"OVERDUE"</formula>
    </cfRule>
    <cfRule type="cellIs" dxfId="172" priority="22" operator="equal">
      <formula>"COMPLETED"</formula>
    </cfRule>
    <cfRule type="cellIs" dxfId="171" priority="23" operator="equal">
      <formula>"ISSUE IDENTIFIED"</formula>
    </cfRule>
  </conditionalFormatting>
  <conditionalFormatting sqref="H7">
    <cfRule type="cellIs" dxfId="170" priority="7" operator="lessThan">
      <formula>-1000</formula>
    </cfRule>
  </conditionalFormatting>
  <conditionalFormatting sqref="I7">
    <cfRule type="cellIs" dxfId="169" priority="4" operator="equal">
      <formula>0</formula>
    </cfRule>
    <cfRule type="cellIs" dxfId="168" priority="5" operator="equal">
      <formula>"01/00/00"</formula>
    </cfRule>
  </conditionalFormatting>
  <conditionalFormatting sqref="G7">
    <cfRule type="cellIs" dxfId="167" priority="2" operator="equal">
      <formula>0</formula>
    </cfRule>
    <cfRule type="cellIs" dxfId="166" priority="3" operator="equal">
      <formula>"01/00/00"</formula>
    </cfRule>
  </conditionalFormatting>
  <conditionalFormatting sqref="I8:I24">
    <cfRule type="cellIs" dxfId="165" priority="1" operator="equal">
      <formula>0</formula>
    </cfRule>
  </conditionalFormatting>
  <hyperlinks>
    <hyperlink ref="B9" location="Transaction!A1" display="Transaction" xr:uid="{00000000-0004-0000-0200-000000000000}"/>
    <hyperlink ref="B10" location="'Change Management'!A1" display="Change Management" xr:uid="{00000000-0004-0000-0200-000001000000}"/>
    <hyperlink ref="B11" location="Communications!A1" display="Communications" xr:uid="{00000000-0004-0000-0200-000002000000}"/>
    <hyperlink ref="B13" location="Marketing!A1" display="Marketing" xr:uid="{00000000-0004-0000-0200-000003000000}"/>
    <hyperlink ref="B16" location="Operations!A1" display="Operations" xr:uid="{00000000-0004-0000-0200-000004000000}"/>
    <hyperlink ref="B17" location="Finance!A1" display="Finance" xr:uid="{00000000-0004-0000-0200-000005000000}"/>
    <hyperlink ref="B18" location="'Insurance and Property'!A1" display="Insurance and Property" xr:uid="{00000000-0004-0000-0200-000006000000}"/>
    <hyperlink ref="B19" location="Legal!A1" display="Legal" xr:uid="{00000000-0004-0000-0200-000007000000}"/>
    <hyperlink ref="B20" location="Tax!A1" display="Tax" xr:uid="{00000000-0004-0000-0200-000008000000}"/>
    <hyperlink ref="B21" location="IT!A1" display="IT" xr:uid="{00000000-0004-0000-0200-000009000000}"/>
    <hyperlink ref="B22" location="HR!A1" display="HR" xr:uid="{00000000-0004-0000-0200-00000A000000}"/>
    <hyperlink ref="B23" location="HSE!A1" display="HSE" xr:uid="{00000000-0004-0000-0200-00000B000000}"/>
    <hyperlink ref="B24" location="Compliance!A1" display="Compliance" xr:uid="{00000000-0004-0000-0200-00000C000000}"/>
    <hyperlink ref="B14" location="Sales!A1" display="Sales" xr:uid="{00000000-0004-0000-0200-00000D000000}"/>
    <hyperlink ref="B15" location="'Supply Chain.Procurement'!A1" display="Supply Chain/Procurement" xr:uid="{DADAA68C-023D-4F3A-895A-7DE9D9E8CA03}"/>
    <hyperlink ref="B8" location="'Day 0 Compliance'!A1" display="Day 0" xr:uid="{5944F18B-83E9-42B4-8F3D-B7E1351523B5}"/>
    <hyperlink ref="B12" location="'Sales and Marketing'!A1" display="Sales and Marketing" xr:uid="{8BBA3B6D-FE37-4584-9D36-A4C9E7404A28}"/>
  </hyperlinks>
  <printOptions horizontalCentered="1"/>
  <pageMargins left="0.5" right="0.5" top="0.5" bottom="1" header="0.25" footer="0.5"/>
  <pageSetup scale="47" fitToHeight="0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2" tint="-9.9978637043366805E-2"/>
    <pageSetUpPr fitToPage="1"/>
  </sheetPr>
  <dimension ref="A1:M37"/>
  <sheetViews>
    <sheetView showGridLines="0"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23" sqref="A23"/>
    </sheetView>
  </sheetViews>
  <sheetFormatPr defaultRowHeight="12.75" x14ac:dyDescent="0.2"/>
  <cols>
    <col min="1" max="1" width="29.7109375" style="25" bestFit="1" customWidth="1"/>
    <col min="2" max="2" width="2.42578125" style="27" customWidth="1"/>
    <col min="3" max="3" width="30.28515625" style="25" customWidth="1"/>
    <col min="4" max="4" width="38.5703125" style="25" bestFit="1" customWidth="1"/>
    <col min="5" max="5" width="17.7109375" style="27" customWidth="1"/>
    <col min="6" max="6" width="14.42578125" style="25" customWidth="1"/>
    <col min="7" max="7" width="1.85546875" style="25" customWidth="1"/>
    <col min="8" max="8" width="17.28515625" style="25" customWidth="1"/>
    <col min="9" max="9" width="2.7109375" style="23" customWidth="1"/>
    <col min="10" max="10" width="21.7109375" style="5" bestFit="1" customWidth="1"/>
    <col min="11" max="11" width="38.5703125" style="5" bestFit="1" customWidth="1"/>
    <col min="12" max="12" width="17.140625" style="25" customWidth="1"/>
    <col min="13" max="13" width="16" style="27" customWidth="1"/>
    <col min="14" max="258" width="9.140625" style="25"/>
    <col min="259" max="259" width="3.140625" style="25" customWidth="1"/>
    <col min="260" max="260" width="21.5703125" style="25" customWidth="1"/>
    <col min="261" max="261" width="17.85546875" style="25" customWidth="1"/>
    <col min="262" max="262" width="15.7109375" style="25" customWidth="1"/>
    <col min="263" max="263" width="10" style="25" customWidth="1"/>
    <col min="264" max="264" width="11" style="25" customWidth="1"/>
    <col min="265" max="265" width="8.7109375" style="25" customWidth="1"/>
    <col min="266" max="266" width="11.7109375" style="25" customWidth="1"/>
    <col min="267" max="267" width="11.140625" style="25" customWidth="1"/>
    <col min="268" max="268" width="17.140625" style="25" customWidth="1"/>
    <col min="269" max="269" width="40.7109375" style="25" customWidth="1"/>
    <col min="270" max="514" width="9.140625" style="25"/>
    <col min="515" max="515" width="3.140625" style="25" customWidth="1"/>
    <col min="516" max="516" width="21.5703125" style="25" customWidth="1"/>
    <col min="517" max="517" width="17.85546875" style="25" customWidth="1"/>
    <col min="518" max="518" width="15.7109375" style="25" customWidth="1"/>
    <col min="519" max="519" width="10" style="25" customWidth="1"/>
    <col min="520" max="520" width="11" style="25" customWidth="1"/>
    <col min="521" max="521" width="8.7109375" style="25" customWidth="1"/>
    <col min="522" max="522" width="11.7109375" style="25" customWidth="1"/>
    <col min="523" max="523" width="11.140625" style="25" customWidth="1"/>
    <col min="524" max="524" width="17.140625" style="25" customWidth="1"/>
    <col min="525" max="525" width="40.7109375" style="25" customWidth="1"/>
    <col min="526" max="770" width="9.140625" style="25"/>
    <col min="771" max="771" width="3.140625" style="25" customWidth="1"/>
    <col min="772" max="772" width="21.5703125" style="25" customWidth="1"/>
    <col min="773" max="773" width="17.85546875" style="25" customWidth="1"/>
    <col min="774" max="774" width="15.7109375" style="25" customWidth="1"/>
    <col min="775" max="775" width="10" style="25" customWidth="1"/>
    <col min="776" max="776" width="11" style="25" customWidth="1"/>
    <col min="777" max="777" width="8.7109375" style="25" customWidth="1"/>
    <col min="778" max="778" width="11.7109375" style="25" customWidth="1"/>
    <col min="779" max="779" width="11.140625" style="25" customWidth="1"/>
    <col min="780" max="780" width="17.140625" style="25" customWidth="1"/>
    <col min="781" max="781" width="40.7109375" style="25" customWidth="1"/>
    <col min="782" max="1026" width="9.140625" style="25"/>
    <col min="1027" max="1027" width="3.140625" style="25" customWidth="1"/>
    <col min="1028" max="1028" width="21.5703125" style="25" customWidth="1"/>
    <col min="1029" max="1029" width="17.85546875" style="25" customWidth="1"/>
    <col min="1030" max="1030" width="15.7109375" style="25" customWidth="1"/>
    <col min="1031" max="1031" width="10" style="25" customWidth="1"/>
    <col min="1032" max="1032" width="11" style="25" customWidth="1"/>
    <col min="1033" max="1033" width="8.7109375" style="25" customWidth="1"/>
    <col min="1034" max="1034" width="11.7109375" style="25" customWidth="1"/>
    <col min="1035" max="1035" width="11.140625" style="25" customWidth="1"/>
    <col min="1036" max="1036" width="17.140625" style="25" customWidth="1"/>
    <col min="1037" max="1037" width="40.7109375" style="25" customWidth="1"/>
    <col min="1038" max="1282" width="9.140625" style="25"/>
    <col min="1283" max="1283" width="3.140625" style="25" customWidth="1"/>
    <col min="1284" max="1284" width="21.5703125" style="25" customWidth="1"/>
    <col min="1285" max="1285" width="17.85546875" style="25" customWidth="1"/>
    <col min="1286" max="1286" width="15.7109375" style="25" customWidth="1"/>
    <col min="1287" max="1287" width="10" style="25" customWidth="1"/>
    <col min="1288" max="1288" width="11" style="25" customWidth="1"/>
    <col min="1289" max="1289" width="8.7109375" style="25" customWidth="1"/>
    <col min="1290" max="1290" width="11.7109375" style="25" customWidth="1"/>
    <col min="1291" max="1291" width="11.140625" style="25" customWidth="1"/>
    <col min="1292" max="1292" width="17.140625" style="25" customWidth="1"/>
    <col min="1293" max="1293" width="40.7109375" style="25" customWidth="1"/>
    <col min="1294" max="1538" width="9.140625" style="25"/>
    <col min="1539" max="1539" width="3.140625" style="25" customWidth="1"/>
    <col min="1540" max="1540" width="21.5703125" style="25" customWidth="1"/>
    <col min="1541" max="1541" width="17.85546875" style="25" customWidth="1"/>
    <col min="1542" max="1542" width="15.7109375" style="25" customWidth="1"/>
    <col min="1543" max="1543" width="10" style="25" customWidth="1"/>
    <col min="1544" max="1544" width="11" style="25" customWidth="1"/>
    <col min="1545" max="1545" width="8.7109375" style="25" customWidth="1"/>
    <col min="1546" max="1546" width="11.7109375" style="25" customWidth="1"/>
    <col min="1547" max="1547" width="11.140625" style="25" customWidth="1"/>
    <col min="1548" max="1548" width="17.140625" style="25" customWidth="1"/>
    <col min="1549" max="1549" width="40.7109375" style="25" customWidth="1"/>
    <col min="1550" max="1794" width="9.140625" style="25"/>
    <col min="1795" max="1795" width="3.140625" style="25" customWidth="1"/>
    <col min="1796" max="1796" width="21.5703125" style="25" customWidth="1"/>
    <col min="1797" max="1797" width="17.85546875" style="25" customWidth="1"/>
    <col min="1798" max="1798" width="15.7109375" style="25" customWidth="1"/>
    <col min="1799" max="1799" width="10" style="25" customWidth="1"/>
    <col min="1800" max="1800" width="11" style="25" customWidth="1"/>
    <col min="1801" max="1801" width="8.7109375" style="25" customWidth="1"/>
    <col min="1802" max="1802" width="11.7109375" style="25" customWidth="1"/>
    <col min="1803" max="1803" width="11.140625" style="25" customWidth="1"/>
    <col min="1804" max="1804" width="17.140625" style="25" customWidth="1"/>
    <col min="1805" max="1805" width="40.7109375" style="25" customWidth="1"/>
    <col min="1806" max="2050" width="9.140625" style="25"/>
    <col min="2051" max="2051" width="3.140625" style="25" customWidth="1"/>
    <col min="2052" max="2052" width="21.5703125" style="25" customWidth="1"/>
    <col min="2053" max="2053" width="17.85546875" style="25" customWidth="1"/>
    <col min="2054" max="2054" width="15.7109375" style="25" customWidth="1"/>
    <col min="2055" max="2055" width="10" style="25" customWidth="1"/>
    <col min="2056" max="2056" width="11" style="25" customWidth="1"/>
    <col min="2057" max="2057" width="8.7109375" style="25" customWidth="1"/>
    <col min="2058" max="2058" width="11.7109375" style="25" customWidth="1"/>
    <col min="2059" max="2059" width="11.140625" style="25" customWidth="1"/>
    <col min="2060" max="2060" width="17.140625" style="25" customWidth="1"/>
    <col min="2061" max="2061" width="40.7109375" style="25" customWidth="1"/>
    <col min="2062" max="2306" width="9.140625" style="25"/>
    <col min="2307" max="2307" width="3.140625" style="25" customWidth="1"/>
    <col min="2308" max="2308" width="21.5703125" style="25" customWidth="1"/>
    <col min="2309" max="2309" width="17.85546875" style="25" customWidth="1"/>
    <col min="2310" max="2310" width="15.7109375" style="25" customWidth="1"/>
    <col min="2311" max="2311" width="10" style="25" customWidth="1"/>
    <col min="2312" max="2312" width="11" style="25" customWidth="1"/>
    <col min="2313" max="2313" width="8.7109375" style="25" customWidth="1"/>
    <col min="2314" max="2314" width="11.7109375" style="25" customWidth="1"/>
    <col min="2315" max="2315" width="11.140625" style="25" customWidth="1"/>
    <col min="2316" max="2316" width="17.140625" style="25" customWidth="1"/>
    <col min="2317" max="2317" width="40.7109375" style="25" customWidth="1"/>
    <col min="2318" max="2562" width="9.140625" style="25"/>
    <col min="2563" max="2563" width="3.140625" style="25" customWidth="1"/>
    <col min="2564" max="2564" width="21.5703125" style="25" customWidth="1"/>
    <col min="2565" max="2565" width="17.85546875" style="25" customWidth="1"/>
    <col min="2566" max="2566" width="15.7109375" style="25" customWidth="1"/>
    <col min="2567" max="2567" width="10" style="25" customWidth="1"/>
    <col min="2568" max="2568" width="11" style="25" customWidth="1"/>
    <col min="2569" max="2569" width="8.7109375" style="25" customWidth="1"/>
    <col min="2570" max="2570" width="11.7109375" style="25" customWidth="1"/>
    <col min="2571" max="2571" width="11.140625" style="25" customWidth="1"/>
    <col min="2572" max="2572" width="17.140625" style="25" customWidth="1"/>
    <col min="2573" max="2573" width="40.7109375" style="25" customWidth="1"/>
    <col min="2574" max="2818" width="9.140625" style="25"/>
    <col min="2819" max="2819" width="3.140625" style="25" customWidth="1"/>
    <col min="2820" max="2820" width="21.5703125" style="25" customWidth="1"/>
    <col min="2821" max="2821" width="17.85546875" style="25" customWidth="1"/>
    <col min="2822" max="2822" width="15.7109375" style="25" customWidth="1"/>
    <col min="2823" max="2823" width="10" style="25" customWidth="1"/>
    <col min="2824" max="2824" width="11" style="25" customWidth="1"/>
    <col min="2825" max="2825" width="8.7109375" style="25" customWidth="1"/>
    <col min="2826" max="2826" width="11.7109375" style="25" customWidth="1"/>
    <col min="2827" max="2827" width="11.140625" style="25" customWidth="1"/>
    <col min="2828" max="2828" width="17.140625" style="25" customWidth="1"/>
    <col min="2829" max="2829" width="40.7109375" style="25" customWidth="1"/>
    <col min="2830" max="3074" width="9.140625" style="25"/>
    <col min="3075" max="3075" width="3.140625" style="25" customWidth="1"/>
    <col min="3076" max="3076" width="21.5703125" style="25" customWidth="1"/>
    <col min="3077" max="3077" width="17.85546875" style="25" customWidth="1"/>
    <col min="3078" max="3078" width="15.7109375" style="25" customWidth="1"/>
    <col min="3079" max="3079" width="10" style="25" customWidth="1"/>
    <col min="3080" max="3080" width="11" style="25" customWidth="1"/>
    <col min="3081" max="3081" width="8.7109375" style="25" customWidth="1"/>
    <col min="3082" max="3082" width="11.7109375" style="25" customWidth="1"/>
    <col min="3083" max="3083" width="11.140625" style="25" customWidth="1"/>
    <col min="3084" max="3084" width="17.140625" style="25" customWidth="1"/>
    <col min="3085" max="3085" width="40.7109375" style="25" customWidth="1"/>
    <col min="3086" max="3330" width="9.140625" style="25"/>
    <col min="3331" max="3331" width="3.140625" style="25" customWidth="1"/>
    <col min="3332" max="3332" width="21.5703125" style="25" customWidth="1"/>
    <col min="3333" max="3333" width="17.85546875" style="25" customWidth="1"/>
    <col min="3334" max="3334" width="15.7109375" style="25" customWidth="1"/>
    <col min="3335" max="3335" width="10" style="25" customWidth="1"/>
    <col min="3336" max="3336" width="11" style="25" customWidth="1"/>
    <col min="3337" max="3337" width="8.7109375" style="25" customWidth="1"/>
    <col min="3338" max="3338" width="11.7109375" style="25" customWidth="1"/>
    <col min="3339" max="3339" width="11.140625" style="25" customWidth="1"/>
    <col min="3340" max="3340" width="17.140625" style="25" customWidth="1"/>
    <col min="3341" max="3341" width="40.7109375" style="25" customWidth="1"/>
    <col min="3342" max="3586" width="9.140625" style="25"/>
    <col min="3587" max="3587" width="3.140625" style="25" customWidth="1"/>
    <col min="3588" max="3588" width="21.5703125" style="25" customWidth="1"/>
    <col min="3589" max="3589" width="17.85546875" style="25" customWidth="1"/>
    <col min="3590" max="3590" width="15.7109375" style="25" customWidth="1"/>
    <col min="3591" max="3591" width="10" style="25" customWidth="1"/>
    <col min="3592" max="3592" width="11" style="25" customWidth="1"/>
    <col min="3593" max="3593" width="8.7109375" style="25" customWidth="1"/>
    <col min="3594" max="3594" width="11.7109375" style="25" customWidth="1"/>
    <col min="3595" max="3595" width="11.140625" style="25" customWidth="1"/>
    <col min="3596" max="3596" width="17.140625" style="25" customWidth="1"/>
    <col min="3597" max="3597" width="40.7109375" style="25" customWidth="1"/>
    <col min="3598" max="3842" width="9.140625" style="25"/>
    <col min="3843" max="3843" width="3.140625" style="25" customWidth="1"/>
    <col min="3844" max="3844" width="21.5703125" style="25" customWidth="1"/>
    <col min="3845" max="3845" width="17.85546875" style="25" customWidth="1"/>
    <col min="3846" max="3846" width="15.7109375" style="25" customWidth="1"/>
    <col min="3847" max="3847" width="10" style="25" customWidth="1"/>
    <col min="3848" max="3848" width="11" style="25" customWidth="1"/>
    <col min="3849" max="3849" width="8.7109375" style="25" customWidth="1"/>
    <col min="3850" max="3850" width="11.7109375" style="25" customWidth="1"/>
    <col min="3851" max="3851" width="11.140625" style="25" customWidth="1"/>
    <col min="3852" max="3852" width="17.140625" style="25" customWidth="1"/>
    <col min="3853" max="3853" width="40.7109375" style="25" customWidth="1"/>
    <col min="3854" max="4098" width="9.140625" style="25"/>
    <col min="4099" max="4099" width="3.140625" style="25" customWidth="1"/>
    <col min="4100" max="4100" width="21.5703125" style="25" customWidth="1"/>
    <col min="4101" max="4101" width="17.85546875" style="25" customWidth="1"/>
    <col min="4102" max="4102" width="15.7109375" style="25" customWidth="1"/>
    <col min="4103" max="4103" width="10" style="25" customWidth="1"/>
    <col min="4104" max="4104" width="11" style="25" customWidth="1"/>
    <col min="4105" max="4105" width="8.7109375" style="25" customWidth="1"/>
    <col min="4106" max="4106" width="11.7109375" style="25" customWidth="1"/>
    <col min="4107" max="4107" width="11.140625" style="25" customWidth="1"/>
    <col min="4108" max="4108" width="17.140625" style="25" customWidth="1"/>
    <col min="4109" max="4109" width="40.7109375" style="25" customWidth="1"/>
    <col min="4110" max="4354" width="9.140625" style="25"/>
    <col min="4355" max="4355" width="3.140625" style="25" customWidth="1"/>
    <col min="4356" max="4356" width="21.5703125" style="25" customWidth="1"/>
    <col min="4357" max="4357" width="17.85546875" style="25" customWidth="1"/>
    <col min="4358" max="4358" width="15.7109375" style="25" customWidth="1"/>
    <col min="4359" max="4359" width="10" style="25" customWidth="1"/>
    <col min="4360" max="4360" width="11" style="25" customWidth="1"/>
    <col min="4361" max="4361" width="8.7109375" style="25" customWidth="1"/>
    <col min="4362" max="4362" width="11.7109375" style="25" customWidth="1"/>
    <col min="4363" max="4363" width="11.140625" style="25" customWidth="1"/>
    <col min="4364" max="4364" width="17.140625" style="25" customWidth="1"/>
    <col min="4365" max="4365" width="40.7109375" style="25" customWidth="1"/>
    <col min="4366" max="4610" width="9.140625" style="25"/>
    <col min="4611" max="4611" width="3.140625" style="25" customWidth="1"/>
    <col min="4612" max="4612" width="21.5703125" style="25" customWidth="1"/>
    <col min="4613" max="4613" width="17.85546875" style="25" customWidth="1"/>
    <col min="4614" max="4614" width="15.7109375" style="25" customWidth="1"/>
    <col min="4615" max="4615" width="10" style="25" customWidth="1"/>
    <col min="4616" max="4616" width="11" style="25" customWidth="1"/>
    <col min="4617" max="4617" width="8.7109375" style="25" customWidth="1"/>
    <col min="4618" max="4618" width="11.7109375" style="25" customWidth="1"/>
    <col min="4619" max="4619" width="11.140625" style="25" customWidth="1"/>
    <col min="4620" max="4620" width="17.140625" style="25" customWidth="1"/>
    <col min="4621" max="4621" width="40.7109375" style="25" customWidth="1"/>
    <col min="4622" max="4866" width="9.140625" style="25"/>
    <col min="4867" max="4867" width="3.140625" style="25" customWidth="1"/>
    <col min="4868" max="4868" width="21.5703125" style="25" customWidth="1"/>
    <col min="4869" max="4869" width="17.85546875" style="25" customWidth="1"/>
    <col min="4870" max="4870" width="15.7109375" style="25" customWidth="1"/>
    <col min="4871" max="4871" width="10" style="25" customWidth="1"/>
    <col min="4872" max="4872" width="11" style="25" customWidth="1"/>
    <col min="4873" max="4873" width="8.7109375" style="25" customWidth="1"/>
    <col min="4874" max="4874" width="11.7109375" style="25" customWidth="1"/>
    <col min="4875" max="4875" width="11.140625" style="25" customWidth="1"/>
    <col min="4876" max="4876" width="17.140625" style="25" customWidth="1"/>
    <col min="4877" max="4877" width="40.7109375" style="25" customWidth="1"/>
    <col min="4878" max="5122" width="9.140625" style="25"/>
    <col min="5123" max="5123" width="3.140625" style="25" customWidth="1"/>
    <col min="5124" max="5124" width="21.5703125" style="25" customWidth="1"/>
    <col min="5125" max="5125" width="17.85546875" style="25" customWidth="1"/>
    <col min="5126" max="5126" width="15.7109375" style="25" customWidth="1"/>
    <col min="5127" max="5127" width="10" style="25" customWidth="1"/>
    <col min="5128" max="5128" width="11" style="25" customWidth="1"/>
    <col min="5129" max="5129" width="8.7109375" style="25" customWidth="1"/>
    <col min="5130" max="5130" width="11.7109375" style="25" customWidth="1"/>
    <col min="5131" max="5131" width="11.140625" style="25" customWidth="1"/>
    <col min="5132" max="5132" width="17.140625" style="25" customWidth="1"/>
    <col min="5133" max="5133" width="40.7109375" style="25" customWidth="1"/>
    <col min="5134" max="5378" width="9.140625" style="25"/>
    <col min="5379" max="5379" width="3.140625" style="25" customWidth="1"/>
    <col min="5380" max="5380" width="21.5703125" style="25" customWidth="1"/>
    <col min="5381" max="5381" width="17.85546875" style="25" customWidth="1"/>
    <col min="5382" max="5382" width="15.7109375" style="25" customWidth="1"/>
    <col min="5383" max="5383" width="10" style="25" customWidth="1"/>
    <col min="5384" max="5384" width="11" style="25" customWidth="1"/>
    <col min="5385" max="5385" width="8.7109375" style="25" customWidth="1"/>
    <col min="5386" max="5386" width="11.7109375" style="25" customWidth="1"/>
    <col min="5387" max="5387" width="11.140625" style="25" customWidth="1"/>
    <col min="5388" max="5388" width="17.140625" style="25" customWidth="1"/>
    <col min="5389" max="5389" width="40.7109375" style="25" customWidth="1"/>
    <col min="5390" max="5634" width="9.140625" style="25"/>
    <col min="5635" max="5635" width="3.140625" style="25" customWidth="1"/>
    <col min="5636" max="5636" width="21.5703125" style="25" customWidth="1"/>
    <col min="5637" max="5637" width="17.85546875" style="25" customWidth="1"/>
    <col min="5638" max="5638" width="15.7109375" style="25" customWidth="1"/>
    <col min="5639" max="5639" width="10" style="25" customWidth="1"/>
    <col min="5640" max="5640" width="11" style="25" customWidth="1"/>
    <col min="5641" max="5641" width="8.7109375" style="25" customWidth="1"/>
    <col min="5642" max="5642" width="11.7109375" style="25" customWidth="1"/>
    <col min="5643" max="5643" width="11.140625" style="25" customWidth="1"/>
    <col min="5644" max="5644" width="17.140625" style="25" customWidth="1"/>
    <col min="5645" max="5645" width="40.7109375" style="25" customWidth="1"/>
    <col min="5646" max="5890" width="9.140625" style="25"/>
    <col min="5891" max="5891" width="3.140625" style="25" customWidth="1"/>
    <col min="5892" max="5892" width="21.5703125" style="25" customWidth="1"/>
    <col min="5893" max="5893" width="17.85546875" style="25" customWidth="1"/>
    <col min="5894" max="5894" width="15.7109375" style="25" customWidth="1"/>
    <col min="5895" max="5895" width="10" style="25" customWidth="1"/>
    <col min="5896" max="5896" width="11" style="25" customWidth="1"/>
    <col min="5897" max="5897" width="8.7109375" style="25" customWidth="1"/>
    <col min="5898" max="5898" width="11.7109375" style="25" customWidth="1"/>
    <col min="5899" max="5899" width="11.140625" style="25" customWidth="1"/>
    <col min="5900" max="5900" width="17.140625" style="25" customWidth="1"/>
    <col min="5901" max="5901" width="40.7109375" style="25" customWidth="1"/>
    <col min="5902" max="6146" width="9.140625" style="25"/>
    <col min="6147" max="6147" width="3.140625" style="25" customWidth="1"/>
    <col min="6148" max="6148" width="21.5703125" style="25" customWidth="1"/>
    <col min="6149" max="6149" width="17.85546875" style="25" customWidth="1"/>
    <col min="6150" max="6150" width="15.7109375" style="25" customWidth="1"/>
    <col min="6151" max="6151" width="10" style="25" customWidth="1"/>
    <col min="6152" max="6152" width="11" style="25" customWidth="1"/>
    <col min="6153" max="6153" width="8.7109375" style="25" customWidth="1"/>
    <col min="6154" max="6154" width="11.7109375" style="25" customWidth="1"/>
    <col min="6155" max="6155" width="11.140625" style="25" customWidth="1"/>
    <col min="6156" max="6156" width="17.140625" style="25" customWidth="1"/>
    <col min="6157" max="6157" width="40.7109375" style="25" customWidth="1"/>
    <col min="6158" max="6402" width="9.140625" style="25"/>
    <col min="6403" max="6403" width="3.140625" style="25" customWidth="1"/>
    <col min="6404" max="6404" width="21.5703125" style="25" customWidth="1"/>
    <col min="6405" max="6405" width="17.85546875" style="25" customWidth="1"/>
    <col min="6406" max="6406" width="15.7109375" style="25" customWidth="1"/>
    <col min="6407" max="6407" width="10" style="25" customWidth="1"/>
    <col min="6408" max="6408" width="11" style="25" customWidth="1"/>
    <col min="6409" max="6409" width="8.7109375" style="25" customWidth="1"/>
    <col min="6410" max="6410" width="11.7109375" style="25" customWidth="1"/>
    <col min="6411" max="6411" width="11.140625" style="25" customWidth="1"/>
    <col min="6412" max="6412" width="17.140625" style="25" customWidth="1"/>
    <col min="6413" max="6413" width="40.7109375" style="25" customWidth="1"/>
    <col min="6414" max="6658" width="9.140625" style="25"/>
    <col min="6659" max="6659" width="3.140625" style="25" customWidth="1"/>
    <col min="6660" max="6660" width="21.5703125" style="25" customWidth="1"/>
    <col min="6661" max="6661" width="17.85546875" style="25" customWidth="1"/>
    <col min="6662" max="6662" width="15.7109375" style="25" customWidth="1"/>
    <col min="6663" max="6663" width="10" style="25" customWidth="1"/>
    <col min="6664" max="6664" width="11" style="25" customWidth="1"/>
    <col min="6665" max="6665" width="8.7109375" style="25" customWidth="1"/>
    <col min="6666" max="6666" width="11.7109375" style="25" customWidth="1"/>
    <col min="6667" max="6667" width="11.140625" style="25" customWidth="1"/>
    <col min="6668" max="6668" width="17.140625" style="25" customWidth="1"/>
    <col min="6669" max="6669" width="40.7109375" style="25" customWidth="1"/>
    <col min="6670" max="6914" width="9.140625" style="25"/>
    <col min="6915" max="6915" width="3.140625" style="25" customWidth="1"/>
    <col min="6916" max="6916" width="21.5703125" style="25" customWidth="1"/>
    <col min="6917" max="6917" width="17.85546875" style="25" customWidth="1"/>
    <col min="6918" max="6918" width="15.7109375" style="25" customWidth="1"/>
    <col min="6919" max="6919" width="10" style="25" customWidth="1"/>
    <col min="6920" max="6920" width="11" style="25" customWidth="1"/>
    <col min="6921" max="6921" width="8.7109375" style="25" customWidth="1"/>
    <col min="6922" max="6922" width="11.7109375" style="25" customWidth="1"/>
    <col min="6923" max="6923" width="11.140625" style="25" customWidth="1"/>
    <col min="6924" max="6924" width="17.140625" style="25" customWidth="1"/>
    <col min="6925" max="6925" width="40.7109375" style="25" customWidth="1"/>
    <col min="6926" max="7170" width="9.140625" style="25"/>
    <col min="7171" max="7171" width="3.140625" style="25" customWidth="1"/>
    <col min="7172" max="7172" width="21.5703125" style="25" customWidth="1"/>
    <col min="7173" max="7173" width="17.85546875" style="25" customWidth="1"/>
    <col min="7174" max="7174" width="15.7109375" style="25" customWidth="1"/>
    <col min="7175" max="7175" width="10" style="25" customWidth="1"/>
    <col min="7176" max="7176" width="11" style="25" customWidth="1"/>
    <col min="7177" max="7177" width="8.7109375" style="25" customWidth="1"/>
    <col min="7178" max="7178" width="11.7109375" style="25" customWidth="1"/>
    <col min="7179" max="7179" width="11.140625" style="25" customWidth="1"/>
    <col min="7180" max="7180" width="17.140625" style="25" customWidth="1"/>
    <col min="7181" max="7181" width="40.7109375" style="25" customWidth="1"/>
    <col min="7182" max="7426" width="9.140625" style="25"/>
    <col min="7427" max="7427" width="3.140625" style="25" customWidth="1"/>
    <col min="7428" max="7428" width="21.5703125" style="25" customWidth="1"/>
    <col min="7429" max="7429" width="17.85546875" style="25" customWidth="1"/>
    <col min="7430" max="7430" width="15.7109375" style="25" customWidth="1"/>
    <col min="7431" max="7431" width="10" style="25" customWidth="1"/>
    <col min="7432" max="7432" width="11" style="25" customWidth="1"/>
    <col min="7433" max="7433" width="8.7109375" style="25" customWidth="1"/>
    <col min="7434" max="7434" width="11.7109375" style="25" customWidth="1"/>
    <col min="7435" max="7435" width="11.140625" style="25" customWidth="1"/>
    <col min="7436" max="7436" width="17.140625" style="25" customWidth="1"/>
    <col min="7437" max="7437" width="40.7109375" style="25" customWidth="1"/>
    <col min="7438" max="7682" width="9.140625" style="25"/>
    <col min="7683" max="7683" width="3.140625" style="25" customWidth="1"/>
    <col min="7684" max="7684" width="21.5703125" style="25" customWidth="1"/>
    <col min="7685" max="7685" width="17.85546875" style="25" customWidth="1"/>
    <col min="7686" max="7686" width="15.7109375" style="25" customWidth="1"/>
    <col min="7687" max="7687" width="10" style="25" customWidth="1"/>
    <col min="7688" max="7688" width="11" style="25" customWidth="1"/>
    <col min="7689" max="7689" width="8.7109375" style="25" customWidth="1"/>
    <col min="7690" max="7690" width="11.7109375" style="25" customWidth="1"/>
    <col min="7691" max="7691" width="11.140625" style="25" customWidth="1"/>
    <col min="7692" max="7692" width="17.140625" style="25" customWidth="1"/>
    <col min="7693" max="7693" width="40.7109375" style="25" customWidth="1"/>
    <col min="7694" max="7938" width="9.140625" style="25"/>
    <col min="7939" max="7939" width="3.140625" style="25" customWidth="1"/>
    <col min="7940" max="7940" width="21.5703125" style="25" customWidth="1"/>
    <col min="7941" max="7941" width="17.85546875" style="25" customWidth="1"/>
    <col min="7942" max="7942" width="15.7109375" style="25" customWidth="1"/>
    <col min="7943" max="7943" width="10" style="25" customWidth="1"/>
    <col min="7944" max="7944" width="11" style="25" customWidth="1"/>
    <col min="7945" max="7945" width="8.7109375" style="25" customWidth="1"/>
    <col min="7946" max="7946" width="11.7109375" style="25" customWidth="1"/>
    <col min="7947" max="7947" width="11.140625" style="25" customWidth="1"/>
    <col min="7948" max="7948" width="17.140625" style="25" customWidth="1"/>
    <col min="7949" max="7949" width="40.7109375" style="25" customWidth="1"/>
    <col min="7950" max="8194" width="9.140625" style="25"/>
    <col min="8195" max="8195" width="3.140625" style="25" customWidth="1"/>
    <col min="8196" max="8196" width="21.5703125" style="25" customWidth="1"/>
    <col min="8197" max="8197" width="17.85546875" style="25" customWidth="1"/>
    <col min="8198" max="8198" width="15.7109375" style="25" customWidth="1"/>
    <col min="8199" max="8199" width="10" style="25" customWidth="1"/>
    <col min="8200" max="8200" width="11" style="25" customWidth="1"/>
    <col min="8201" max="8201" width="8.7109375" style="25" customWidth="1"/>
    <col min="8202" max="8202" width="11.7109375" style="25" customWidth="1"/>
    <col min="8203" max="8203" width="11.140625" style="25" customWidth="1"/>
    <col min="8204" max="8204" width="17.140625" style="25" customWidth="1"/>
    <col min="8205" max="8205" width="40.7109375" style="25" customWidth="1"/>
    <col min="8206" max="8450" width="9.140625" style="25"/>
    <col min="8451" max="8451" width="3.140625" style="25" customWidth="1"/>
    <col min="8452" max="8452" width="21.5703125" style="25" customWidth="1"/>
    <col min="8453" max="8453" width="17.85546875" style="25" customWidth="1"/>
    <col min="8454" max="8454" width="15.7109375" style="25" customWidth="1"/>
    <col min="8455" max="8455" width="10" style="25" customWidth="1"/>
    <col min="8456" max="8456" width="11" style="25" customWidth="1"/>
    <col min="8457" max="8457" width="8.7109375" style="25" customWidth="1"/>
    <col min="8458" max="8458" width="11.7109375" style="25" customWidth="1"/>
    <col min="8459" max="8459" width="11.140625" style="25" customWidth="1"/>
    <col min="8460" max="8460" width="17.140625" style="25" customWidth="1"/>
    <col min="8461" max="8461" width="40.7109375" style="25" customWidth="1"/>
    <col min="8462" max="8706" width="9.140625" style="25"/>
    <col min="8707" max="8707" width="3.140625" style="25" customWidth="1"/>
    <col min="8708" max="8708" width="21.5703125" style="25" customWidth="1"/>
    <col min="8709" max="8709" width="17.85546875" style="25" customWidth="1"/>
    <col min="8710" max="8710" width="15.7109375" style="25" customWidth="1"/>
    <col min="8711" max="8711" width="10" style="25" customWidth="1"/>
    <col min="8712" max="8712" width="11" style="25" customWidth="1"/>
    <col min="8713" max="8713" width="8.7109375" style="25" customWidth="1"/>
    <col min="8714" max="8714" width="11.7109375" style="25" customWidth="1"/>
    <col min="8715" max="8715" width="11.140625" style="25" customWidth="1"/>
    <col min="8716" max="8716" width="17.140625" style="25" customWidth="1"/>
    <col min="8717" max="8717" width="40.7109375" style="25" customWidth="1"/>
    <col min="8718" max="8962" width="9.140625" style="25"/>
    <col min="8963" max="8963" width="3.140625" style="25" customWidth="1"/>
    <col min="8964" max="8964" width="21.5703125" style="25" customWidth="1"/>
    <col min="8965" max="8965" width="17.85546875" style="25" customWidth="1"/>
    <col min="8966" max="8966" width="15.7109375" style="25" customWidth="1"/>
    <col min="8967" max="8967" width="10" style="25" customWidth="1"/>
    <col min="8968" max="8968" width="11" style="25" customWidth="1"/>
    <col min="8969" max="8969" width="8.7109375" style="25" customWidth="1"/>
    <col min="8970" max="8970" width="11.7109375" style="25" customWidth="1"/>
    <col min="8971" max="8971" width="11.140625" style="25" customWidth="1"/>
    <col min="8972" max="8972" width="17.140625" style="25" customWidth="1"/>
    <col min="8973" max="8973" width="40.7109375" style="25" customWidth="1"/>
    <col min="8974" max="9218" width="9.140625" style="25"/>
    <col min="9219" max="9219" width="3.140625" style="25" customWidth="1"/>
    <col min="9220" max="9220" width="21.5703125" style="25" customWidth="1"/>
    <col min="9221" max="9221" width="17.85546875" style="25" customWidth="1"/>
    <col min="9222" max="9222" width="15.7109375" style="25" customWidth="1"/>
    <col min="9223" max="9223" width="10" style="25" customWidth="1"/>
    <col min="9224" max="9224" width="11" style="25" customWidth="1"/>
    <col min="9225" max="9225" width="8.7109375" style="25" customWidth="1"/>
    <col min="9226" max="9226" width="11.7109375" style="25" customWidth="1"/>
    <col min="9227" max="9227" width="11.140625" style="25" customWidth="1"/>
    <col min="9228" max="9228" width="17.140625" style="25" customWidth="1"/>
    <col min="9229" max="9229" width="40.7109375" style="25" customWidth="1"/>
    <col min="9230" max="9474" width="9.140625" style="25"/>
    <col min="9475" max="9475" width="3.140625" style="25" customWidth="1"/>
    <col min="9476" max="9476" width="21.5703125" style="25" customWidth="1"/>
    <col min="9477" max="9477" width="17.85546875" style="25" customWidth="1"/>
    <col min="9478" max="9478" width="15.7109375" style="25" customWidth="1"/>
    <col min="9479" max="9479" width="10" style="25" customWidth="1"/>
    <col min="9480" max="9480" width="11" style="25" customWidth="1"/>
    <col min="9481" max="9481" width="8.7109375" style="25" customWidth="1"/>
    <col min="9482" max="9482" width="11.7109375" style="25" customWidth="1"/>
    <col min="9483" max="9483" width="11.140625" style="25" customWidth="1"/>
    <col min="9484" max="9484" width="17.140625" style="25" customWidth="1"/>
    <col min="9485" max="9485" width="40.7109375" style="25" customWidth="1"/>
    <col min="9486" max="9730" width="9.140625" style="25"/>
    <col min="9731" max="9731" width="3.140625" style="25" customWidth="1"/>
    <col min="9732" max="9732" width="21.5703125" style="25" customWidth="1"/>
    <col min="9733" max="9733" width="17.85546875" style="25" customWidth="1"/>
    <col min="9734" max="9734" width="15.7109375" style="25" customWidth="1"/>
    <col min="9735" max="9735" width="10" style="25" customWidth="1"/>
    <col min="9736" max="9736" width="11" style="25" customWidth="1"/>
    <col min="9737" max="9737" width="8.7109375" style="25" customWidth="1"/>
    <col min="9738" max="9738" width="11.7109375" style="25" customWidth="1"/>
    <col min="9739" max="9739" width="11.140625" style="25" customWidth="1"/>
    <col min="9740" max="9740" width="17.140625" style="25" customWidth="1"/>
    <col min="9741" max="9741" width="40.7109375" style="25" customWidth="1"/>
    <col min="9742" max="9986" width="9.140625" style="25"/>
    <col min="9987" max="9987" width="3.140625" style="25" customWidth="1"/>
    <col min="9988" max="9988" width="21.5703125" style="25" customWidth="1"/>
    <col min="9989" max="9989" width="17.85546875" style="25" customWidth="1"/>
    <col min="9990" max="9990" width="15.7109375" style="25" customWidth="1"/>
    <col min="9991" max="9991" width="10" style="25" customWidth="1"/>
    <col min="9992" max="9992" width="11" style="25" customWidth="1"/>
    <col min="9993" max="9993" width="8.7109375" style="25" customWidth="1"/>
    <col min="9994" max="9994" width="11.7109375" style="25" customWidth="1"/>
    <col min="9995" max="9995" width="11.140625" style="25" customWidth="1"/>
    <col min="9996" max="9996" width="17.140625" style="25" customWidth="1"/>
    <col min="9997" max="9997" width="40.7109375" style="25" customWidth="1"/>
    <col min="9998" max="10242" width="9.140625" style="25"/>
    <col min="10243" max="10243" width="3.140625" style="25" customWidth="1"/>
    <col min="10244" max="10244" width="21.5703125" style="25" customWidth="1"/>
    <col min="10245" max="10245" width="17.85546875" style="25" customWidth="1"/>
    <col min="10246" max="10246" width="15.7109375" style="25" customWidth="1"/>
    <col min="10247" max="10247" width="10" style="25" customWidth="1"/>
    <col min="10248" max="10248" width="11" style="25" customWidth="1"/>
    <col min="10249" max="10249" width="8.7109375" style="25" customWidth="1"/>
    <col min="10250" max="10250" width="11.7109375" style="25" customWidth="1"/>
    <col min="10251" max="10251" width="11.140625" style="25" customWidth="1"/>
    <col min="10252" max="10252" width="17.140625" style="25" customWidth="1"/>
    <col min="10253" max="10253" width="40.7109375" style="25" customWidth="1"/>
    <col min="10254" max="10498" width="9.140625" style="25"/>
    <col min="10499" max="10499" width="3.140625" style="25" customWidth="1"/>
    <col min="10500" max="10500" width="21.5703125" style="25" customWidth="1"/>
    <col min="10501" max="10501" width="17.85546875" style="25" customWidth="1"/>
    <col min="10502" max="10502" width="15.7109375" style="25" customWidth="1"/>
    <col min="10503" max="10503" width="10" style="25" customWidth="1"/>
    <col min="10504" max="10504" width="11" style="25" customWidth="1"/>
    <col min="10505" max="10505" width="8.7109375" style="25" customWidth="1"/>
    <col min="10506" max="10506" width="11.7109375" style="25" customWidth="1"/>
    <col min="10507" max="10507" width="11.140625" style="25" customWidth="1"/>
    <col min="10508" max="10508" width="17.140625" style="25" customWidth="1"/>
    <col min="10509" max="10509" width="40.7109375" style="25" customWidth="1"/>
    <col min="10510" max="10754" width="9.140625" style="25"/>
    <col min="10755" max="10755" width="3.140625" style="25" customWidth="1"/>
    <col min="10756" max="10756" width="21.5703125" style="25" customWidth="1"/>
    <col min="10757" max="10757" width="17.85546875" style="25" customWidth="1"/>
    <col min="10758" max="10758" width="15.7109375" style="25" customWidth="1"/>
    <col min="10759" max="10759" width="10" style="25" customWidth="1"/>
    <col min="10760" max="10760" width="11" style="25" customWidth="1"/>
    <col min="10761" max="10761" width="8.7109375" style="25" customWidth="1"/>
    <col min="10762" max="10762" width="11.7109375" style="25" customWidth="1"/>
    <col min="10763" max="10763" width="11.140625" style="25" customWidth="1"/>
    <col min="10764" max="10764" width="17.140625" style="25" customWidth="1"/>
    <col min="10765" max="10765" width="40.7109375" style="25" customWidth="1"/>
    <col min="10766" max="11010" width="9.140625" style="25"/>
    <col min="11011" max="11011" width="3.140625" style="25" customWidth="1"/>
    <col min="11012" max="11012" width="21.5703125" style="25" customWidth="1"/>
    <col min="11013" max="11013" width="17.85546875" style="25" customWidth="1"/>
    <col min="11014" max="11014" width="15.7109375" style="25" customWidth="1"/>
    <col min="11015" max="11015" width="10" style="25" customWidth="1"/>
    <col min="11016" max="11016" width="11" style="25" customWidth="1"/>
    <col min="11017" max="11017" width="8.7109375" style="25" customWidth="1"/>
    <col min="11018" max="11018" width="11.7109375" style="25" customWidth="1"/>
    <col min="11019" max="11019" width="11.140625" style="25" customWidth="1"/>
    <col min="11020" max="11020" width="17.140625" style="25" customWidth="1"/>
    <col min="11021" max="11021" width="40.7109375" style="25" customWidth="1"/>
    <col min="11022" max="11266" width="9.140625" style="25"/>
    <col min="11267" max="11267" width="3.140625" style="25" customWidth="1"/>
    <col min="11268" max="11268" width="21.5703125" style="25" customWidth="1"/>
    <col min="11269" max="11269" width="17.85546875" style="25" customWidth="1"/>
    <col min="11270" max="11270" width="15.7109375" style="25" customWidth="1"/>
    <col min="11271" max="11271" width="10" style="25" customWidth="1"/>
    <col min="11272" max="11272" width="11" style="25" customWidth="1"/>
    <col min="11273" max="11273" width="8.7109375" style="25" customWidth="1"/>
    <col min="11274" max="11274" width="11.7109375" style="25" customWidth="1"/>
    <col min="11275" max="11275" width="11.140625" style="25" customWidth="1"/>
    <col min="11276" max="11276" width="17.140625" style="25" customWidth="1"/>
    <col min="11277" max="11277" width="40.7109375" style="25" customWidth="1"/>
    <col min="11278" max="11522" width="9.140625" style="25"/>
    <col min="11523" max="11523" width="3.140625" style="25" customWidth="1"/>
    <col min="11524" max="11524" width="21.5703125" style="25" customWidth="1"/>
    <col min="11525" max="11525" width="17.85546875" style="25" customWidth="1"/>
    <col min="11526" max="11526" width="15.7109375" style="25" customWidth="1"/>
    <col min="11527" max="11527" width="10" style="25" customWidth="1"/>
    <col min="11528" max="11528" width="11" style="25" customWidth="1"/>
    <col min="11529" max="11529" width="8.7109375" style="25" customWidth="1"/>
    <col min="11530" max="11530" width="11.7109375" style="25" customWidth="1"/>
    <col min="11531" max="11531" width="11.140625" style="25" customWidth="1"/>
    <col min="11532" max="11532" width="17.140625" style="25" customWidth="1"/>
    <col min="11533" max="11533" width="40.7109375" style="25" customWidth="1"/>
    <col min="11534" max="11778" width="9.140625" style="25"/>
    <col min="11779" max="11779" width="3.140625" style="25" customWidth="1"/>
    <col min="11780" max="11780" width="21.5703125" style="25" customWidth="1"/>
    <col min="11781" max="11781" width="17.85546875" style="25" customWidth="1"/>
    <col min="11782" max="11782" width="15.7109375" style="25" customWidth="1"/>
    <col min="11783" max="11783" width="10" style="25" customWidth="1"/>
    <col min="11784" max="11784" width="11" style="25" customWidth="1"/>
    <col min="11785" max="11785" width="8.7109375" style="25" customWidth="1"/>
    <col min="11786" max="11786" width="11.7109375" style="25" customWidth="1"/>
    <col min="11787" max="11787" width="11.140625" style="25" customWidth="1"/>
    <col min="11788" max="11788" width="17.140625" style="25" customWidth="1"/>
    <col min="11789" max="11789" width="40.7109375" style="25" customWidth="1"/>
    <col min="11790" max="12034" width="9.140625" style="25"/>
    <col min="12035" max="12035" width="3.140625" style="25" customWidth="1"/>
    <col min="12036" max="12036" width="21.5703125" style="25" customWidth="1"/>
    <col min="12037" max="12037" width="17.85546875" style="25" customWidth="1"/>
    <col min="12038" max="12038" width="15.7109375" style="25" customWidth="1"/>
    <col min="12039" max="12039" width="10" style="25" customWidth="1"/>
    <col min="12040" max="12040" width="11" style="25" customWidth="1"/>
    <col min="12041" max="12041" width="8.7109375" style="25" customWidth="1"/>
    <col min="12042" max="12042" width="11.7109375" style="25" customWidth="1"/>
    <col min="12043" max="12043" width="11.140625" style="25" customWidth="1"/>
    <col min="12044" max="12044" width="17.140625" style="25" customWidth="1"/>
    <col min="12045" max="12045" width="40.7109375" style="25" customWidth="1"/>
    <col min="12046" max="12290" width="9.140625" style="25"/>
    <col min="12291" max="12291" width="3.140625" style="25" customWidth="1"/>
    <col min="12292" max="12292" width="21.5703125" style="25" customWidth="1"/>
    <col min="12293" max="12293" width="17.85546875" style="25" customWidth="1"/>
    <col min="12294" max="12294" width="15.7109375" style="25" customWidth="1"/>
    <col min="12295" max="12295" width="10" style="25" customWidth="1"/>
    <col min="12296" max="12296" width="11" style="25" customWidth="1"/>
    <col min="12297" max="12297" width="8.7109375" style="25" customWidth="1"/>
    <col min="12298" max="12298" width="11.7109375" style="25" customWidth="1"/>
    <col min="12299" max="12299" width="11.140625" style="25" customWidth="1"/>
    <col min="12300" max="12300" width="17.140625" style="25" customWidth="1"/>
    <col min="12301" max="12301" width="40.7109375" style="25" customWidth="1"/>
    <col min="12302" max="12546" width="9.140625" style="25"/>
    <col min="12547" max="12547" width="3.140625" style="25" customWidth="1"/>
    <col min="12548" max="12548" width="21.5703125" style="25" customWidth="1"/>
    <col min="12549" max="12549" width="17.85546875" style="25" customWidth="1"/>
    <col min="12550" max="12550" width="15.7109375" style="25" customWidth="1"/>
    <col min="12551" max="12551" width="10" style="25" customWidth="1"/>
    <col min="12552" max="12552" width="11" style="25" customWidth="1"/>
    <col min="12553" max="12553" width="8.7109375" style="25" customWidth="1"/>
    <col min="12554" max="12554" width="11.7109375" style="25" customWidth="1"/>
    <col min="12555" max="12555" width="11.140625" style="25" customWidth="1"/>
    <col min="12556" max="12556" width="17.140625" style="25" customWidth="1"/>
    <col min="12557" max="12557" width="40.7109375" style="25" customWidth="1"/>
    <col min="12558" max="12802" width="9.140625" style="25"/>
    <col min="12803" max="12803" width="3.140625" style="25" customWidth="1"/>
    <col min="12804" max="12804" width="21.5703125" style="25" customWidth="1"/>
    <col min="12805" max="12805" width="17.85546875" style="25" customWidth="1"/>
    <col min="12806" max="12806" width="15.7109375" style="25" customWidth="1"/>
    <col min="12807" max="12807" width="10" style="25" customWidth="1"/>
    <col min="12808" max="12808" width="11" style="25" customWidth="1"/>
    <col min="12809" max="12809" width="8.7109375" style="25" customWidth="1"/>
    <col min="12810" max="12810" width="11.7109375" style="25" customWidth="1"/>
    <col min="12811" max="12811" width="11.140625" style="25" customWidth="1"/>
    <col min="12812" max="12812" width="17.140625" style="25" customWidth="1"/>
    <col min="12813" max="12813" width="40.7109375" style="25" customWidth="1"/>
    <col min="12814" max="13058" width="9.140625" style="25"/>
    <col min="13059" max="13059" width="3.140625" style="25" customWidth="1"/>
    <col min="13060" max="13060" width="21.5703125" style="25" customWidth="1"/>
    <col min="13061" max="13061" width="17.85546875" style="25" customWidth="1"/>
    <col min="13062" max="13062" width="15.7109375" style="25" customWidth="1"/>
    <col min="13063" max="13063" width="10" style="25" customWidth="1"/>
    <col min="13064" max="13064" width="11" style="25" customWidth="1"/>
    <col min="13065" max="13065" width="8.7109375" style="25" customWidth="1"/>
    <col min="13066" max="13066" width="11.7109375" style="25" customWidth="1"/>
    <col min="13067" max="13067" width="11.140625" style="25" customWidth="1"/>
    <col min="13068" max="13068" width="17.140625" style="25" customWidth="1"/>
    <col min="13069" max="13069" width="40.7109375" style="25" customWidth="1"/>
    <col min="13070" max="13314" width="9.140625" style="25"/>
    <col min="13315" max="13315" width="3.140625" style="25" customWidth="1"/>
    <col min="13316" max="13316" width="21.5703125" style="25" customWidth="1"/>
    <col min="13317" max="13317" width="17.85546875" style="25" customWidth="1"/>
    <col min="13318" max="13318" width="15.7109375" style="25" customWidth="1"/>
    <col min="13319" max="13319" width="10" style="25" customWidth="1"/>
    <col min="13320" max="13320" width="11" style="25" customWidth="1"/>
    <col min="13321" max="13321" width="8.7109375" style="25" customWidth="1"/>
    <col min="13322" max="13322" width="11.7109375" style="25" customWidth="1"/>
    <col min="13323" max="13323" width="11.140625" style="25" customWidth="1"/>
    <col min="13324" max="13324" width="17.140625" style="25" customWidth="1"/>
    <col min="13325" max="13325" width="40.7109375" style="25" customWidth="1"/>
    <col min="13326" max="13570" width="9.140625" style="25"/>
    <col min="13571" max="13571" width="3.140625" style="25" customWidth="1"/>
    <col min="13572" max="13572" width="21.5703125" style="25" customWidth="1"/>
    <col min="13573" max="13573" width="17.85546875" style="25" customWidth="1"/>
    <col min="13574" max="13574" width="15.7109375" style="25" customWidth="1"/>
    <col min="13575" max="13575" width="10" style="25" customWidth="1"/>
    <col min="13576" max="13576" width="11" style="25" customWidth="1"/>
    <col min="13577" max="13577" width="8.7109375" style="25" customWidth="1"/>
    <col min="13578" max="13578" width="11.7109375" style="25" customWidth="1"/>
    <col min="13579" max="13579" width="11.140625" style="25" customWidth="1"/>
    <col min="13580" max="13580" width="17.140625" style="25" customWidth="1"/>
    <col min="13581" max="13581" width="40.7109375" style="25" customWidth="1"/>
    <col min="13582" max="13826" width="9.140625" style="25"/>
    <col min="13827" max="13827" width="3.140625" style="25" customWidth="1"/>
    <col min="13828" max="13828" width="21.5703125" style="25" customWidth="1"/>
    <col min="13829" max="13829" width="17.85546875" style="25" customWidth="1"/>
    <col min="13830" max="13830" width="15.7109375" style="25" customWidth="1"/>
    <col min="13831" max="13831" width="10" style="25" customWidth="1"/>
    <col min="13832" max="13832" width="11" style="25" customWidth="1"/>
    <col min="13833" max="13833" width="8.7109375" style="25" customWidth="1"/>
    <col min="13834" max="13834" width="11.7109375" style="25" customWidth="1"/>
    <col min="13835" max="13835" width="11.140625" style="25" customWidth="1"/>
    <col min="13836" max="13836" width="17.140625" style="25" customWidth="1"/>
    <col min="13837" max="13837" width="40.7109375" style="25" customWidth="1"/>
    <col min="13838" max="14082" width="9.140625" style="25"/>
    <col min="14083" max="14083" width="3.140625" style="25" customWidth="1"/>
    <col min="14084" max="14084" width="21.5703125" style="25" customWidth="1"/>
    <col min="14085" max="14085" width="17.85546875" style="25" customWidth="1"/>
    <col min="14086" max="14086" width="15.7109375" style="25" customWidth="1"/>
    <col min="14087" max="14087" width="10" style="25" customWidth="1"/>
    <col min="14088" max="14088" width="11" style="25" customWidth="1"/>
    <col min="14089" max="14089" width="8.7109375" style="25" customWidth="1"/>
    <col min="14090" max="14090" width="11.7109375" style="25" customWidth="1"/>
    <col min="14091" max="14091" width="11.140625" style="25" customWidth="1"/>
    <col min="14092" max="14092" width="17.140625" style="25" customWidth="1"/>
    <col min="14093" max="14093" width="40.7109375" style="25" customWidth="1"/>
    <col min="14094" max="14338" width="9.140625" style="25"/>
    <col min="14339" max="14339" width="3.140625" style="25" customWidth="1"/>
    <col min="14340" max="14340" width="21.5703125" style="25" customWidth="1"/>
    <col min="14341" max="14341" width="17.85546875" style="25" customWidth="1"/>
    <col min="14342" max="14342" width="15.7109375" style="25" customWidth="1"/>
    <col min="14343" max="14343" width="10" style="25" customWidth="1"/>
    <col min="14344" max="14344" width="11" style="25" customWidth="1"/>
    <col min="14345" max="14345" width="8.7109375" style="25" customWidth="1"/>
    <col min="14346" max="14346" width="11.7109375" style="25" customWidth="1"/>
    <col min="14347" max="14347" width="11.140625" style="25" customWidth="1"/>
    <col min="14348" max="14348" width="17.140625" style="25" customWidth="1"/>
    <col min="14349" max="14349" width="40.7109375" style="25" customWidth="1"/>
    <col min="14350" max="14594" width="9.140625" style="25"/>
    <col min="14595" max="14595" width="3.140625" style="25" customWidth="1"/>
    <col min="14596" max="14596" width="21.5703125" style="25" customWidth="1"/>
    <col min="14597" max="14597" width="17.85546875" style="25" customWidth="1"/>
    <col min="14598" max="14598" width="15.7109375" style="25" customWidth="1"/>
    <col min="14599" max="14599" width="10" style="25" customWidth="1"/>
    <col min="14600" max="14600" width="11" style="25" customWidth="1"/>
    <col min="14601" max="14601" width="8.7109375" style="25" customWidth="1"/>
    <col min="14602" max="14602" width="11.7109375" style="25" customWidth="1"/>
    <col min="14603" max="14603" width="11.140625" style="25" customWidth="1"/>
    <col min="14604" max="14604" width="17.140625" style="25" customWidth="1"/>
    <col min="14605" max="14605" width="40.7109375" style="25" customWidth="1"/>
    <col min="14606" max="14850" width="9.140625" style="25"/>
    <col min="14851" max="14851" width="3.140625" style="25" customWidth="1"/>
    <col min="14852" max="14852" width="21.5703125" style="25" customWidth="1"/>
    <col min="14853" max="14853" width="17.85546875" style="25" customWidth="1"/>
    <col min="14854" max="14854" width="15.7109375" style="25" customWidth="1"/>
    <col min="14855" max="14855" width="10" style="25" customWidth="1"/>
    <col min="14856" max="14856" width="11" style="25" customWidth="1"/>
    <col min="14857" max="14857" width="8.7109375" style="25" customWidth="1"/>
    <col min="14858" max="14858" width="11.7109375" style="25" customWidth="1"/>
    <col min="14859" max="14859" width="11.140625" style="25" customWidth="1"/>
    <col min="14860" max="14860" width="17.140625" style="25" customWidth="1"/>
    <col min="14861" max="14861" width="40.7109375" style="25" customWidth="1"/>
    <col min="14862" max="15106" width="9.140625" style="25"/>
    <col min="15107" max="15107" width="3.140625" style="25" customWidth="1"/>
    <col min="15108" max="15108" width="21.5703125" style="25" customWidth="1"/>
    <col min="15109" max="15109" width="17.85546875" style="25" customWidth="1"/>
    <col min="15110" max="15110" width="15.7109375" style="25" customWidth="1"/>
    <col min="15111" max="15111" width="10" style="25" customWidth="1"/>
    <col min="15112" max="15112" width="11" style="25" customWidth="1"/>
    <col min="15113" max="15113" width="8.7109375" style="25" customWidth="1"/>
    <col min="15114" max="15114" width="11.7109375" style="25" customWidth="1"/>
    <col min="15115" max="15115" width="11.140625" style="25" customWidth="1"/>
    <col min="15116" max="15116" width="17.140625" style="25" customWidth="1"/>
    <col min="15117" max="15117" width="40.7109375" style="25" customWidth="1"/>
    <col min="15118" max="15362" width="9.140625" style="25"/>
    <col min="15363" max="15363" width="3.140625" style="25" customWidth="1"/>
    <col min="15364" max="15364" width="21.5703125" style="25" customWidth="1"/>
    <col min="15365" max="15365" width="17.85546875" style="25" customWidth="1"/>
    <col min="15366" max="15366" width="15.7109375" style="25" customWidth="1"/>
    <col min="15367" max="15367" width="10" style="25" customWidth="1"/>
    <col min="15368" max="15368" width="11" style="25" customWidth="1"/>
    <col min="15369" max="15369" width="8.7109375" style="25" customWidth="1"/>
    <col min="15370" max="15370" width="11.7109375" style="25" customWidth="1"/>
    <col min="15371" max="15371" width="11.140625" style="25" customWidth="1"/>
    <col min="15372" max="15372" width="17.140625" style="25" customWidth="1"/>
    <col min="15373" max="15373" width="40.7109375" style="25" customWidth="1"/>
    <col min="15374" max="15618" width="9.140625" style="25"/>
    <col min="15619" max="15619" width="3.140625" style="25" customWidth="1"/>
    <col min="15620" max="15620" width="21.5703125" style="25" customWidth="1"/>
    <col min="15621" max="15621" width="17.85546875" style="25" customWidth="1"/>
    <col min="15622" max="15622" width="15.7109375" style="25" customWidth="1"/>
    <col min="15623" max="15623" width="10" style="25" customWidth="1"/>
    <col min="15624" max="15624" width="11" style="25" customWidth="1"/>
    <col min="15625" max="15625" width="8.7109375" style="25" customWidth="1"/>
    <col min="15626" max="15626" width="11.7109375" style="25" customWidth="1"/>
    <col min="15627" max="15627" width="11.140625" style="25" customWidth="1"/>
    <col min="15628" max="15628" width="17.140625" style="25" customWidth="1"/>
    <col min="15629" max="15629" width="40.7109375" style="25" customWidth="1"/>
    <col min="15630" max="15874" width="9.140625" style="25"/>
    <col min="15875" max="15875" width="3.140625" style="25" customWidth="1"/>
    <col min="15876" max="15876" width="21.5703125" style="25" customWidth="1"/>
    <col min="15877" max="15877" width="17.85546875" style="25" customWidth="1"/>
    <col min="15878" max="15878" width="15.7109375" style="25" customWidth="1"/>
    <col min="15879" max="15879" width="10" style="25" customWidth="1"/>
    <col min="15880" max="15880" width="11" style="25" customWidth="1"/>
    <col min="15881" max="15881" width="8.7109375" style="25" customWidth="1"/>
    <col min="15882" max="15882" width="11.7109375" style="25" customWidth="1"/>
    <col min="15883" max="15883" width="11.140625" style="25" customWidth="1"/>
    <col min="15884" max="15884" width="17.140625" style="25" customWidth="1"/>
    <col min="15885" max="15885" width="40.7109375" style="25" customWidth="1"/>
    <col min="15886" max="16130" width="9.140625" style="25"/>
    <col min="16131" max="16131" width="3.140625" style="25" customWidth="1"/>
    <col min="16132" max="16132" width="21.5703125" style="25" customWidth="1"/>
    <col min="16133" max="16133" width="17.85546875" style="25" customWidth="1"/>
    <col min="16134" max="16134" width="15.7109375" style="25" customWidth="1"/>
    <col min="16135" max="16135" width="10" style="25" customWidth="1"/>
    <col min="16136" max="16136" width="11" style="25" customWidth="1"/>
    <col min="16137" max="16137" width="8.7109375" style="25" customWidth="1"/>
    <col min="16138" max="16138" width="11.7109375" style="25" customWidth="1"/>
    <col min="16139" max="16139" width="11.140625" style="25" customWidth="1"/>
    <col min="16140" max="16140" width="17.140625" style="25" customWidth="1"/>
    <col min="16141" max="16141" width="40.7109375" style="25" customWidth="1"/>
    <col min="16142" max="16384" width="9.140625" style="25"/>
  </cols>
  <sheetData>
    <row r="1" spans="1:13" ht="50.25" customHeight="1" x14ac:dyDescent="0.2">
      <c r="A1" s="947" t="s">
        <v>79</v>
      </c>
      <c r="B1" s="948"/>
      <c r="C1" s="948"/>
      <c r="D1" s="948"/>
      <c r="E1" s="948"/>
      <c r="F1" s="948"/>
      <c r="G1" s="948"/>
      <c r="H1" s="948"/>
      <c r="I1" s="948"/>
      <c r="J1" s="948"/>
      <c r="K1" s="948"/>
      <c r="L1" s="948"/>
      <c r="M1" s="949"/>
    </row>
    <row r="2" spans="1:13" ht="17.45" customHeight="1" x14ac:dyDescent="0.25">
      <c r="A2" s="652" t="s">
        <v>80</v>
      </c>
      <c r="B2" s="653"/>
      <c r="C2" s="654" t="s">
        <v>81</v>
      </c>
      <c r="D2" s="655" t="s">
        <v>82</v>
      </c>
      <c r="E2" s="656" t="s">
        <v>83</v>
      </c>
      <c r="F2" s="657" t="s">
        <v>84</v>
      </c>
      <c r="G2" s="658"/>
      <c r="H2" s="658" t="s">
        <v>80</v>
      </c>
      <c r="I2" s="659"/>
      <c r="J2" s="654" t="s">
        <v>81</v>
      </c>
      <c r="K2" s="655" t="s">
        <v>82</v>
      </c>
      <c r="L2" s="660" t="s">
        <v>83</v>
      </c>
      <c r="M2" s="661" t="s">
        <v>84</v>
      </c>
    </row>
    <row r="3" spans="1:13" ht="17.45" customHeight="1" x14ac:dyDescent="0.2">
      <c r="A3" s="662" t="s">
        <v>85</v>
      </c>
      <c r="B3" s="117">
        <v>1</v>
      </c>
      <c r="C3" s="228"/>
      <c r="D3" s="60"/>
      <c r="E3" s="232"/>
      <c r="F3" s="233"/>
      <c r="G3" s="672"/>
      <c r="H3" s="662" t="s">
        <v>71</v>
      </c>
      <c r="I3" s="117">
        <v>1</v>
      </c>
      <c r="J3" s="228"/>
      <c r="K3" s="60"/>
      <c r="L3" s="232"/>
      <c r="M3" s="234"/>
    </row>
    <row r="4" spans="1:13" ht="17.45" customHeight="1" x14ac:dyDescent="0.25">
      <c r="A4" s="235"/>
      <c r="B4" s="117">
        <v>2</v>
      </c>
      <c r="C4" s="228"/>
      <c r="D4" s="60"/>
      <c r="E4" s="236"/>
      <c r="F4" s="233"/>
      <c r="G4" s="672"/>
      <c r="H4" s="60"/>
      <c r="I4" s="117">
        <v>2</v>
      </c>
      <c r="J4" s="228"/>
      <c r="K4" s="60"/>
      <c r="L4" s="236"/>
      <c r="M4" s="234"/>
    </row>
    <row r="5" spans="1:13" ht="17.45" customHeight="1" x14ac:dyDescent="0.2">
      <c r="A5" s="83"/>
      <c r="B5" s="117">
        <v>3</v>
      </c>
      <c r="C5" s="228"/>
      <c r="D5" s="60"/>
      <c r="E5" s="232"/>
      <c r="F5" s="233"/>
      <c r="G5" s="672"/>
      <c r="H5" s="60"/>
      <c r="I5" s="117">
        <v>3</v>
      </c>
      <c r="J5" s="228"/>
      <c r="K5" s="60"/>
      <c r="L5" s="232"/>
      <c r="M5" s="234"/>
    </row>
    <row r="6" spans="1:13" ht="17.45" customHeight="1" x14ac:dyDescent="0.2">
      <c r="A6" s="237"/>
      <c r="B6" s="117">
        <v>4</v>
      </c>
      <c r="C6" s="238"/>
      <c r="D6" s="239"/>
      <c r="E6" s="240"/>
      <c r="F6" s="241"/>
      <c r="G6" s="679"/>
      <c r="H6" s="30"/>
      <c r="I6" s="117">
        <v>4</v>
      </c>
      <c r="J6" s="238"/>
      <c r="K6" s="239"/>
      <c r="L6" s="240"/>
      <c r="M6" s="242"/>
    </row>
    <row r="7" spans="1:13" ht="17.45" customHeight="1" x14ac:dyDescent="0.2">
      <c r="A7" s="237"/>
      <c r="B7" s="117">
        <v>5</v>
      </c>
      <c r="C7" s="238"/>
      <c r="D7" s="239"/>
      <c r="E7" s="240"/>
      <c r="F7" s="243"/>
      <c r="G7" s="680"/>
      <c r="H7" s="244"/>
      <c r="I7" s="117">
        <v>5</v>
      </c>
      <c r="J7" s="238"/>
      <c r="K7" s="239"/>
      <c r="L7" s="240"/>
      <c r="M7" s="245"/>
    </row>
    <row r="8" spans="1:13" ht="17.45" customHeight="1" x14ac:dyDescent="0.2">
      <c r="A8" s="83"/>
      <c r="B8" s="117">
        <v>6</v>
      </c>
      <c r="C8" s="228"/>
      <c r="D8" s="60"/>
      <c r="E8" s="232"/>
      <c r="F8" s="243"/>
      <c r="G8" s="680"/>
      <c r="H8" s="239"/>
      <c r="I8" s="117">
        <v>6</v>
      </c>
      <c r="J8" s="228"/>
      <c r="K8" s="60"/>
      <c r="L8" s="232"/>
      <c r="M8" s="245"/>
    </row>
    <row r="9" spans="1:13" ht="17.45" customHeight="1" x14ac:dyDescent="0.2">
      <c r="A9" s="83"/>
      <c r="B9" s="117">
        <v>7</v>
      </c>
      <c r="C9" s="228"/>
      <c r="D9" s="60"/>
      <c r="E9" s="232"/>
      <c r="F9" s="243"/>
      <c r="G9" s="680"/>
      <c r="H9" s="60"/>
      <c r="I9" s="117">
        <v>7</v>
      </c>
      <c r="J9" s="228"/>
      <c r="K9" s="60"/>
      <c r="L9" s="232"/>
      <c r="M9" s="245"/>
    </row>
    <row r="10" spans="1:13" ht="17.45" customHeight="1" x14ac:dyDescent="0.2">
      <c r="A10" s="83"/>
      <c r="B10" s="117">
        <v>8</v>
      </c>
      <c r="C10" s="228"/>
      <c r="D10" s="60"/>
      <c r="E10" s="232"/>
      <c r="F10" s="243"/>
      <c r="G10" s="680"/>
      <c r="H10" s="60"/>
      <c r="I10" s="117">
        <v>8</v>
      </c>
      <c r="J10" s="228"/>
      <c r="K10" s="60"/>
      <c r="L10" s="232"/>
      <c r="M10" s="245"/>
    </row>
    <row r="11" spans="1:13" ht="17.45" customHeight="1" thickBot="1" x14ac:dyDescent="0.25">
      <c r="A11" s="83"/>
      <c r="B11" s="117">
        <v>9</v>
      </c>
      <c r="C11" s="246"/>
      <c r="D11" s="247"/>
      <c r="E11" s="248"/>
      <c r="F11" s="249"/>
      <c r="G11" s="680"/>
      <c r="H11" s="60"/>
      <c r="I11" s="117">
        <v>9</v>
      </c>
      <c r="J11" s="246"/>
      <c r="K11" s="247"/>
      <c r="L11" s="248"/>
      <c r="M11" s="250"/>
    </row>
    <row r="12" spans="1:13" ht="17.45" customHeight="1" thickTop="1" x14ac:dyDescent="0.2">
      <c r="A12" s="673" t="s">
        <v>86</v>
      </c>
      <c r="B12" s="668"/>
      <c r="C12" s="669"/>
      <c r="D12" s="669"/>
      <c r="E12" s="670">
        <f>SUM(E3:E11)</f>
        <v>0</v>
      </c>
      <c r="F12" s="671">
        <f>SUM(F3:F11)</f>
        <v>0</v>
      </c>
      <c r="G12" s="680"/>
      <c r="H12" s="667" t="s">
        <v>86</v>
      </c>
      <c r="I12" s="668"/>
      <c r="J12" s="669"/>
      <c r="K12" s="669"/>
      <c r="L12" s="670">
        <f>SUM(L3:L11)</f>
        <v>0</v>
      </c>
      <c r="M12" s="671">
        <f>SUM(M3:M11)</f>
        <v>0</v>
      </c>
    </row>
    <row r="13" spans="1:13" ht="17.45" customHeight="1" x14ac:dyDescent="0.2">
      <c r="A13" s="662" t="s">
        <v>65</v>
      </c>
      <c r="B13" s="117">
        <v>1</v>
      </c>
      <c r="C13" s="228"/>
      <c r="D13" s="60"/>
      <c r="E13" s="232"/>
      <c r="F13" s="233"/>
      <c r="G13" s="680"/>
      <c r="H13" s="662" t="s">
        <v>66</v>
      </c>
      <c r="I13" s="117">
        <v>1</v>
      </c>
      <c r="J13" s="92"/>
      <c r="K13" s="36"/>
      <c r="L13" s="252"/>
      <c r="M13" s="253"/>
    </row>
    <row r="14" spans="1:13" ht="17.45" customHeight="1" x14ac:dyDescent="0.25">
      <c r="A14" s="83"/>
      <c r="B14" s="117">
        <v>2</v>
      </c>
      <c r="C14" s="228"/>
      <c r="D14" s="60"/>
      <c r="E14" s="236"/>
      <c r="F14" s="233"/>
      <c r="G14" s="680"/>
      <c r="H14" s="665"/>
      <c r="I14" s="117">
        <v>2</v>
      </c>
      <c r="J14" s="228"/>
      <c r="K14" s="60"/>
      <c r="L14" s="232"/>
      <c r="M14" s="234"/>
    </row>
    <row r="15" spans="1:13" ht="17.45" customHeight="1" x14ac:dyDescent="0.25">
      <c r="A15" s="83"/>
      <c r="B15" s="117">
        <v>3</v>
      </c>
      <c r="C15" s="228"/>
      <c r="D15" s="60"/>
      <c r="E15" s="232"/>
      <c r="F15" s="233"/>
      <c r="G15" s="680"/>
      <c r="H15" s="665"/>
      <c r="I15" s="117">
        <v>3</v>
      </c>
      <c r="J15" s="228"/>
      <c r="K15" s="60"/>
      <c r="L15" s="236"/>
      <c r="M15" s="234"/>
    </row>
    <row r="16" spans="1:13" ht="17.45" customHeight="1" x14ac:dyDescent="0.2">
      <c r="A16" s="71"/>
      <c r="B16" s="117">
        <v>4</v>
      </c>
      <c r="C16" s="238"/>
      <c r="D16" s="239"/>
      <c r="E16" s="240"/>
      <c r="F16" s="241"/>
      <c r="G16" s="681"/>
      <c r="H16" s="666"/>
      <c r="I16" s="117">
        <v>4</v>
      </c>
      <c r="J16" s="228"/>
      <c r="K16" s="60"/>
      <c r="L16" s="232"/>
      <c r="M16" s="234"/>
    </row>
    <row r="17" spans="1:13" ht="17.45" customHeight="1" x14ac:dyDescent="0.2">
      <c r="A17" s="235"/>
      <c r="B17" s="117">
        <v>5</v>
      </c>
      <c r="C17" s="238"/>
      <c r="D17" s="239"/>
      <c r="E17" s="240"/>
      <c r="F17" s="243"/>
      <c r="G17" s="682"/>
      <c r="H17" s="30"/>
      <c r="I17" s="117">
        <v>5</v>
      </c>
      <c r="J17" s="238"/>
      <c r="K17" s="239"/>
      <c r="L17" s="240"/>
      <c r="M17" s="242"/>
    </row>
    <row r="18" spans="1:13" ht="17.45" customHeight="1" x14ac:dyDescent="0.2">
      <c r="A18" s="237"/>
      <c r="B18" s="117">
        <v>6</v>
      </c>
      <c r="C18" s="228"/>
      <c r="D18" s="60"/>
      <c r="E18" s="232"/>
      <c r="F18" s="243"/>
      <c r="G18" s="682"/>
      <c r="H18" s="30"/>
      <c r="I18" s="117">
        <v>6</v>
      </c>
      <c r="J18" s="238"/>
      <c r="K18" s="239"/>
      <c r="L18" s="240"/>
      <c r="M18" s="245"/>
    </row>
    <row r="19" spans="1:13" ht="17.45" customHeight="1" x14ac:dyDescent="0.2">
      <c r="A19" s="83"/>
      <c r="B19" s="117">
        <v>7</v>
      </c>
      <c r="C19" s="228"/>
      <c r="D19" s="60"/>
      <c r="E19" s="232"/>
      <c r="F19" s="243"/>
      <c r="G19" s="682"/>
      <c r="H19" s="30"/>
      <c r="I19" s="117">
        <v>7</v>
      </c>
      <c r="J19" s="228"/>
      <c r="K19" s="60"/>
      <c r="L19" s="232"/>
      <c r="M19" s="245"/>
    </row>
    <row r="20" spans="1:13" ht="17.45" customHeight="1" x14ac:dyDescent="0.2">
      <c r="A20" s="83"/>
      <c r="B20" s="117">
        <v>8</v>
      </c>
      <c r="C20" s="228"/>
      <c r="D20" s="60"/>
      <c r="E20" s="232"/>
      <c r="F20" s="243"/>
      <c r="G20" s="682"/>
      <c r="H20" s="30"/>
      <c r="I20" s="117">
        <v>8</v>
      </c>
      <c r="J20" s="228"/>
      <c r="K20" s="60"/>
      <c r="L20" s="232"/>
      <c r="M20" s="245"/>
    </row>
    <row r="21" spans="1:13" ht="17.45" customHeight="1" thickBot="1" x14ac:dyDescent="0.25">
      <c r="A21" s="83"/>
      <c r="B21" s="117">
        <v>9</v>
      </c>
      <c r="C21" s="246"/>
      <c r="D21" s="247"/>
      <c r="E21" s="248"/>
      <c r="F21" s="249"/>
      <c r="G21" s="682"/>
      <c r="H21" s="30"/>
      <c r="I21" s="117">
        <v>9</v>
      </c>
      <c r="J21" s="246"/>
      <c r="K21" s="247"/>
      <c r="L21" s="248"/>
      <c r="M21" s="250"/>
    </row>
    <row r="22" spans="1:13" ht="17.45" customHeight="1" thickTop="1" x14ac:dyDescent="0.2">
      <c r="A22" s="673" t="s">
        <v>86</v>
      </c>
      <c r="B22" s="674"/>
      <c r="C22" s="669"/>
      <c r="D22" s="669"/>
      <c r="E22" s="670">
        <f>SUM(E13:E21)</f>
        <v>0</v>
      </c>
      <c r="F22" s="675">
        <f>SUM(F13:F21)</f>
        <v>0</v>
      </c>
      <c r="G22" s="682"/>
      <c r="H22" s="667" t="s">
        <v>86</v>
      </c>
      <c r="I22" s="676"/>
      <c r="J22" s="669"/>
      <c r="K22" s="669"/>
      <c r="L22" s="670">
        <f>SUM(L13:L21)</f>
        <v>0</v>
      </c>
      <c r="M22" s="671">
        <f>SUM(M13:M21)</f>
        <v>0</v>
      </c>
    </row>
    <row r="23" spans="1:13" ht="17.45" customHeight="1" x14ac:dyDescent="0.2">
      <c r="A23" s="662" t="s">
        <v>70</v>
      </c>
      <c r="B23" s="117">
        <v>1</v>
      </c>
      <c r="C23" s="228"/>
      <c r="D23" s="60"/>
      <c r="E23" s="232"/>
      <c r="F23" s="233"/>
      <c r="G23" s="682"/>
      <c r="H23" s="662" t="s">
        <v>87</v>
      </c>
      <c r="I23" s="117">
        <v>1</v>
      </c>
      <c r="J23" s="228"/>
      <c r="K23" s="60"/>
      <c r="L23" s="232"/>
      <c r="M23" s="234"/>
    </row>
    <row r="24" spans="1:13" ht="17.45" customHeight="1" x14ac:dyDescent="0.25">
      <c r="A24" s="83"/>
      <c r="B24" s="117">
        <v>2</v>
      </c>
      <c r="C24" s="228"/>
      <c r="D24" s="60"/>
      <c r="E24" s="236"/>
      <c r="F24" s="233"/>
      <c r="G24" s="682"/>
      <c r="H24" s="60"/>
      <c r="I24" s="117">
        <v>2</v>
      </c>
      <c r="J24" s="228"/>
      <c r="K24" s="60"/>
      <c r="L24" s="236"/>
      <c r="M24" s="234"/>
    </row>
    <row r="25" spans="1:13" ht="17.45" customHeight="1" x14ac:dyDescent="0.2">
      <c r="A25" s="83"/>
      <c r="B25" s="117">
        <v>3</v>
      </c>
      <c r="C25" s="228"/>
      <c r="D25" s="60"/>
      <c r="E25" s="232"/>
      <c r="F25" s="233"/>
      <c r="G25" s="682"/>
      <c r="H25" s="60"/>
      <c r="I25" s="117">
        <v>3</v>
      </c>
      <c r="J25" s="228"/>
      <c r="K25" s="60"/>
      <c r="L25" s="232"/>
      <c r="M25" s="234"/>
    </row>
    <row r="26" spans="1:13" ht="17.45" customHeight="1" x14ac:dyDescent="0.2">
      <c r="A26" s="71"/>
      <c r="B26" s="117">
        <v>4</v>
      </c>
      <c r="C26" s="238"/>
      <c r="D26" s="239"/>
      <c r="E26" s="240"/>
      <c r="F26" s="241"/>
      <c r="G26" s="682"/>
      <c r="H26" s="30"/>
      <c r="I26" s="117">
        <v>4</v>
      </c>
      <c r="J26" s="238"/>
      <c r="K26" s="239"/>
      <c r="L26" s="240"/>
      <c r="M26" s="242"/>
    </row>
    <row r="27" spans="1:13" ht="17.45" customHeight="1" x14ac:dyDescent="0.2">
      <c r="A27" s="235"/>
      <c r="B27" s="117">
        <v>5</v>
      </c>
      <c r="C27" s="238"/>
      <c r="D27" s="239"/>
      <c r="E27" s="240"/>
      <c r="F27" s="243"/>
      <c r="G27" s="682"/>
      <c r="H27" s="244"/>
      <c r="I27" s="117">
        <v>5</v>
      </c>
      <c r="J27" s="238"/>
      <c r="K27" s="239"/>
      <c r="L27" s="240"/>
      <c r="M27" s="245"/>
    </row>
    <row r="28" spans="1:13" ht="17.45" customHeight="1" x14ac:dyDescent="0.2">
      <c r="A28" s="237"/>
      <c r="B28" s="117">
        <v>6</v>
      </c>
      <c r="C28" s="228"/>
      <c r="D28" s="60"/>
      <c r="E28" s="232"/>
      <c r="F28" s="243"/>
      <c r="G28" s="682"/>
      <c r="H28" s="239"/>
      <c r="I28" s="117">
        <v>6</v>
      </c>
      <c r="J28" s="228"/>
      <c r="K28" s="60"/>
      <c r="L28" s="232"/>
      <c r="M28" s="245"/>
    </row>
    <row r="29" spans="1:13" ht="17.45" customHeight="1" x14ac:dyDescent="0.2">
      <c r="A29" s="83"/>
      <c r="B29" s="117">
        <v>7</v>
      </c>
      <c r="C29" s="228"/>
      <c r="D29" s="60"/>
      <c r="E29" s="232"/>
      <c r="F29" s="243"/>
      <c r="G29" s="682"/>
      <c r="H29" s="60"/>
      <c r="I29" s="117">
        <v>7</v>
      </c>
      <c r="J29" s="228"/>
      <c r="K29" s="60"/>
      <c r="L29" s="232"/>
      <c r="M29" s="245"/>
    </row>
    <row r="30" spans="1:13" ht="17.45" customHeight="1" x14ac:dyDescent="0.2">
      <c r="A30" s="83"/>
      <c r="B30" s="117">
        <v>8</v>
      </c>
      <c r="C30" s="228"/>
      <c r="D30" s="60"/>
      <c r="E30" s="232"/>
      <c r="F30" s="243"/>
      <c r="G30" s="682"/>
      <c r="H30" s="60"/>
      <c r="I30" s="117">
        <v>8</v>
      </c>
      <c r="J30" s="228"/>
      <c r="K30" s="60"/>
      <c r="L30" s="232"/>
      <c r="M30" s="245"/>
    </row>
    <row r="31" spans="1:13" ht="17.45" customHeight="1" thickBot="1" x14ac:dyDescent="0.25">
      <c r="A31" s="83"/>
      <c r="B31" s="117">
        <v>9</v>
      </c>
      <c r="C31" s="246"/>
      <c r="D31" s="247"/>
      <c r="E31" s="248"/>
      <c r="F31" s="249"/>
      <c r="G31" s="682"/>
      <c r="H31" s="60"/>
      <c r="I31" s="117">
        <v>9</v>
      </c>
      <c r="J31" s="246"/>
      <c r="K31" s="247"/>
      <c r="L31" s="248"/>
      <c r="M31" s="250"/>
    </row>
    <row r="32" spans="1:13" ht="13.5" thickTop="1" x14ac:dyDescent="0.2">
      <c r="A32" s="673" t="s">
        <v>86</v>
      </c>
      <c r="B32" s="677"/>
      <c r="C32" s="669"/>
      <c r="D32" s="669"/>
      <c r="E32" s="670">
        <f>SUM(E23:E31)</f>
        <v>0</v>
      </c>
      <c r="F32" s="675">
        <f>SUM(F23:F31)</f>
        <v>0</v>
      </c>
      <c r="G32" s="682"/>
      <c r="H32" s="667" t="s">
        <v>86</v>
      </c>
      <c r="I32" s="678"/>
      <c r="J32" s="669"/>
      <c r="K32" s="669"/>
      <c r="L32" s="670">
        <f>SUM(L23:L31)</f>
        <v>0</v>
      </c>
      <c r="M32" s="671">
        <f>SUM(M23:M31)</f>
        <v>0</v>
      </c>
    </row>
    <row r="33" spans="1:13" x14ac:dyDescent="0.2">
      <c r="A33" s="67"/>
      <c r="B33" s="7"/>
      <c r="C33" s="3"/>
      <c r="D33" s="3"/>
      <c r="E33" s="7"/>
      <c r="F33" s="14"/>
      <c r="G33" s="682"/>
      <c r="H33" s="3"/>
      <c r="I33" s="21"/>
      <c r="J33" s="4"/>
      <c r="K33" s="4"/>
      <c r="L33" s="3"/>
      <c r="M33" s="72"/>
    </row>
    <row r="34" spans="1:13" x14ac:dyDescent="0.2">
      <c r="A34" s="67"/>
      <c r="B34" s="7"/>
      <c r="C34" s="3"/>
      <c r="D34" s="3"/>
      <c r="E34" s="7"/>
      <c r="F34" s="14"/>
      <c r="G34" s="682"/>
      <c r="H34" s="3"/>
      <c r="I34" s="21"/>
      <c r="J34" s="4"/>
      <c r="K34" s="4"/>
      <c r="L34" s="3"/>
      <c r="M34" s="72"/>
    </row>
    <row r="35" spans="1:13" ht="13.5" thickBot="1" x14ac:dyDescent="0.25">
      <c r="A35" s="944" t="s">
        <v>88</v>
      </c>
      <c r="B35" s="945"/>
      <c r="C35" s="946"/>
      <c r="D35" s="3"/>
      <c r="E35" s="7"/>
      <c r="F35" s="14"/>
      <c r="G35" s="682"/>
      <c r="H35" s="3"/>
      <c r="I35" s="21"/>
      <c r="J35" s="4"/>
      <c r="K35" s="4"/>
      <c r="L35" s="3"/>
      <c r="M35" s="72"/>
    </row>
    <row r="36" spans="1:13" ht="13.5" thickTop="1" x14ac:dyDescent="0.2">
      <c r="A36" s="782" t="s">
        <v>89</v>
      </c>
      <c r="B36" s="663"/>
      <c r="C36" s="684">
        <f>SUM(E12,E22,E32,L32,L22,L12)</f>
        <v>0</v>
      </c>
      <c r="D36" s="3"/>
      <c r="E36" s="7"/>
      <c r="F36" s="14"/>
      <c r="G36" s="682"/>
      <c r="H36" s="3"/>
      <c r="I36" s="21"/>
      <c r="J36" s="4"/>
      <c r="K36" s="4"/>
      <c r="L36" s="3"/>
      <c r="M36" s="72"/>
    </row>
    <row r="37" spans="1:13" ht="13.5" thickBot="1" x14ac:dyDescent="0.25">
      <c r="A37" s="783" t="s">
        <v>84</v>
      </c>
      <c r="B37" s="664"/>
      <c r="C37" s="685">
        <f>SUM(F12,F22,F32,M32,M22,M12)</f>
        <v>0</v>
      </c>
      <c r="D37" s="70"/>
      <c r="E37" s="69"/>
      <c r="F37" s="254"/>
      <c r="G37" s="683"/>
      <c r="H37" s="70"/>
      <c r="I37" s="255"/>
      <c r="J37" s="109"/>
      <c r="K37" s="109"/>
      <c r="L37" s="70"/>
      <c r="M37" s="73"/>
    </row>
  </sheetData>
  <sheetProtection algorithmName="SHA-512" hashValue="jM79dY3slZZyzj67v7mdjlKB9RVaXOlKuopDuBGtjuBLRT1nzmZYWE3b5C63ScGCS2dQQFOV9hg/kUelMpTvbw==" saltValue="KCUHomjBuIheIUXZWZN1Zg==" spinCount="100000" sheet="1" insertRows="0" deleteRows="0" sort="0" autoFilter="0"/>
  <mergeCells count="2">
    <mergeCell ref="A35:C35"/>
    <mergeCell ref="A1:M1"/>
  </mergeCells>
  <conditionalFormatting sqref="H33:H65531 H11 H14:H17">
    <cfRule type="cellIs" dxfId="164" priority="4" stopIfTrue="1" operator="lessThan">
      <formula>-1000</formula>
    </cfRule>
  </conditionalFormatting>
  <conditionalFormatting sqref="L11">
    <cfRule type="cellIs" dxfId="163" priority="1" operator="equal">
      <formula>"OVERDUE"</formula>
    </cfRule>
    <cfRule type="cellIs" dxfId="162" priority="2" operator="equal">
      <formula>"COMPLETED"</formula>
    </cfRule>
    <cfRule type="cellIs" dxfId="161" priority="3" operator="equal">
      <formula>"ISSUE IDENTIFIED"</formula>
    </cfRule>
  </conditionalFormatting>
  <printOptions horizontalCentered="1"/>
  <pageMargins left="0.5" right="0.5" top="0.5" bottom="1" header="0.25" footer="0.5"/>
  <pageSetup scale="51" fitToHeight="0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21CDB-AA32-498B-911E-DBD0D9FECA6A}">
  <sheetPr codeName="Sheet4">
    <tabColor theme="2" tint="-9.9978637043366805E-2"/>
    <pageSetUpPr fitToPage="1"/>
  </sheetPr>
  <dimension ref="A1:P51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"/>
    </sheetView>
  </sheetViews>
  <sheetFormatPr defaultRowHeight="15" x14ac:dyDescent="0.25"/>
  <cols>
    <col min="1" max="1" width="71.42578125" bestFit="1" customWidth="1"/>
    <col min="2" max="14" width="4.7109375" customWidth="1"/>
    <col min="15" max="15" width="4.7109375" style="359" customWidth="1"/>
    <col min="16" max="16" width="59.42578125" bestFit="1" customWidth="1"/>
  </cols>
  <sheetData>
    <row r="1" spans="1:16" ht="40.5" customHeight="1" x14ac:dyDescent="0.25">
      <c r="A1" s="958" t="s">
        <v>1038</v>
      </c>
      <c r="B1" s="958"/>
      <c r="C1" s="958"/>
      <c r="D1" s="958"/>
      <c r="E1" s="958"/>
      <c r="F1" s="958"/>
      <c r="G1" s="958"/>
      <c r="H1" s="958"/>
      <c r="I1" s="958"/>
      <c r="J1" s="958"/>
      <c r="K1" s="958"/>
      <c r="L1" s="958"/>
      <c r="M1" s="958"/>
      <c r="N1" s="958"/>
      <c r="O1" s="958"/>
      <c r="P1" s="958"/>
    </row>
    <row r="2" spans="1:16" ht="15.75" thickBot="1" x14ac:dyDescent="0.3">
      <c r="B2" s="784" t="s">
        <v>876</v>
      </c>
    </row>
    <row r="3" spans="1:16" ht="99" customHeight="1" thickBot="1" x14ac:dyDescent="0.35">
      <c r="A3" s="385" t="s">
        <v>875</v>
      </c>
      <c r="B3" s="381" t="s">
        <v>874</v>
      </c>
      <c r="C3" s="383" t="s">
        <v>58</v>
      </c>
      <c r="D3" s="381" t="s">
        <v>59</v>
      </c>
      <c r="E3" s="383" t="s">
        <v>873</v>
      </c>
      <c r="F3" s="381" t="s">
        <v>849</v>
      </c>
      <c r="G3" s="383" t="s">
        <v>65</v>
      </c>
      <c r="H3" s="381" t="s">
        <v>66</v>
      </c>
      <c r="I3" s="383" t="s">
        <v>68</v>
      </c>
      <c r="J3" s="381" t="s">
        <v>69</v>
      </c>
      <c r="K3" s="383" t="s">
        <v>70</v>
      </c>
      <c r="L3" s="382" t="s">
        <v>71</v>
      </c>
      <c r="M3" s="384" t="s">
        <v>872</v>
      </c>
      <c r="N3" s="374"/>
      <c r="O3" s="373"/>
      <c r="P3" s="371"/>
    </row>
    <row r="4" spans="1:16" ht="16.5" thickTop="1" x14ac:dyDescent="0.25">
      <c r="A4" s="386" t="s">
        <v>871</v>
      </c>
      <c r="B4" s="364"/>
      <c r="C4" s="364"/>
      <c r="D4" s="364"/>
      <c r="E4" s="364"/>
      <c r="F4" s="364"/>
      <c r="G4" s="364"/>
      <c r="H4" s="364"/>
      <c r="I4" s="363"/>
      <c r="J4" s="363"/>
      <c r="K4" s="363"/>
      <c r="L4" s="364"/>
      <c r="M4" s="364"/>
      <c r="N4" s="950"/>
      <c r="O4" s="372" t="s">
        <v>870</v>
      </c>
      <c r="P4" s="371" t="s">
        <v>869</v>
      </c>
    </row>
    <row r="5" spans="1:16" x14ac:dyDescent="0.25">
      <c r="A5" s="366" t="s">
        <v>868</v>
      </c>
      <c r="B5" s="364"/>
      <c r="C5" s="364"/>
      <c r="D5" s="364"/>
      <c r="E5" s="364"/>
      <c r="F5" s="364"/>
      <c r="G5" s="364"/>
      <c r="H5" s="364"/>
      <c r="I5" s="364"/>
      <c r="J5" s="364"/>
      <c r="K5" s="364"/>
      <c r="L5" s="364"/>
      <c r="M5" s="364"/>
      <c r="N5" s="950"/>
      <c r="O5" s="785" t="s">
        <v>867</v>
      </c>
      <c r="P5" s="131" t="s">
        <v>866</v>
      </c>
    </row>
    <row r="6" spans="1:16" x14ac:dyDescent="0.25">
      <c r="A6" s="366" t="s">
        <v>865</v>
      </c>
      <c r="B6" s="364"/>
      <c r="C6" s="364"/>
      <c r="D6" s="364"/>
      <c r="E6" s="364"/>
      <c r="F6" s="364"/>
      <c r="G6" s="364"/>
      <c r="H6" s="364"/>
      <c r="I6" s="364"/>
      <c r="J6" s="364"/>
      <c r="K6" s="364"/>
      <c r="L6" s="364"/>
      <c r="M6" s="364"/>
      <c r="N6" s="950"/>
      <c r="O6" s="370" t="s">
        <v>864</v>
      </c>
      <c r="P6" s="131" t="s">
        <v>863</v>
      </c>
    </row>
    <row r="7" spans="1:16" ht="15.75" x14ac:dyDescent="0.25">
      <c r="A7" s="386" t="s">
        <v>862</v>
      </c>
      <c r="B7" s="364"/>
      <c r="C7" s="363"/>
      <c r="D7" s="363"/>
      <c r="E7" s="364"/>
      <c r="F7" s="363"/>
      <c r="G7" s="363"/>
      <c r="H7" s="363"/>
      <c r="I7" s="363"/>
      <c r="J7" s="363"/>
      <c r="K7" s="363"/>
      <c r="L7" s="363"/>
      <c r="M7" s="363"/>
      <c r="N7" s="950"/>
      <c r="O7" s="786" t="s">
        <v>861</v>
      </c>
      <c r="P7" s="131" t="s">
        <v>860</v>
      </c>
    </row>
    <row r="8" spans="1:16" ht="15.75" thickBot="1" x14ac:dyDescent="0.3">
      <c r="A8" s="366" t="s">
        <v>544</v>
      </c>
      <c r="B8" s="364"/>
      <c r="C8" s="364"/>
      <c r="D8" s="363"/>
      <c r="E8" s="364"/>
      <c r="F8" s="364"/>
      <c r="G8" s="363"/>
      <c r="H8" s="364"/>
      <c r="I8" s="363"/>
      <c r="J8" s="363"/>
      <c r="K8" s="363"/>
      <c r="L8" s="363"/>
      <c r="M8" s="364"/>
      <c r="N8" s="950"/>
      <c r="O8" s="369" t="s">
        <v>859</v>
      </c>
      <c r="P8" s="368" t="s">
        <v>50</v>
      </c>
    </row>
    <row r="9" spans="1:16" ht="16.5" thickTop="1" thickBot="1" x14ac:dyDescent="0.3">
      <c r="A9" s="366" t="s">
        <v>858</v>
      </c>
      <c r="B9" s="364"/>
      <c r="C9" s="364"/>
      <c r="D9" s="364"/>
      <c r="E9" s="364"/>
      <c r="F9" s="364"/>
      <c r="G9" s="363"/>
      <c r="H9" s="364"/>
      <c r="I9" s="363"/>
      <c r="J9" s="363"/>
      <c r="K9" s="364"/>
      <c r="L9" s="364"/>
      <c r="M9" s="364"/>
      <c r="N9" s="950"/>
      <c r="O9" s="951" t="s">
        <v>857</v>
      </c>
      <c r="P9" s="952"/>
    </row>
    <row r="10" spans="1:16" x14ac:dyDescent="0.25">
      <c r="A10" s="366" t="s">
        <v>856</v>
      </c>
      <c r="B10" s="364"/>
      <c r="C10" s="364"/>
      <c r="D10" s="364"/>
      <c r="E10" s="364"/>
      <c r="F10" s="364"/>
      <c r="G10" s="363"/>
      <c r="H10" s="364"/>
      <c r="I10" s="363"/>
      <c r="J10" s="363"/>
      <c r="K10" s="364"/>
      <c r="L10" s="364"/>
      <c r="M10" s="364"/>
      <c r="N10" s="953"/>
      <c r="O10" s="954"/>
      <c r="P10" s="955"/>
    </row>
    <row r="11" spans="1:16" x14ac:dyDescent="0.25">
      <c r="A11" s="366" t="s">
        <v>855</v>
      </c>
      <c r="B11" s="364"/>
      <c r="C11" s="364"/>
      <c r="D11" s="364"/>
      <c r="E11" s="364"/>
      <c r="F11" s="364"/>
      <c r="G11" s="363"/>
      <c r="H11" s="364"/>
      <c r="I11" s="363"/>
      <c r="J11" s="363"/>
      <c r="K11" s="364"/>
      <c r="L11" s="364"/>
      <c r="M11" s="364"/>
      <c r="N11" s="953"/>
      <c r="O11" s="954"/>
      <c r="P11" s="955"/>
    </row>
    <row r="12" spans="1:16" x14ac:dyDescent="0.25">
      <c r="A12" s="366" t="s">
        <v>611</v>
      </c>
      <c r="B12" s="364"/>
      <c r="C12" s="364"/>
      <c r="D12" s="364"/>
      <c r="E12" s="364"/>
      <c r="F12" s="364"/>
      <c r="G12" s="363"/>
      <c r="H12" s="364"/>
      <c r="I12" s="363"/>
      <c r="J12" s="363"/>
      <c r="K12" s="364"/>
      <c r="L12" s="364"/>
      <c r="M12" s="364"/>
      <c r="N12" s="953"/>
      <c r="O12" s="954"/>
      <c r="P12" s="955"/>
    </row>
    <row r="13" spans="1:16" x14ac:dyDescent="0.25">
      <c r="A13" s="366" t="s">
        <v>854</v>
      </c>
      <c r="B13" s="364"/>
      <c r="C13" s="364"/>
      <c r="D13" s="364"/>
      <c r="E13" s="364"/>
      <c r="F13" s="364"/>
      <c r="G13" s="363"/>
      <c r="H13" s="364"/>
      <c r="I13" s="363"/>
      <c r="J13" s="363"/>
      <c r="K13" s="364"/>
      <c r="L13" s="364"/>
      <c r="M13" s="364"/>
      <c r="N13" s="953"/>
      <c r="O13" s="954"/>
      <c r="P13" s="955"/>
    </row>
    <row r="14" spans="1:16" x14ac:dyDescent="0.25">
      <c r="A14" s="366" t="s">
        <v>853</v>
      </c>
      <c r="B14" s="364"/>
      <c r="C14" s="364"/>
      <c r="D14" s="364"/>
      <c r="E14" s="364"/>
      <c r="F14" s="364"/>
      <c r="G14" s="363"/>
      <c r="H14" s="364"/>
      <c r="I14" s="363"/>
      <c r="J14" s="363"/>
      <c r="K14" s="364"/>
      <c r="L14" s="364"/>
      <c r="M14" s="364"/>
      <c r="N14" s="953"/>
      <c r="O14" s="954"/>
      <c r="P14" s="955"/>
    </row>
    <row r="15" spans="1:16" x14ac:dyDescent="0.25">
      <c r="A15" s="366" t="s">
        <v>852</v>
      </c>
      <c r="B15" s="364"/>
      <c r="C15" s="364"/>
      <c r="D15" s="363"/>
      <c r="E15" s="364"/>
      <c r="F15" s="363"/>
      <c r="G15" s="363"/>
      <c r="H15" s="363"/>
      <c r="I15" s="363"/>
      <c r="J15" s="363"/>
      <c r="K15" s="363"/>
      <c r="L15" s="364"/>
      <c r="M15" s="364"/>
      <c r="N15" s="953"/>
      <c r="O15" s="954"/>
      <c r="P15" s="955"/>
    </row>
    <row r="16" spans="1:16" ht="15.75" x14ac:dyDescent="0.25">
      <c r="A16" s="386" t="s">
        <v>851</v>
      </c>
      <c r="B16" s="364"/>
      <c r="C16" s="363"/>
      <c r="D16" s="364"/>
      <c r="E16" s="363"/>
      <c r="F16" s="363"/>
      <c r="G16" s="363"/>
      <c r="H16" s="363"/>
      <c r="I16" s="364"/>
      <c r="J16" s="364"/>
      <c r="K16" s="364"/>
      <c r="L16" s="363"/>
      <c r="M16" s="363"/>
      <c r="N16" s="953"/>
      <c r="O16" s="954"/>
      <c r="P16" s="955"/>
    </row>
    <row r="17" spans="1:16" x14ac:dyDescent="0.25">
      <c r="A17" s="366" t="s">
        <v>850</v>
      </c>
      <c r="B17" s="364"/>
      <c r="C17" s="363"/>
      <c r="D17" s="364"/>
      <c r="E17" s="364"/>
      <c r="F17" s="363"/>
      <c r="G17" s="363"/>
      <c r="H17" s="364"/>
      <c r="I17" s="364"/>
      <c r="J17" s="364"/>
      <c r="K17" s="363"/>
      <c r="L17" s="364"/>
      <c r="M17" s="363"/>
      <c r="N17" s="953"/>
      <c r="O17" s="954"/>
      <c r="P17" s="955"/>
    </row>
    <row r="18" spans="1:16" x14ac:dyDescent="0.25">
      <c r="A18" s="366" t="s">
        <v>786</v>
      </c>
      <c r="B18" s="364"/>
      <c r="C18" s="363"/>
      <c r="D18" s="364"/>
      <c r="E18" s="364"/>
      <c r="F18" s="363"/>
      <c r="G18" s="363"/>
      <c r="H18" s="364"/>
      <c r="I18" s="364"/>
      <c r="J18" s="363"/>
      <c r="K18" s="363"/>
      <c r="L18" s="364"/>
      <c r="M18" s="363"/>
      <c r="N18" s="953"/>
      <c r="O18" s="954"/>
      <c r="P18" s="955"/>
    </row>
    <row r="19" spans="1:16" ht="15.75" x14ac:dyDescent="0.25">
      <c r="A19" s="386" t="s">
        <v>849</v>
      </c>
      <c r="B19" s="364"/>
      <c r="C19" s="363"/>
      <c r="D19" s="364"/>
      <c r="E19" s="364"/>
      <c r="F19" s="363"/>
      <c r="G19" s="363"/>
      <c r="H19" s="363"/>
      <c r="I19" s="363"/>
      <c r="J19" s="363"/>
      <c r="K19" s="363"/>
      <c r="L19" s="363"/>
      <c r="M19" s="363"/>
      <c r="N19" s="953"/>
      <c r="O19" s="954"/>
      <c r="P19" s="955"/>
    </row>
    <row r="20" spans="1:16" x14ac:dyDescent="0.25">
      <c r="A20" s="366" t="s">
        <v>848</v>
      </c>
      <c r="B20" s="364"/>
      <c r="C20" s="364"/>
      <c r="D20" s="364"/>
      <c r="E20" s="363"/>
      <c r="F20" s="364"/>
      <c r="G20" s="363"/>
      <c r="H20" s="364"/>
      <c r="I20" s="364"/>
      <c r="J20" s="364"/>
      <c r="K20" s="364"/>
      <c r="L20" s="364"/>
      <c r="M20" s="364"/>
      <c r="N20" s="953"/>
      <c r="O20" s="954"/>
      <c r="P20" s="955"/>
    </row>
    <row r="21" spans="1:16" x14ac:dyDescent="0.25">
      <c r="A21" s="367" t="s">
        <v>847</v>
      </c>
      <c r="B21" s="364"/>
      <c r="C21" s="363"/>
      <c r="D21" s="364"/>
      <c r="E21" s="363"/>
      <c r="F21" s="364"/>
      <c r="G21" s="363"/>
      <c r="H21" s="364"/>
      <c r="I21" s="364"/>
      <c r="J21" s="364"/>
      <c r="K21" s="364"/>
      <c r="L21" s="364"/>
      <c r="M21" s="364"/>
      <c r="N21" s="953"/>
      <c r="O21" s="954"/>
      <c r="P21" s="955"/>
    </row>
    <row r="22" spans="1:16" x14ac:dyDescent="0.25">
      <c r="A22" s="367" t="s">
        <v>846</v>
      </c>
      <c r="B22" s="364"/>
      <c r="C22" s="363"/>
      <c r="D22" s="364"/>
      <c r="E22" s="363"/>
      <c r="F22" s="364"/>
      <c r="G22" s="363"/>
      <c r="H22" s="364"/>
      <c r="I22" s="364"/>
      <c r="J22" s="364"/>
      <c r="K22" s="364"/>
      <c r="L22" s="364"/>
      <c r="M22" s="364"/>
      <c r="N22" s="953"/>
      <c r="O22" s="954"/>
      <c r="P22" s="955"/>
    </row>
    <row r="23" spans="1:16" x14ac:dyDescent="0.25">
      <c r="A23" s="366" t="s">
        <v>845</v>
      </c>
      <c r="B23" s="364"/>
      <c r="C23" s="363"/>
      <c r="D23" s="364"/>
      <c r="E23" s="363"/>
      <c r="F23" s="364"/>
      <c r="G23" s="363"/>
      <c r="H23" s="364"/>
      <c r="I23" s="364"/>
      <c r="J23" s="364"/>
      <c r="K23" s="364"/>
      <c r="L23" s="364"/>
      <c r="M23" s="364"/>
      <c r="N23" s="953"/>
      <c r="O23" s="954"/>
      <c r="P23" s="955"/>
    </row>
    <row r="24" spans="1:16" x14ac:dyDescent="0.25">
      <c r="A24" s="366" t="s">
        <v>844</v>
      </c>
      <c r="B24" s="364"/>
      <c r="C24" s="363"/>
      <c r="D24" s="364"/>
      <c r="E24" s="363"/>
      <c r="F24" s="364"/>
      <c r="G24" s="363"/>
      <c r="H24" s="364"/>
      <c r="I24" s="364"/>
      <c r="J24" s="364"/>
      <c r="K24" s="364"/>
      <c r="L24" s="364"/>
      <c r="M24" s="364"/>
      <c r="N24" s="953"/>
      <c r="O24" s="954"/>
      <c r="P24" s="955"/>
    </row>
    <row r="25" spans="1:16" x14ac:dyDescent="0.25">
      <c r="A25" s="366" t="s">
        <v>843</v>
      </c>
      <c r="B25" s="364"/>
      <c r="C25" s="363"/>
      <c r="D25" s="364"/>
      <c r="E25" s="363"/>
      <c r="F25" s="364"/>
      <c r="G25" s="363"/>
      <c r="H25" s="363"/>
      <c r="I25" s="363"/>
      <c r="J25" s="363"/>
      <c r="K25" s="363"/>
      <c r="L25" s="364"/>
      <c r="M25" s="364"/>
      <c r="N25" s="953"/>
      <c r="O25" s="954"/>
      <c r="P25" s="955"/>
    </row>
    <row r="26" spans="1:16" ht="15.75" x14ac:dyDescent="0.25">
      <c r="A26" s="386" t="s">
        <v>842</v>
      </c>
      <c r="B26" s="364"/>
      <c r="C26" s="364"/>
      <c r="D26" s="363"/>
      <c r="E26" s="364"/>
      <c r="F26" s="364"/>
      <c r="G26" s="363"/>
      <c r="H26" s="363"/>
      <c r="I26" s="363"/>
      <c r="J26" s="363"/>
      <c r="K26" s="363"/>
      <c r="L26" s="363"/>
      <c r="M26" s="363"/>
      <c r="N26" s="953"/>
      <c r="O26" s="954"/>
      <c r="P26" s="955"/>
    </row>
    <row r="27" spans="1:16" x14ac:dyDescent="0.25">
      <c r="A27" s="366" t="s">
        <v>841</v>
      </c>
      <c r="B27" s="364"/>
      <c r="C27" s="364"/>
      <c r="D27" s="363"/>
      <c r="E27" s="364"/>
      <c r="F27" s="364"/>
      <c r="G27" s="363"/>
      <c r="H27" s="363"/>
      <c r="I27" s="363"/>
      <c r="J27" s="363"/>
      <c r="K27" s="363"/>
      <c r="L27" s="363"/>
      <c r="M27" s="363"/>
      <c r="N27" s="953"/>
      <c r="O27" s="954"/>
      <c r="P27" s="955"/>
    </row>
    <row r="28" spans="1:16" x14ac:dyDescent="0.25">
      <c r="A28" s="366" t="s">
        <v>840</v>
      </c>
      <c r="B28" s="364"/>
      <c r="C28" s="363"/>
      <c r="D28" s="363"/>
      <c r="E28" s="364"/>
      <c r="F28" s="364"/>
      <c r="G28" s="363"/>
      <c r="H28" s="363"/>
      <c r="I28" s="363"/>
      <c r="J28" s="363"/>
      <c r="K28" s="363"/>
      <c r="L28" s="364"/>
      <c r="M28" s="364"/>
      <c r="N28" s="953"/>
      <c r="O28" s="954"/>
      <c r="P28" s="955"/>
    </row>
    <row r="29" spans="1:16" x14ac:dyDescent="0.25">
      <c r="A29" s="366" t="s">
        <v>839</v>
      </c>
      <c r="B29" s="364"/>
      <c r="C29" s="363"/>
      <c r="D29" s="363"/>
      <c r="E29" s="364"/>
      <c r="F29" s="364"/>
      <c r="G29" s="363"/>
      <c r="H29" s="363"/>
      <c r="I29" s="363"/>
      <c r="J29" s="363"/>
      <c r="K29" s="363"/>
      <c r="L29" s="364"/>
      <c r="M29" s="364"/>
      <c r="N29" s="953"/>
      <c r="O29" s="954"/>
      <c r="P29" s="955"/>
    </row>
    <row r="30" spans="1:16" x14ac:dyDescent="0.25">
      <c r="A30" s="366" t="s">
        <v>838</v>
      </c>
      <c r="B30" s="364"/>
      <c r="C30" s="363"/>
      <c r="D30" s="363"/>
      <c r="E30" s="363"/>
      <c r="F30" s="363"/>
      <c r="G30" s="363"/>
      <c r="H30" s="363"/>
      <c r="I30" s="363"/>
      <c r="J30" s="363"/>
      <c r="K30" s="363"/>
      <c r="L30" s="364"/>
      <c r="M30" s="363"/>
      <c r="N30" s="953"/>
      <c r="O30" s="954"/>
      <c r="P30" s="955"/>
    </row>
    <row r="31" spans="1:16" x14ac:dyDescent="0.25">
      <c r="A31" s="366" t="s">
        <v>837</v>
      </c>
      <c r="B31" s="364"/>
      <c r="C31" s="363"/>
      <c r="D31" s="364"/>
      <c r="E31" s="364"/>
      <c r="F31" s="364"/>
      <c r="G31" s="363"/>
      <c r="H31" s="363"/>
      <c r="I31" s="363"/>
      <c r="J31" s="363"/>
      <c r="K31" s="363"/>
      <c r="L31" s="364"/>
      <c r="M31" s="364"/>
      <c r="N31" s="953"/>
      <c r="O31" s="954"/>
      <c r="P31" s="955"/>
    </row>
    <row r="32" spans="1:16" x14ac:dyDescent="0.25">
      <c r="A32" s="366" t="s">
        <v>836</v>
      </c>
      <c r="B32" s="364"/>
      <c r="C32" s="363"/>
      <c r="D32" s="364"/>
      <c r="E32" s="364"/>
      <c r="F32" s="364"/>
      <c r="G32" s="363"/>
      <c r="H32" s="363"/>
      <c r="I32" s="363"/>
      <c r="J32" s="363"/>
      <c r="K32" s="363"/>
      <c r="L32" s="364"/>
      <c r="M32" s="363"/>
      <c r="N32" s="953"/>
      <c r="O32" s="954"/>
      <c r="P32" s="955"/>
    </row>
    <row r="33" spans="1:16" ht="15.75" x14ac:dyDescent="0.25">
      <c r="A33" s="386" t="s">
        <v>66</v>
      </c>
      <c r="B33" s="364"/>
      <c r="C33" s="363"/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953"/>
      <c r="O33" s="954"/>
      <c r="P33" s="955"/>
    </row>
    <row r="34" spans="1:16" x14ac:dyDescent="0.25">
      <c r="A34" s="366" t="s">
        <v>262</v>
      </c>
      <c r="B34" s="364"/>
      <c r="C34" s="363"/>
      <c r="D34" s="363"/>
      <c r="E34" s="363"/>
      <c r="F34" s="363"/>
      <c r="G34" s="363"/>
      <c r="H34" s="364"/>
      <c r="I34" s="363"/>
      <c r="J34" s="364"/>
      <c r="K34" s="363"/>
      <c r="L34" s="364"/>
      <c r="M34" s="364"/>
      <c r="N34" s="953"/>
      <c r="O34" s="954"/>
      <c r="P34" s="955"/>
    </row>
    <row r="35" spans="1:16" x14ac:dyDescent="0.25">
      <c r="A35" s="366" t="s">
        <v>835</v>
      </c>
      <c r="B35" s="364"/>
      <c r="C35" s="363"/>
      <c r="D35" s="363"/>
      <c r="E35" s="363"/>
      <c r="F35" s="363"/>
      <c r="G35" s="363"/>
      <c r="H35" s="364"/>
      <c r="I35" s="364"/>
      <c r="J35" s="363"/>
      <c r="K35" s="363"/>
      <c r="L35" s="364"/>
      <c r="M35" s="364"/>
      <c r="N35" s="953"/>
      <c r="O35" s="954"/>
      <c r="P35" s="955"/>
    </row>
    <row r="36" spans="1:16" x14ac:dyDescent="0.25">
      <c r="A36" s="366" t="s">
        <v>834</v>
      </c>
      <c r="B36" s="364"/>
      <c r="C36" s="363"/>
      <c r="D36" s="363"/>
      <c r="E36" s="363"/>
      <c r="F36" s="363"/>
      <c r="G36" s="363"/>
      <c r="H36" s="364"/>
      <c r="I36" s="364"/>
      <c r="J36" s="363"/>
      <c r="K36" s="363"/>
      <c r="L36" s="364"/>
      <c r="M36" s="364"/>
      <c r="N36" s="953"/>
      <c r="O36" s="954"/>
      <c r="P36" s="955"/>
    </row>
    <row r="37" spans="1:16" x14ac:dyDescent="0.25">
      <c r="A37" s="366" t="s">
        <v>833</v>
      </c>
      <c r="B37" s="364"/>
      <c r="C37" s="363"/>
      <c r="D37" s="363"/>
      <c r="E37" s="363"/>
      <c r="F37" s="363"/>
      <c r="G37" s="363"/>
      <c r="H37" s="364"/>
      <c r="I37" s="364"/>
      <c r="J37" s="363"/>
      <c r="K37" s="363"/>
      <c r="L37" s="364"/>
      <c r="M37" s="364"/>
      <c r="N37" s="953"/>
      <c r="O37" s="954"/>
      <c r="P37" s="955"/>
    </row>
    <row r="38" spans="1:16" x14ac:dyDescent="0.25">
      <c r="A38" s="366" t="s">
        <v>832</v>
      </c>
      <c r="B38" s="364"/>
      <c r="C38" s="363"/>
      <c r="D38" s="363"/>
      <c r="E38" s="363"/>
      <c r="F38" s="363"/>
      <c r="G38" s="363"/>
      <c r="H38" s="364"/>
      <c r="I38" s="364"/>
      <c r="J38" s="363"/>
      <c r="K38" s="363"/>
      <c r="L38" s="364"/>
      <c r="M38" s="364"/>
      <c r="N38" s="953"/>
      <c r="O38" s="954"/>
      <c r="P38" s="955"/>
    </row>
    <row r="39" spans="1:16" x14ac:dyDescent="0.25">
      <c r="A39" s="366" t="s">
        <v>831</v>
      </c>
      <c r="B39" s="364"/>
      <c r="C39" s="363"/>
      <c r="D39" s="363"/>
      <c r="E39" s="363"/>
      <c r="F39" s="363"/>
      <c r="G39" s="363"/>
      <c r="H39" s="364"/>
      <c r="I39" s="364"/>
      <c r="J39" s="363"/>
      <c r="K39" s="363"/>
      <c r="L39" s="364"/>
      <c r="M39" s="364"/>
      <c r="N39" s="953"/>
      <c r="O39" s="954"/>
      <c r="P39" s="955"/>
    </row>
    <row r="40" spans="1:16" ht="15.75" x14ac:dyDescent="0.25">
      <c r="A40" s="386" t="s">
        <v>70</v>
      </c>
      <c r="B40" s="364"/>
      <c r="C40" s="363"/>
      <c r="D40" s="363"/>
      <c r="E40" s="363"/>
      <c r="F40" s="363"/>
      <c r="G40" s="363"/>
      <c r="H40" s="363"/>
      <c r="I40" s="363"/>
      <c r="J40" s="363"/>
      <c r="K40" s="363"/>
      <c r="L40" s="363"/>
      <c r="M40" s="363"/>
      <c r="N40" s="953"/>
      <c r="O40" s="954"/>
      <c r="P40" s="955"/>
    </row>
    <row r="41" spans="1:16" x14ac:dyDescent="0.25">
      <c r="A41" s="366" t="s">
        <v>830</v>
      </c>
      <c r="B41" s="364"/>
      <c r="C41" s="363"/>
      <c r="D41" s="363"/>
      <c r="E41" s="363"/>
      <c r="F41" s="363"/>
      <c r="G41" s="363"/>
      <c r="H41" s="363"/>
      <c r="I41" s="363"/>
      <c r="J41" s="363"/>
      <c r="K41" s="363"/>
      <c r="L41" s="363"/>
      <c r="M41" s="363"/>
      <c r="N41" s="953"/>
      <c r="O41" s="954"/>
      <c r="P41" s="955"/>
    </row>
    <row r="42" spans="1:16" x14ac:dyDescent="0.25">
      <c r="A42" s="366" t="s">
        <v>829</v>
      </c>
      <c r="B42" s="364"/>
      <c r="C42" s="363"/>
      <c r="D42" s="363"/>
      <c r="E42" s="363"/>
      <c r="F42" s="363"/>
      <c r="G42" s="363"/>
      <c r="H42" s="363"/>
      <c r="I42" s="363"/>
      <c r="J42" s="363"/>
      <c r="K42" s="363"/>
      <c r="L42" s="363"/>
      <c r="M42" s="363"/>
      <c r="N42" s="953"/>
      <c r="O42" s="954"/>
      <c r="P42" s="955"/>
    </row>
    <row r="43" spans="1:16" x14ac:dyDescent="0.25">
      <c r="A43" s="366" t="s">
        <v>828</v>
      </c>
      <c r="B43" s="364"/>
      <c r="C43" s="363"/>
      <c r="D43" s="363"/>
      <c r="E43" s="363"/>
      <c r="F43" s="363"/>
      <c r="G43" s="363"/>
      <c r="H43" s="363"/>
      <c r="I43" s="363"/>
      <c r="J43" s="363"/>
      <c r="K43" s="363"/>
      <c r="L43" s="363"/>
      <c r="M43" s="363"/>
      <c r="N43" s="953"/>
      <c r="O43" s="954"/>
      <c r="P43" s="955"/>
    </row>
    <row r="44" spans="1:16" x14ac:dyDescent="0.25">
      <c r="A44" s="366" t="s">
        <v>827</v>
      </c>
      <c r="B44" s="364"/>
      <c r="C44" s="363"/>
      <c r="D44" s="363"/>
      <c r="E44" s="363"/>
      <c r="F44" s="363"/>
      <c r="G44" s="363"/>
      <c r="H44" s="363"/>
      <c r="I44" s="363"/>
      <c r="J44" s="363"/>
      <c r="K44" s="363"/>
      <c r="L44" s="363"/>
      <c r="M44" s="363"/>
      <c r="N44" s="953"/>
      <c r="O44" s="954"/>
      <c r="P44" s="955"/>
    </row>
    <row r="45" spans="1:16" x14ac:dyDescent="0.25">
      <c r="A45" s="366" t="s">
        <v>826</v>
      </c>
      <c r="B45" s="364"/>
      <c r="C45" s="364"/>
      <c r="D45" s="364"/>
      <c r="E45" s="363"/>
      <c r="F45" s="363"/>
      <c r="G45" s="364"/>
      <c r="H45" s="364"/>
      <c r="I45" s="364"/>
      <c r="J45" s="364"/>
      <c r="K45" s="363"/>
      <c r="L45" s="364"/>
      <c r="M45" s="364"/>
      <c r="N45" s="953"/>
      <c r="O45" s="954"/>
      <c r="P45" s="955"/>
    </row>
    <row r="46" spans="1:16" ht="15.75" x14ac:dyDescent="0.25">
      <c r="A46" s="386" t="s">
        <v>825</v>
      </c>
      <c r="B46" s="364"/>
      <c r="C46" s="364"/>
      <c r="D46" s="364"/>
      <c r="E46" s="363"/>
      <c r="F46" s="363"/>
      <c r="G46" s="364"/>
      <c r="H46" s="364"/>
      <c r="I46" s="364"/>
      <c r="J46" s="364"/>
      <c r="K46" s="363"/>
      <c r="L46" s="364"/>
      <c r="M46" s="364"/>
      <c r="N46" s="953"/>
      <c r="O46" s="954"/>
      <c r="P46" s="955"/>
    </row>
    <row r="47" spans="1:16" x14ac:dyDescent="0.25">
      <c r="A47" s="366"/>
      <c r="B47" s="364"/>
      <c r="C47" s="364"/>
      <c r="D47" s="364"/>
      <c r="E47" s="363"/>
      <c r="F47" s="363"/>
      <c r="G47" s="364"/>
      <c r="H47" s="364"/>
      <c r="I47" s="364"/>
      <c r="J47" s="364"/>
      <c r="K47" s="363"/>
      <c r="L47" s="364"/>
      <c r="M47" s="364"/>
      <c r="N47" s="953"/>
      <c r="O47" s="954"/>
      <c r="P47" s="955"/>
    </row>
    <row r="48" spans="1:16" x14ac:dyDescent="0.25">
      <c r="A48" s="366"/>
      <c r="B48" s="364"/>
      <c r="C48" s="364"/>
      <c r="D48" s="364"/>
      <c r="E48" s="363"/>
      <c r="F48" s="363"/>
      <c r="G48" s="364"/>
      <c r="H48" s="364"/>
      <c r="I48" s="364"/>
      <c r="J48" s="364"/>
      <c r="K48" s="363"/>
      <c r="L48" s="364"/>
      <c r="M48" s="364"/>
      <c r="N48" s="953"/>
      <c r="O48" s="954"/>
      <c r="P48" s="955"/>
    </row>
    <row r="49" spans="1:16" x14ac:dyDescent="0.25">
      <c r="A49" s="366"/>
      <c r="B49" s="364"/>
      <c r="C49" s="364"/>
      <c r="D49" s="364"/>
      <c r="E49" s="363"/>
      <c r="F49" s="363"/>
      <c r="G49" s="364"/>
      <c r="H49" s="364"/>
      <c r="I49" s="364"/>
      <c r="J49" s="364"/>
      <c r="K49" s="363"/>
      <c r="L49" s="364"/>
      <c r="M49" s="364"/>
      <c r="N49" s="953"/>
      <c r="O49" s="954"/>
      <c r="P49" s="955"/>
    </row>
    <row r="50" spans="1:16" x14ac:dyDescent="0.25">
      <c r="A50" s="365"/>
      <c r="B50" s="364"/>
      <c r="C50" s="363"/>
      <c r="D50" s="363"/>
      <c r="E50" s="363"/>
      <c r="F50" s="363"/>
      <c r="G50" s="363"/>
      <c r="H50" s="363"/>
      <c r="I50" s="363"/>
      <c r="J50" s="363"/>
      <c r="K50" s="363"/>
      <c r="L50" s="363"/>
      <c r="M50" s="363"/>
      <c r="N50" s="953"/>
      <c r="O50" s="954"/>
      <c r="P50" s="955"/>
    </row>
    <row r="51" spans="1:16" ht="15.75" thickBot="1" x14ac:dyDescent="0.3">
      <c r="A51" s="362"/>
      <c r="B51" s="361"/>
      <c r="C51" s="360"/>
      <c r="D51" s="360"/>
      <c r="E51" s="360"/>
      <c r="F51" s="360"/>
      <c r="G51" s="360"/>
      <c r="H51" s="360"/>
      <c r="I51" s="360"/>
      <c r="J51" s="360"/>
      <c r="K51" s="360"/>
      <c r="L51" s="360"/>
      <c r="M51" s="360"/>
      <c r="N51" s="956"/>
      <c r="O51" s="957"/>
      <c r="P51" s="952"/>
    </row>
  </sheetData>
  <mergeCells count="4">
    <mergeCell ref="N4:N9"/>
    <mergeCell ref="O9:P9"/>
    <mergeCell ref="N10:P51"/>
    <mergeCell ref="A1:P1"/>
  </mergeCells>
  <printOptions horizontalCentered="1"/>
  <pageMargins left="0.2" right="0.2" top="0.5" bottom="0.75" header="0.05" footer="0.3"/>
  <pageSetup scale="60" orientation="landscape" r:id="rId1"/>
  <headerFooter>
    <oddFooter>&amp;L&amp;K0C3964&amp;F, &amp;A, &amp;D&amp;C&amp;"-,Bold Italic"&amp;14&amp;KC85532Confidential&amp;R&amp;G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9372-5AC8-4E3C-97E1-85F6072339A0}">
  <sheetPr codeName="Sheet23">
    <tabColor rgb="FF0C3964"/>
    <pageSetUpPr fitToPage="1"/>
  </sheetPr>
  <dimension ref="A1:L19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 sqref="A1:K1"/>
    </sheetView>
  </sheetViews>
  <sheetFormatPr defaultColWidth="8.85546875" defaultRowHeight="12.75" x14ac:dyDescent="0.2"/>
  <cols>
    <col min="1" max="1" width="18.42578125" style="25" customWidth="1"/>
    <col min="2" max="2" width="87.7109375" style="27" customWidth="1"/>
    <col min="3" max="3" width="33.140625" style="25" customWidth="1"/>
    <col min="4" max="6" width="13.7109375" style="5" customWidth="1"/>
    <col min="7" max="7" width="13.7109375" style="221" customWidth="1"/>
    <col min="8" max="8" width="14.42578125" style="25" bestFit="1" customWidth="1"/>
    <col min="9" max="9" width="12.42578125" style="27" customWidth="1"/>
    <col min="10" max="10" width="26" style="25" bestFit="1" customWidth="1"/>
    <col min="11" max="11" width="40.42578125" style="25" customWidth="1"/>
    <col min="12" max="12" width="15.42578125" style="25" customWidth="1"/>
    <col min="13" max="256" width="8.85546875" style="25"/>
    <col min="257" max="257" width="10.42578125" style="25" customWidth="1"/>
    <col min="258" max="258" width="50.42578125" style="25" customWidth="1"/>
    <col min="259" max="259" width="15.42578125" style="25" customWidth="1"/>
    <col min="260" max="263" width="10.42578125" style="25" customWidth="1"/>
    <col min="264" max="265" width="12.42578125" style="25" customWidth="1"/>
    <col min="266" max="266" width="15.42578125" style="25" customWidth="1"/>
    <col min="267" max="267" width="40.42578125" style="25" customWidth="1"/>
    <col min="268" max="268" width="15.42578125" style="25" customWidth="1"/>
    <col min="269" max="512" width="8.85546875" style="25"/>
    <col min="513" max="513" width="10.42578125" style="25" customWidth="1"/>
    <col min="514" max="514" width="50.42578125" style="25" customWidth="1"/>
    <col min="515" max="515" width="15.42578125" style="25" customWidth="1"/>
    <col min="516" max="519" width="10.42578125" style="25" customWidth="1"/>
    <col min="520" max="521" width="12.42578125" style="25" customWidth="1"/>
    <col min="522" max="522" width="15.42578125" style="25" customWidth="1"/>
    <col min="523" max="523" width="40.42578125" style="25" customWidth="1"/>
    <col min="524" max="524" width="15.42578125" style="25" customWidth="1"/>
    <col min="525" max="768" width="8.85546875" style="25"/>
    <col min="769" max="769" width="10.42578125" style="25" customWidth="1"/>
    <col min="770" max="770" width="50.42578125" style="25" customWidth="1"/>
    <col min="771" max="771" width="15.42578125" style="25" customWidth="1"/>
    <col min="772" max="775" width="10.42578125" style="25" customWidth="1"/>
    <col min="776" max="777" width="12.42578125" style="25" customWidth="1"/>
    <col min="778" max="778" width="15.42578125" style="25" customWidth="1"/>
    <col min="779" max="779" width="40.42578125" style="25" customWidth="1"/>
    <col min="780" max="780" width="15.42578125" style="25" customWidth="1"/>
    <col min="781" max="1024" width="8.85546875" style="25"/>
    <col min="1025" max="1025" width="10.42578125" style="25" customWidth="1"/>
    <col min="1026" max="1026" width="50.42578125" style="25" customWidth="1"/>
    <col min="1027" max="1027" width="15.42578125" style="25" customWidth="1"/>
    <col min="1028" max="1031" width="10.42578125" style="25" customWidth="1"/>
    <col min="1032" max="1033" width="12.42578125" style="25" customWidth="1"/>
    <col min="1034" max="1034" width="15.42578125" style="25" customWidth="1"/>
    <col min="1035" max="1035" width="40.42578125" style="25" customWidth="1"/>
    <col min="1036" max="1036" width="15.42578125" style="25" customWidth="1"/>
    <col min="1037" max="1280" width="8.85546875" style="25"/>
    <col min="1281" max="1281" width="10.42578125" style="25" customWidth="1"/>
    <col min="1282" max="1282" width="50.42578125" style="25" customWidth="1"/>
    <col min="1283" max="1283" width="15.42578125" style="25" customWidth="1"/>
    <col min="1284" max="1287" width="10.42578125" style="25" customWidth="1"/>
    <col min="1288" max="1289" width="12.42578125" style="25" customWidth="1"/>
    <col min="1290" max="1290" width="15.42578125" style="25" customWidth="1"/>
    <col min="1291" max="1291" width="40.42578125" style="25" customWidth="1"/>
    <col min="1292" max="1292" width="15.42578125" style="25" customWidth="1"/>
    <col min="1293" max="1536" width="8.85546875" style="25"/>
    <col min="1537" max="1537" width="10.42578125" style="25" customWidth="1"/>
    <col min="1538" max="1538" width="50.42578125" style="25" customWidth="1"/>
    <col min="1539" max="1539" width="15.42578125" style="25" customWidth="1"/>
    <col min="1540" max="1543" width="10.42578125" style="25" customWidth="1"/>
    <col min="1544" max="1545" width="12.42578125" style="25" customWidth="1"/>
    <col min="1546" max="1546" width="15.42578125" style="25" customWidth="1"/>
    <col min="1547" max="1547" width="40.42578125" style="25" customWidth="1"/>
    <col min="1548" max="1548" width="15.42578125" style="25" customWidth="1"/>
    <col min="1549" max="1792" width="8.85546875" style="25"/>
    <col min="1793" max="1793" width="10.42578125" style="25" customWidth="1"/>
    <col min="1794" max="1794" width="50.42578125" style="25" customWidth="1"/>
    <col min="1795" max="1795" width="15.42578125" style="25" customWidth="1"/>
    <col min="1796" max="1799" width="10.42578125" style="25" customWidth="1"/>
    <col min="1800" max="1801" width="12.42578125" style="25" customWidth="1"/>
    <col min="1802" max="1802" width="15.42578125" style="25" customWidth="1"/>
    <col min="1803" max="1803" width="40.42578125" style="25" customWidth="1"/>
    <col min="1804" max="1804" width="15.42578125" style="25" customWidth="1"/>
    <col min="1805" max="2048" width="8.85546875" style="25"/>
    <col min="2049" max="2049" width="10.42578125" style="25" customWidth="1"/>
    <col min="2050" max="2050" width="50.42578125" style="25" customWidth="1"/>
    <col min="2051" max="2051" width="15.42578125" style="25" customWidth="1"/>
    <col min="2052" max="2055" width="10.42578125" style="25" customWidth="1"/>
    <col min="2056" max="2057" width="12.42578125" style="25" customWidth="1"/>
    <col min="2058" max="2058" width="15.42578125" style="25" customWidth="1"/>
    <col min="2059" max="2059" width="40.42578125" style="25" customWidth="1"/>
    <col min="2060" max="2060" width="15.42578125" style="25" customWidth="1"/>
    <col min="2061" max="2304" width="8.85546875" style="25"/>
    <col min="2305" max="2305" width="10.42578125" style="25" customWidth="1"/>
    <col min="2306" max="2306" width="50.42578125" style="25" customWidth="1"/>
    <col min="2307" max="2307" width="15.42578125" style="25" customWidth="1"/>
    <col min="2308" max="2311" width="10.42578125" style="25" customWidth="1"/>
    <col min="2312" max="2313" width="12.42578125" style="25" customWidth="1"/>
    <col min="2314" max="2314" width="15.42578125" style="25" customWidth="1"/>
    <col min="2315" max="2315" width="40.42578125" style="25" customWidth="1"/>
    <col min="2316" max="2316" width="15.42578125" style="25" customWidth="1"/>
    <col min="2317" max="2560" width="8.85546875" style="25"/>
    <col min="2561" max="2561" width="10.42578125" style="25" customWidth="1"/>
    <col min="2562" max="2562" width="50.42578125" style="25" customWidth="1"/>
    <col min="2563" max="2563" width="15.42578125" style="25" customWidth="1"/>
    <col min="2564" max="2567" width="10.42578125" style="25" customWidth="1"/>
    <col min="2568" max="2569" width="12.42578125" style="25" customWidth="1"/>
    <col min="2570" max="2570" width="15.42578125" style="25" customWidth="1"/>
    <col min="2571" max="2571" width="40.42578125" style="25" customWidth="1"/>
    <col min="2572" max="2572" width="15.42578125" style="25" customWidth="1"/>
    <col min="2573" max="2816" width="8.85546875" style="25"/>
    <col min="2817" max="2817" width="10.42578125" style="25" customWidth="1"/>
    <col min="2818" max="2818" width="50.42578125" style="25" customWidth="1"/>
    <col min="2819" max="2819" width="15.42578125" style="25" customWidth="1"/>
    <col min="2820" max="2823" width="10.42578125" style="25" customWidth="1"/>
    <col min="2824" max="2825" width="12.42578125" style="25" customWidth="1"/>
    <col min="2826" max="2826" width="15.42578125" style="25" customWidth="1"/>
    <col min="2827" max="2827" width="40.42578125" style="25" customWidth="1"/>
    <col min="2828" max="2828" width="15.42578125" style="25" customWidth="1"/>
    <col min="2829" max="3072" width="8.85546875" style="25"/>
    <col min="3073" max="3073" width="10.42578125" style="25" customWidth="1"/>
    <col min="3074" max="3074" width="50.42578125" style="25" customWidth="1"/>
    <col min="3075" max="3075" width="15.42578125" style="25" customWidth="1"/>
    <col min="3076" max="3079" width="10.42578125" style="25" customWidth="1"/>
    <col min="3080" max="3081" width="12.42578125" style="25" customWidth="1"/>
    <col min="3082" max="3082" width="15.42578125" style="25" customWidth="1"/>
    <col min="3083" max="3083" width="40.42578125" style="25" customWidth="1"/>
    <col min="3084" max="3084" width="15.42578125" style="25" customWidth="1"/>
    <col min="3085" max="3328" width="8.85546875" style="25"/>
    <col min="3329" max="3329" width="10.42578125" style="25" customWidth="1"/>
    <col min="3330" max="3330" width="50.42578125" style="25" customWidth="1"/>
    <col min="3331" max="3331" width="15.42578125" style="25" customWidth="1"/>
    <col min="3332" max="3335" width="10.42578125" style="25" customWidth="1"/>
    <col min="3336" max="3337" width="12.42578125" style="25" customWidth="1"/>
    <col min="3338" max="3338" width="15.42578125" style="25" customWidth="1"/>
    <col min="3339" max="3339" width="40.42578125" style="25" customWidth="1"/>
    <col min="3340" max="3340" width="15.42578125" style="25" customWidth="1"/>
    <col min="3341" max="3584" width="8.85546875" style="25"/>
    <col min="3585" max="3585" width="10.42578125" style="25" customWidth="1"/>
    <col min="3586" max="3586" width="50.42578125" style="25" customWidth="1"/>
    <col min="3587" max="3587" width="15.42578125" style="25" customWidth="1"/>
    <col min="3588" max="3591" width="10.42578125" style="25" customWidth="1"/>
    <col min="3592" max="3593" width="12.42578125" style="25" customWidth="1"/>
    <col min="3594" max="3594" width="15.42578125" style="25" customWidth="1"/>
    <col min="3595" max="3595" width="40.42578125" style="25" customWidth="1"/>
    <col min="3596" max="3596" width="15.42578125" style="25" customWidth="1"/>
    <col min="3597" max="3840" width="8.85546875" style="25"/>
    <col min="3841" max="3841" width="10.42578125" style="25" customWidth="1"/>
    <col min="3842" max="3842" width="50.42578125" style="25" customWidth="1"/>
    <col min="3843" max="3843" width="15.42578125" style="25" customWidth="1"/>
    <col min="3844" max="3847" width="10.42578125" style="25" customWidth="1"/>
    <col min="3848" max="3849" width="12.42578125" style="25" customWidth="1"/>
    <col min="3850" max="3850" width="15.42578125" style="25" customWidth="1"/>
    <col min="3851" max="3851" width="40.42578125" style="25" customWidth="1"/>
    <col min="3852" max="3852" width="15.42578125" style="25" customWidth="1"/>
    <col min="3853" max="4096" width="8.85546875" style="25"/>
    <col min="4097" max="4097" width="10.42578125" style="25" customWidth="1"/>
    <col min="4098" max="4098" width="50.42578125" style="25" customWidth="1"/>
    <col min="4099" max="4099" width="15.42578125" style="25" customWidth="1"/>
    <col min="4100" max="4103" width="10.42578125" style="25" customWidth="1"/>
    <col min="4104" max="4105" width="12.42578125" style="25" customWidth="1"/>
    <col min="4106" max="4106" width="15.42578125" style="25" customWidth="1"/>
    <col min="4107" max="4107" width="40.42578125" style="25" customWidth="1"/>
    <col min="4108" max="4108" width="15.42578125" style="25" customWidth="1"/>
    <col min="4109" max="4352" width="8.85546875" style="25"/>
    <col min="4353" max="4353" width="10.42578125" style="25" customWidth="1"/>
    <col min="4354" max="4354" width="50.42578125" style="25" customWidth="1"/>
    <col min="4355" max="4355" width="15.42578125" style="25" customWidth="1"/>
    <col min="4356" max="4359" width="10.42578125" style="25" customWidth="1"/>
    <col min="4360" max="4361" width="12.42578125" style="25" customWidth="1"/>
    <col min="4362" max="4362" width="15.42578125" style="25" customWidth="1"/>
    <col min="4363" max="4363" width="40.42578125" style="25" customWidth="1"/>
    <col min="4364" max="4364" width="15.42578125" style="25" customWidth="1"/>
    <col min="4365" max="4608" width="8.85546875" style="25"/>
    <col min="4609" max="4609" width="10.42578125" style="25" customWidth="1"/>
    <col min="4610" max="4610" width="50.42578125" style="25" customWidth="1"/>
    <col min="4611" max="4611" width="15.42578125" style="25" customWidth="1"/>
    <col min="4612" max="4615" width="10.42578125" style="25" customWidth="1"/>
    <col min="4616" max="4617" width="12.42578125" style="25" customWidth="1"/>
    <col min="4618" max="4618" width="15.42578125" style="25" customWidth="1"/>
    <col min="4619" max="4619" width="40.42578125" style="25" customWidth="1"/>
    <col min="4620" max="4620" width="15.42578125" style="25" customWidth="1"/>
    <col min="4621" max="4864" width="8.85546875" style="25"/>
    <col min="4865" max="4865" width="10.42578125" style="25" customWidth="1"/>
    <col min="4866" max="4866" width="50.42578125" style="25" customWidth="1"/>
    <col min="4867" max="4867" width="15.42578125" style="25" customWidth="1"/>
    <col min="4868" max="4871" width="10.42578125" style="25" customWidth="1"/>
    <col min="4872" max="4873" width="12.42578125" style="25" customWidth="1"/>
    <col min="4874" max="4874" width="15.42578125" style="25" customWidth="1"/>
    <col min="4875" max="4875" width="40.42578125" style="25" customWidth="1"/>
    <col min="4876" max="4876" width="15.42578125" style="25" customWidth="1"/>
    <col min="4877" max="5120" width="8.85546875" style="25"/>
    <col min="5121" max="5121" width="10.42578125" style="25" customWidth="1"/>
    <col min="5122" max="5122" width="50.42578125" style="25" customWidth="1"/>
    <col min="5123" max="5123" width="15.42578125" style="25" customWidth="1"/>
    <col min="5124" max="5127" width="10.42578125" style="25" customWidth="1"/>
    <col min="5128" max="5129" width="12.42578125" style="25" customWidth="1"/>
    <col min="5130" max="5130" width="15.42578125" style="25" customWidth="1"/>
    <col min="5131" max="5131" width="40.42578125" style="25" customWidth="1"/>
    <col min="5132" max="5132" width="15.42578125" style="25" customWidth="1"/>
    <col min="5133" max="5376" width="8.85546875" style="25"/>
    <col min="5377" max="5377" width="10.42578125" style="25" customWidth="1"/>
    <col min="5378" max="5378" width="50.42578125" style="25" customWidth="1"/>
    <col min="5379" max="5379" width="15.42578125" style="25" customWidth="1"/>
    <col min="5380" max="5383" width="10.42578125" style="25" customWidth="1"/>
    <col min="5384" max="5385" width="12.42578125" style="25" customWidth="1"/>
    <col min="5386" max="5386" width="15.42578125" style="25" customWidth="1"/>
    <col min="5387" max="5387" width="40.42578125" style="25" customWidth="1"/>
    <col min="5388" max="5388" width="15.42578125" style="25" customWidth="1"/>
    <col min="5389" max="5632" width="8.85546875" style="25"/>
    <col min="5633" max="5633" width="10.42578125" style="25" customWidth="1"/>
    <col min="5634" max="5634" width="50.42578125" style="25" customWidth="1"/>
    <col min="5635" max="5635" width="15.42578125" style="25" customWidth="1"/>
    <col min="5636" max="5639" width="10.42578125" style="25" customWidth="1"/>
    <col min="5640" max="5641" width="12.42578125" style="25" customWidth="1"/>
    <col min="5642" max="5642" width="15.42578125" style="25" customWidth="1"/>
    <col min="5643" max="5643" width="40.42578125" style="25" customWidth="1"/>
    <col min="5644" max="5644" width="15.42578125" style="25" customWidth="1"/>
    <col min="5645" max="5888" width="8.85546875" style="25"/>
    <col min="5889" max="5889" width="10.42578125" style="25" customWidth="1"/>
    <col min="5890" max="5890" width="50.42578125" style="25" customWidth="1"/>
    <col min="5891" max="5891" width="15.42578125" style="25" customWidth="1"/>
    <col min="5892" max="5895" width="10.42578125" style="25" customWidth="1"/>
    <col min="5896" max="5897" width="12.42578125" style="25" customWidth="1"/>
    <col min="5898" max="5898" width="15.42578125" style="25" customWidth="1"/>
    <col min="5899" max="5899" width="40.42578125" style="25" customWidth="1"/>
    <col min="5900" max="5900" width="15.42578125" style="25" customWidth="1"/>
    <col min="5901" max="6144" width="8.85546875" style="25"/>
    <col min="6145" max="6145" width="10.42578125" style="25" customWidth="1"/>
    <col min="6146" max="6146" width="50.42578125" style="25" customWidth="1"/>
    <col min="6147" max="6147" width="15.42578125" style="25" customWidth="1"/>
    <col min="6148" max="6151" width="10.42578125" style="25" customWidth="1"/>
    <col min="6152" max="6153" width="12.42578125" style="25" customWidth="1"/>
    <col min="6154" max="6154" width="15.42578125" style="25" customWidth="1"/>
    <col min="6155" max="6155" width="40.42578125" style="25" customWidth="1"/>
    <col min="6156" max="6156" width="15.42578125" style="25" customWidth="1"/>
    <col min="6157" max="6400" width="8.85546875" style="25"/>
    <col min="6401" max="6401" width="10.42578125" style="25" customWidth="1"/>
    <col min="6402" max="6402" width="50.42578125" style="25" customWidth="1"/>
    <col min="6403" max="6403" width="15.42578125" style="25" customWidth="1"/>
    <col min="6404" max="6407" width="10.42578125" style="25" customWidth="1"/>
    <col min="6408" max="6409" width="12.42578125" style="25" customWidth="1"/>
    <col min="6410" max="6410" width="15.42578125" style="25" customWidth="1"/>
    <col min="6411" max="6411" width="40.42578125" style="25" customWidth="1"/>
    <col min="6412" max="6412" width="15.42578125" style="25" customWidth="1"/>
    <col min="6413" max="6656" width="8.85546875" style="25"/>
    <col min="6657" max="6657" width="10.42578125" style="25" customWidth="1"/>
    <col min="6658" max="6658" width="50.42578125" style="25" customWidth="1"/>
    <col min="6659" max="6659" width="15.42578125" style="25" customWidth="1"/>
    <col min="6660" max="6663" width="10.42578125" style="25" customWidth="1"/>
    <col min="6664" max="6665" width="12.42578125" style="25" customWidth="1"/>
    <col min="6666" max="6666" width="15.42578125" style="25" customWidth="1"/>
    <col min="6667" max="6667" width="40.42578125" style="25" customWidth="1"/>
    <col min="6668" max="6668" width="15.42578125" style="25" customWidth="1"/>
    <col min="6669" max="6912" width="8.85546875" style="25"/>
    <col min="6913" max="6913" width="10.42578125" style="25" customWidth="1"/>
    <col min="6914" max="6914" width="50.42578125" style="25" customWidth="1"/>
    <col min="6915" max="6915" width="15.42578125" style="25" customWidth="1"/>
    <col min="6916" max="6919" width="10.42578125" style="25" customWidth="1"/>
    <col min="6920" max="6921" width="12.42578125" style="25" customWidth="1"/>
    <col min="6922" max="6922" width="15.42578125" style="25" customWidth="1"/>
    <col min="6923" max="6923" width="40.42578125" style="25" customWidth="1"/>
    <col min="6924" max="6924" width="15.42578125" style="25" customWidth="1"/>
    <col min="6925" max="7168" width="8.85546875" style="25"/>
    <col min="7169" max="7169" width="10.42578125" style="25" customWidth="1"/>
    <col min="7170" max="7170" width="50.42578125" style="25" customWidth="1"/>
    <col min="7171" max="7171" width="15.42578125" style="25" customWidth="1"/>
    <col min="7172" max="7175" width="10.42578125" style="25" customWidth="1"/>
    <col min="7176" max="7177" width="12.42578125" style="25" customWidth="1"/>
    <col min="7178" max="7178" width="15.42578125" style="25" customWidth="1"/>
    <col min="7179" max="7179" width="40.42578125" style="25" customWidth="1"/>
    <col min="7180" max="7180" width="15.42578125" style="25" customWidth="1"/>
    <col min="7181" max="7424" width="8.85546875" style="25"/>
    <col min="7425" max="7425" width="10.42578125" style="25" customWidth="1"/>
    <col min="7426" max="7426" width="50.42578125" style="25" customWidth="1"/>
    <col min="7427" max="7427" width="15.42578125" style="25" customWidth="1"/>
    <col min="7428" max="7431" width="10.42578125" style="25" customWidth="1"/>
    <col min="7432" max="7433" width="12.42578125" style="25" customWidth="1"/>
    <col min="7434" max="7434" width="15.42578125" style="25" customWidth="1"/>
    <col min="7435" max="7435" width="40.42578125" style="25" customWidth="1"/>
    <col min="7436" max="7436" width="15.42578125" style="25" customWidth="1"/>
    <col min="7437" max="7680" width="8.85546875" style="25"/>
    <col min="7681" max="7681" width="10.42578125" style="25" customWidth="1"/>
    <col min="7682" max="7682" width="50.42578125" style="25" customWidth="1"/>
    <col min="7683" max="7683" width="15.42578125" style="25" customWidth="1"/>
    <col min="7684" max="7687" width="10.42578125" style="25" customWidth="1"/>
    <col min="7688" max="7689" width="12.42578125" style="25" customWidth="1"/>
    <col min="7690" max="7690" width="15.42578125" style="25" customWidth="1"/>
    <col min="7691" max="7691" width="40.42578125" style="25" customWidth="1"/>
    <col min="7692" max="7692" width="15.42578125" style="25" customWidth="1"/>
    <col min="7693" max="7936" width="8.85546875" style="25"/>
    <col min="7937" max="7937" width="10.42578125" style="25" customWidth="1"/>
    <col min="7938" max="7938" width="50.42578125" style="25" customWidth="1"/>
    <col min="7939" max="7939" width="15.42578125" style="25" customWidth="1"/>
    <col min="7940" max="7943" width="10.42578125" style="25" customWidth="1"/>
    <col min="7944" max="7945" width="12.42578125" style="25" customWidth="1"/>
    <col min="7946" max="7946" width="15.42578125" style="25" customWidth="1"/>
    <col min="7947" max="7947" width="40.42578125" style="25" customWidth="1"/>
    <col min="7948" max="7948" width="15.42578125" style="25" customWidth="1"/>
    <col min="7949" max="8192" width="8.85546875" style="25"/>
    <col min="8193" max="8193" width="10.42578125" style="25" customWidth="1"/>
    <col min="8194" max="8194" width="50.42578125" style="25" customWidth="1"/>
    <col min="8195" max="8195" width="15.42578125" style="25" customWidth="1"/>
    <col min="8196" max="8199" width="10.42578125" style="25" customWidth="1"/>
    <col min="8200" max="8201" width="12.42578125" style="25" customWidth="1"/>
    <col min="8202" max="8202" width="15.42578125" style="25" customWidth="1"/>
    <col min="8203" max="8203" width="40.42578125" style="25" customWidth="1"/>
    <col min="8204" max="8204" width="15.42578125" style="25" customWidth="1"/>
    <col min="8205" max="8448" width="8.85546875" style="25"/>
    <col min="8449" max="8449" width="10.42578125" style="25" customWidth="1"/>
    <col min="8450" max="8450" width="50.42578125" style="25" customWidth="1"/>
    <col min="8451" max="8451" width="15.42578125" style="25" customWidth="1"/>
    <col min="8452" max="8455" width="10.42578125" style="25" customWidth="1"/>
    <col min="8456" max="8457" width="12.42578125" style="25" customWidth="1"/>
    <col min="8458" max="8458" width="15.42578125" style="25" customWidth="1"/>
    <col min="8459" max="8459" width="40.42578125" style="25" customWidth="1"/>
    <col min="8460" max="8460" width="15.42578125" style="25" customWidth="1"/>
    <col min="8461" max="8704" width="8.85546875" style="25"/>
    <col min="8705" max="8705" width="10.42578125" style="25" customWidth="1"/>
    <col min="8706" max="8706" width="50.42578125" style="25" customWidth="1"/>
    <col min="8707" max="8707" width="15.42578125" style="25" customWidth="1"/>
    <col min="8708" max="8711" width="10.42578125" style="25" customWidth="1"/>
    <col min="8712" max="8713" width="12.42578125" style="25" customWidth="1"/>
    <col min="8714" max="8714" width="15.42578125" style="25" customWidth="1"/>
    <col min="8715" max="8715" width="40.42578125" style="25" customWidth="1"/>
    <col min="8716" max="8716" width="15.42578125" style="25" customWidth="1"/>
    <col min="8717" max="8960" width="8.85546875" style="25"/>
    <col min="8961" max="8961" width="10.42578125" style="25" customWidth="1"/>
    <col min="8962" max="8962" width="50.42578125" style="25" customWidth="1"/>
    <col min="8963" max="8963" width="15.42578125" style="25" customWidth="1"/>
    <col min="8964" max="8967" width="10.42578125" style="25" customWidth="1"/>
    <col min="8968" max="8969" width="12.42578125" style="25" customWidth="1"/>
    <col min="8970" max="8970" width="15.42578125" style="25" customWidth="1"/>
    <col min="8971" max="8971" width="40.42578125" style="25" customWidth="1"/>
    <col min="8972" max="8972" width="15.42578125" style="25" customWidth="1"/>
    <col min="8973" max="9216" width="8.85546875" style="25"/>
    <col min="9217" max="9217" width="10.42578125" style="25" customWidth="1"/>
    <col min="9218" max="9218" width="50.42578125" style="25" customWidth="1"/>
    <col min="9219" max="9219" width="15.42578125" style="25" customWidth="1"/>
    <col min="9220" max="9223" width="10.42578125" style="25" customWidth="1"/>
    <col min="9224" max="9225" width="12.42578125" style="25" customWidth="1"/>
    <col min="9226" max="9226" width="15.42578125" style="25" customWidth="1"/>
    <col min="9227" max="9227" width="40.42578125" style="25" customWidth="1"/>
    <col min="9228" max="9228" width="15.42578125" style="25" customWidth="1"/>
    <col min="9229" max="9472" width="8.85546875" style="25"/>
    <col min="9473" max="9473" width="10.42578125" style="25" customWidth="1"/>
    <col min="9474" max="9474" width="50.42578125" style="25" customWidth="1"/>
    <col min="9475" max="9475" width="15.42578125" style="25" customWidth="1"/>
    <col min="9476" max="9479" width="10.42578125" style="25" customWidth="1"/>
    <col min="9480" max="9481" width="12.42578125" style="25" customWidth="1"/>
    <col min="9482" max="9482" width="15.42578125" style="25" customWidth="1"/>
    <col min="9483" max="9483" width="40.42578125" style="25" customWidth="1"/>
    <col min="9484" max="9484" width="15.42578125" style="25" customWidth="1"/>
    <col min="9485" max="9728" width="8.85546875" style="25"/>
    <col min="9729" max="9729" width="10.42578125" style="25" customWidth="1"/>
    <col min="9730" max="9730" width="50.42578125" style="25" customWidth="1"/>
    <col min="9731" max="9731" width="15.42578125" style="25" customWidth="1"/>
    <col min="9732" max="9735" width="10.42578125" style="25" customWidth="1"/>
    <col min="9736" max="9737" width="12.42578125" style="25" customWidth="1"/>
    <col min="9738" max="9738" width="15.42578125" style="25" customWidth="1"/>
    <col min="9739" max="9739" width="40.42578125" style="25" customWidth="1"/>
    <col min="9740" max="9740" width="15.42578125" style="25" customWidth="1"/>
    <col min="9741" max="9984" width="8.85546875" style="25"/>
    <col min="9985" max="9985" width="10.42578125" style="25" customWidth="1"/>
    <col min="9986" max="9986" width="50.42578125" style="25" customWidth="1"/>
    <col min="9987" max="9987" width="15.42578125" style="25" customWidth="1"/>
    <col min="9988" max="9991" width="10.42578125" style="25" customWidth="1"/>
    <col min="9992" max="9993" width="12.42578125" style="25" customWidth="1"/>
    <col min="9994" max="9994" width="15.42578125" style="25" customWidth="1"/>
    <col min="9995" max="9995" width="40.42578125" style="25" customWidth="1"/>
    <col min="9996" max="9996" width="15.42578125" style="25" customWidth="1"/>
    <col min="9997" max="10240" width="8.85546875" style="25"/>
    <col min="10241" max="10241" width="10.42578125" style="25" customWidth="1"/>
    <col min="10242" max="10242" width="50.42578125" style="25" customWidth="1"/>
    <col min="10243" max="10243" width="15.42578125" style="25" customWidth="1"/>
    <col min="10244" max="10247" width="10.42578125" style="25" customWidth="1"/>
    <col min="10248" max="10249" width="12.42578125" style="25" customWidth="1"/>
    <col min="10250" max="10250" width="15.42578125" style="25" customWidth="1"/>
    <col min="10251" max="10251" width="40.42578125" style="25" customWidth="1"/>
    <col min="10252" max="10252" width="15.42578125" style="25" customWidth="1"/>
    <col min="10253" max="10496" width="8.85546875" style="25"/>
    <col min="10497" max="10497" width="10.42578125" style="25" customWidth="1"/>
    <col min="10498" max="10498" width="50.42578125" style="25" customWidth="1"/>
    <col min="10499" max="10499" width="15.42578125" style="25" customWidth="1"/>
    <col min="10500" max="10503" width="10.42578125" style="25" customWidth="1"/>
    <col min="10504" max="10505" width="12.42578125" style="25" customWidth="1"/>
    <col min="10506" max="10506" width="15.42578125" style="25" customWidth="1"/>
    <col min="10507" max="10507" width="40.42578125" style="25" customWidth="1"/>
    <col min="10508" max="10508" width="15.42578125" style="25" customWidth="1"/>
    <col min="10509" max="10752" width="8.85546875" style="25"/>
    <col min="10753" max="10753" width="10.42578125" style="25" customWidth="1"/>
    <col min="10754" max="10754" width="50.42578125" style="25" customWidth="1"/>
    <col min="10755" max="10755" width="15.42578125" style="25" customWidth="1"/>
    <col min="10756" max="10759" width="10.42578125" style="25" customWidth="1"/>
    <col min="10760" max="10761" width="12.42578125" style="25" customWidth="1"/>
    <col min="10762" max="10762" width="15.42578125" style="25" customWidth="1"/>
    <col min="10763" max="10763" width="40.42578125" style="25" customWidth="1"/>
    <col min="10764" max="10764" width="15.42578125" style="25" customWidth="1"/>
    <col min="10765" max="11008" width="8.85546875" style="25"/>
    <col min="11009" max="11009" width="10.42578125" style="25" customWidth="1"/>
    <col min="11010" max="11010" width="50.42578125" style="25" customWidth="1"/>
    <col min="11011" max="11011" width="15.42578125" style="25" customWidth="1"/>
    <col min="11012" max="11015" width="10.42578125" style="25" customWidth="1"/>
    <col min="11016" max="11017" width="12.42578125" style="25" customWidth="1"/>
    <col min="11018" max="11018" width="15.42578125" style="25" customWidth="1"/>
    <col min="11019" max="11019" width="40.42578125" style="25" customWidth="1"/>
    <col min="11020" max="11020" width="15.42578125" style="25" customWidth="1"/>
    <col min="11021" max="11264" width="8.85546875" style="25"/>
    <col min="11265" max="11265" width="10.42578125" style="25" customWidth="1"/>
    <col min="11266" max="11266" width="50.42578125" style="25" customWidth="1"/>
    <col min="11267" max="11267" width="15.42578125" style="25" customWidth="1"/>
    <col min="11268" max="11271" width="10.42578125" style="25" customWidth="1"/>
    <col min="11272" max="11273" width="12.42578125" style="25" customWidth="1"/>
    <col min="11274" max="11274" width="15.42578125" style="25" customWidth="1"/>
    <col min="11275" max="11275" width="40.42578125" style="25" customWidth="1"/>
    <col min="11276" max="11276" width="15.42578125" style="25" customWidth="1"/>
    <col min="11277" max="11520" width="8.85546875" style="25"/>
    <col min="11521" max="11521" width="10.42578125" style="25" customWidth="1"/>
    <col min="11522" max="11522" width="50.42578125" style="25" customWidth="1"/>
    <col min="11523" max="11523" width="15.42578125" style="25" customWidth="1"/>
    <col min="11524" max="11527" width="10.42578125" style="25" customWidth="1"/>
    <col min="11528" max="11529" width="12.42578125" style="25" customWidth="1"/>
    <col min="11530" max="11530" width="15.42578125" style="25" customWidth="1"/>
    <col min="11531" max="11531" width="40.42578125" style="25" customWidth="1"/>
    <col min="11532" max="11532" width="15.42578125" style="25" customWidth="1"/>
    <col min="11533" max="11776" width="8.85546875" style="25"/>
    <col min="11777" max="11777" width="10.42578125" style="25" customWidth="1"/>
    <col min="11778" max="11778" width="50.42578125" style="25" customWidth="1"/>
    <col min="11779" max="11779" width="15.42578125" style="25" customWidth="1"/>
    <col min="11780" max="11783" width="10.42578125" style="25" customWidth="1"/>
    <col min="11784" max="11785" width="12.42578125" style="25" customWidth="1"/>
    <col min="11786" max="11786" width="15.42578125" style="25" customWidth="1"/>
    <col min="11787" max="11787" width="40.42578125" style="25" customWidth="1"/>
    <col min="11788" max="11788" width="15.42578125" style="25" customWidth="1"/>
    <col min="11789" max="12032" width="8.85546875" style="25"/>
    <col min="12033" max="12033" width="10.42578125" style="25" customWidth="1"/>
    <col min="12034" max="12034" width="50.42578125" style="25" customWidth="1"/>
    <col min="12035" max="12035" width="15.42578125" style="25" customWidth="1"/>
    <col min="12036" max="12039" width="10.42578125" style="25" customWidth="1"/>
    <col min="12040" max="12041" width="12.42578125" style="25" customWidth="1"/>
    <col min="12042" max="12042" width="15.42578125" style="25" customWidth="1"/>
    <col min="12043" max="12043" width="40.42578125" style="25" customWidth="1"/>
    <col min="12044" max="12044" width="15.42578125" style="25" customWidth="1"/>
    <col min="12045" max="12288" width="8.85546875" style="25"/>
    <col min="12289" max="12289" width="10.42578125" style="25" customWidth="1"/>
    <col min="12290" max="12290" width="50.42578125" style="25" customWidth="1"/>
    <col min="12291" max="12291" width="15.42578125" style="25" customWidth="1"/>
    <col min="12292" max="12295" width="10.42578125" style="25" customWidth="1"/>
    <col min="12296" max="12297" width="12.42578125" style="25" customWidth="1"/>
    <col min="12298" max="12298" width="15.42578125" style="25" customWidth="1"/>
    <col min="12299" max="12299" width="40.42578125" style="25" customWidth="1"/>
    <col min="12300" max="12300" width="15.42578125" style="25" customWidth="1"/>
    <col min="12301" max="12544" width="8.85546875" style="25"/>
    <col min="12545" max="12545" width="10.42578125" style="25" customWidth="1"/>
    <col min="12546" max="12546" width="50.42578125" style="25" customWidth="1"/>
    <col min="12547" max="12547" width="15.42578125" style="25" customWidth="1"/>
    <col min="12548" max="12551" width="10.42578125" style="25" customWidth="1"/>
    <col min="12552" max="12553" width="12.42578125" style="25" customWidth="1"/>
    <col min="12554" max="12554" width="15.42578125" style="25" customWidth="1"/>
    <col min="12555" max="12555" width="40.42578125" style="25" customWidth="1"/>
    <col min="12556" max="12556" width="15.42578125" style="25" customWidth="1"/>
    <col min="12557" max="12800" width="8.85546875" style="25"/>
    <col min="12801" max="12801" width="10.42578125" style="25" customWidth="1"/>
    <col min="12802" max="12802" width="50.42578125" style="25" customWidth="1"/>
    <col min="12803" max="12803" width="15.42578125" style="25" customWidth="1"/>
    <col min="12804" max="12807" width="10.42578125" style="25" customWidth="1"/>
    <col min="12808" max="12809" width="12.42578125" style="25" customWidth="1"/>
    <col min="12810" max="12810" width="15.42578125" style="25" customWidth="1"/>
    <col min="12811" max="12811" width="40.42578125" style="25" customWidth="1"/>
    <col min="12812" max="12812" width="15.42578125" style="25" customWidth="1"/>
    <col min="12813" max="13056" width="8.85546875" style="25"/>
    <col min="13057" max="13057" width="10.42578125" style="25" customWidth="1"/>
    <col min="13058" max="13058" width="50.42578125" style="25" customWidth="1"/>
    <col min="13059" max="13059" width="15.42578125" style="25" customWidth="1"/>
    <col min="13060" max="13063" width="10.42578125" style="25" customWidth="1"/>
    <col min="13064" max="13065" width="12.42578125" style="25" customWidth="1"/>
    <col min="13066" max="13066" width="15.42578125" style="25" customWidth="1"/>
    <col min="13067" max="13067" width="40.42578125" style="25" customWidth="1"/>
    <col min="13068" max="13068" width="15.42578125" style="25" customWidth="1"/>
    <col min="13069" max="13312" width="8.85546875" style="25"/>
    <col min="13313" max="13313" width="10.42578125" style="25" customWidth="1"/>
    <col min="13314" max="13314" width="50.42578125" style="25" customWidth="1"/>
    <col min="13315" max="13315" width="15.42578125" style="25" customWidth="1"/>
    <col min="13316" max="13319" width="10.42578125" style="25" customWidth="1"/>
    <col min="13320" max="13321" width="12.42578125" style="25" customWidth="1"/>
    <col min="13322" max="13322" width="15.42578125" style="25" customWidth="1"/>
    <col min="13323" max="13323" width="40.42578125" style="25" customWidth="1"/>
    <col min="13324" max="13324" width="15.42578125" style="25" customWidth="1"/>
    <col min="13325" max="13568" width="8.85546875" style="25"/>
    <col min="13569" max="13569" width="10.42578125" style="25" customWidth="1"/>
    <col min="13570" max="13570" width="50.42578125" style="25" customWidth="1"/>
    <col min="13571" max="13571" width="15.42578125" style="25" customWidth="1"/>
    <col min="13572" max="13575" width="10.42578125" style="25" customWidth="1"/>
    <col min="13576" max="13577" width="12.42578125" style="25" customWidth="1"/>
    <col min="13578" max="13578" width="15.42578125" style="25" customWidth="1"/>
    <col min="13579" max="13579" width="40.42578125" style="25" customWidth="1"/>
    <col min="13580" max="13580" width="15.42578125" style="25" customWidth="1"/>
    <col min="13581" max="13824" width="8.85546875" style="25"/>
    <col min="13825" max="13825" width="10.42578125" style="25" customWidth="1"/>
    <col min="13826" max="13826" width="50.42578125" style="25" customWidth="1"/>
    <col min="13827" max="13827" width="15.42578125" style="25" customWidth="1"/>
    <col min="13828" max="13831" width="10.42578125" style="25" customWidth="1"/>
    <col min="13832" max="13833" width="12.42578125" style="25" customWidth="1"/>
    <col min="13834" max="13834" width="15.42578125" style="25" customWidth="1"/>
    <col min="13835" max="13835" width="40.42578125" style="25" customWidth="1"/>
    <col min="13836" max="13836" width="15.42578125" style="25" customWidth="1"/>
    <col min="13837" max="14080" width="8.85546875" style="25"/>
    <col min="14081" max="14081" width="10.42578125" style="25" customWidth="1"/>
    <col min="14082" max="14082" width="50.42578125" style="25" customWidth="1"/>
    <col min="14083" max="14083" width="15.42578125" style="25" customWidth="1"/>
    <col min="14084" max="14087" width="10.42578125" style="25" customWidth="1"/>
    <col min="14088" max="14089" width="12.42578125" style="25" customWidth="1"/>
    <col min="14090" max="14090" width="15.42578125" style="25" customWidth="1"/>
    <col min="14091" max="14091" width="40.42578125" style="25" customWidth="1"/>
    <col min="14092" max="14092" width="15.42578125" style="25" customWidth="1"/>
    <col min="14093" max="14336" width="8.85546875" style="25"/>
    <col min="14337" max="14337" width="10.42578125" style="25" customWidth="1"/>
    <col min="14338" max="14338" width="50.42578125" style="25" customWidth="1"/>
    <col min="14339" max="14339" width="15.42578125" style="25" customWidth="1"/>
    <col min="14340" max="14343" width="10.42578125" style="25" customWidth="1"/>
    <col min="14344" max="14345" width="12.42578125" style="25" customWidth="1"/>
    <col min="14346" max="14346" width="15.42578125" style="25" customWidth="1"/>
    <col min="14347" max="14347" width="40.42578125" style="25" customWidth="1"/>
    <col min="14348" max="14348" width="15.42578125" style="25" customWidth="1"/>
    <col min="14349" max="14592" width="8.85546875" style="25"/>
    <col min="14593" max="14593" width="10.42578125" style="25" customWidth="1"/>
    <col min="14594" max="14594" width="50.42578125" style="25" customWidth="1"/>
    <col min="14595" max="14595" width="15.42578125" style="25" customWidth="1"/>
    <col min="14596" max="14599" width="10.42578125" style="25" customWidth="1"/>
    <col min="14600" max="14601" width="12.42578125" style="25" customWidth="1"/>
    <col min="14602" max="14602" width="15.42578125" style="25" customWidth="1"/>
    <col min="14603" max="14603" width="40.42578125" style="25" customWidth="1"/>
    <col min="14604" max="14604" width="15.42578125" style="25" customWidth="1"/>
    <col min="14605" max="14848" width="8.85546875" style="25"/>
    <col min="14849" max="14849" width="10.42578125" style="25" customWidth="1"/>
    <col min="14850" max="14850" width="50.42578125" style="25" customWidth="1"/>
    <col min="14851" max="14851" width="15.42578125" style="25" customWidth="1"/>
    <col min="14852" max="14855" width="10.42578125" style="25" customWidth="1"/>
    <col min="14856" max="14857" width="12.42578125" style="25" customWidth="1"/>
    <col min="14858" max="14858" width="15.42578125" style="25" customWidth="1"/>
    <col min="14859" max="14859" width="40.42578125" style="25" customWidth="1"/>
    <col min="14860" max="14860" width="15.42578125" style="25" customWidth="1"/>
    <col min="14861" max="15104" width="8.85546875" style="25"/>
    <col min="15105" max="15105" width="10.42578125" style="25" customWidth="1"/>
    <col min="15106" max="15106" width="50.42578125" style="25" customWidth="1"/>
    <col min="15107" max="15107" width="15.42578125" style="25" customWidth="1"/>
    <col min="15108" max="15111" width="10.42578125" style="25" customWidth="1"/>
    <col min="15112" max="15113" width="12.42578125" style="25" customWidth="1"/>
    <col min="15114" max="15114" width="15.42578125" style="25" customWidth="1"/>
    <col min="15115" max="15115" width="40.42578125" style="25" customWidth="1"/>
    <col min="15116" max="15116" width="15.42578125" style="25" customWidth="1"/>
    <col min="15117" max="15360" width="8.85546875" style="25"/>
    <col min="15361" max="15361" width="10.42578125" style="25" customWidth="1"/>
    <col min="15362" max="15362" width="50.42578125" style="25" customWidth="1"/>
    <col min="15363" max="15363" width="15.42578125" style="25" customWidth="1"/>
    <col min="15364" max="15367" width="10.42578125" style="25" customWidth="1"/>
    <col min="15368" max="15369" width="12.42578125" style="25" customWidth="1"/>
    <col min="15370" max="15370" width="15.42578125" style="25" customWidth="1"/>
    <col min="15371" max="15371" width="40.42578125" style="25" customWidth="1"/>
    <col min="15372" max="15372" width="15.42578125" style="25" customWidth="1"/>
    <col min="15373" max="15616" width="8.85546875" style="25"/>
    <col min="15617" max="15617" width="10.42578125" style="25" customWidth="1"/>
    <col min="15618" max="15618" width="50.42578125" style="25" customWidth="1"/>
    <col min="15619" max="15619" width="15.42578125" style="25" customWidth="1"/>
    <col min="15620" max="15623" width="10.42578125" style="25" customWidth="1"/>
    <col min="15624" max="15625" width="12.42578125" style="25" customWidth="1"/>
    <col min="15626" max="15626" width="15.42578125" style="25" customWidth="1"/>
    <col min="15627" max="15627" width="40.42578125" style="25" customWidth="1"/>
    <col min="15628" max="15628" width="15.42578125" style="25" customWidth="1"/>
    <col min="15629" max="15872" width="8.85546875" style="25"/>
    <col min="15873" max="15873" width="10.42578125" style="25" customWidth="1"/>
    <col min="15874" max="15874" width="50.42578125" style="25" customWidth="1"/>
    <col min="15875" max="15875" width="15.42578125" style="25" customWidth="1"/>
    <col min="15876" max="15879" width="10.42578125" style="25" customWidth="1"/>
    <col min="15880" max="15881" width="12.42578125" style="25" customWidth="1"/>
    <col min="15882" max="15882" width="15.42578125" style="25" customWidth="1"/>
    <col min="15883" max="15883" width="40.42578125" style="25" customWidth="1"/>
    <col min="15884" max="15884" width="15.42578125" style="25" customWidth="1"/>
    <col min="15885" max="16128" width="8.85546875" style="25"/>
    <col min="16129" max="16129" width="10.42578125" style="25" customWidth="1"/>
    <col min="16130" max="16130" width="50.42578125" style="25" customWidth="1"/>
    <col min="16131" max="16131" width="15.42578125" style="25" customWidth="1"/>
    <col min="16132" max="16135" width="10.42578125" style="25" customWidth="1"/>
    <col min="16136" max="16137" width="12.42578125" style="25" customWidth="1"/>
    <col min="16138" max="16138" width="15.42578125" style="25" customWidth="1"/>
    <col min="16139" max="16139" width="40.42578125" style="25" customWidth="1"/>
    <col min="16140" max="16140" width="15.42578125" style="25" customWidth="1"/>
    <col min="16141" max="16384" width="8.85546875" style="25"/>
  </cols>
  <sheetData>
    <row r="1" spans="1:12" ht="80.099999999999994" customHeight="1" thickBot="1" x14ac:dyDescent="0.25">
      <c r="A1" s="959" t="s">
        <v>58</v>
      </c>
      <c r="B1" s="960"/>
      <c r="C1" s="960"/>
      <c r="D1" s="960"/>
      <c r="E1" s="960"/>
      <c r="F1" s="960"/>
      <c r="G1" s="960"/>
      <c r="H1" s="960"/>
      <c r="I1" s="960"/>
      <c r="J1" s="960"/>
      <c r="K1" s="961"/>
      <c r="L1" s="6"/>
    </row>
    <row r="2" spans="1:12" s="493" customFormat="1" ht="15.95" customHeight="1" thickTop="1" x14ac:dyDescent="0.25">
      <c r="A2" s="649" t="s">
        <v>1019</v>
      </c>
      <c r="B2" s="437">
        <f>Resources!C8</f>
        <v>0</v>
      </c>
      <c r="C2" s="571" t="s">
        <v>776</v>
      </c>
      <c r="D2" s="573">
        <f ca="1">COUNTIF($J$9:$J$16,"Deliverable Still In Progress")</f>
        <v>3</v>
      </c>
      <c r="E2" s="574"/>
      <c r="F2" s="567"/>
      <c r="G2" s="568"/>
      <c r="H2" s="540"/>
      <c r="I2" s="569"/>
      <c r="J2" s="540"/>
      <c r="K2" s="505"/>
      <c r="L2" s="492"/>
    </row>
    <row r="3" spans="1:12" s="493" customFormat="1" ht="15.95" customHeight="1" x14ac:dyDescent="0.25">
      <c r="A3" s="649" t="s">
        <v>1020</v>
      </c>
      <c r="B3" s="437">
        <f>Resources!E8</f>
        <v>0</v>
      </c>
      <c r="C3" s="571" t="s">
        <v>777</v>
      </c>
      <c r="D3" s="573">
        <f ca="1">COUNTIF($J$9:$J$16,"Deliverable Completed")</f>
        <v>0</v>
      </c>
      <c r="E3" s="449">
        <f ca="1">D3/D6</f>
        <v>0</v>
      </c>
      <c r="F3" s="567"/>
      <c r="G3" s="568"/>
      <c r="H3" s="540"/>
      <c r="I3" s="569"/>
      <c r="J3" s="540"/>
      <c r="K3" s="505"/>
      <c r="L3" s="492"/>
    </row>
    <row r="4" spans="1:12" s="493" customFormat="1" ht="15.95" customHeight="1" x14ac:dyDescent="0.25">
      <c r="A4" s="649" t="s">
        <v>1021</v>
      </c>
      <c r="B4" s="621"/>
      <c r="C4" s="571" t="s">
        <v>778</v>
      </c>
      <c r="D4" s="573">
        <f ca="1">D7-COUNTIF($J$9:$J$16,"completed")</f>
        <v>5</v>
      </c>
      <c r="E4" s="574"/>
      <c r="F4" s="567"/>
      <c r="G4" s="568"/>
      <c r="H4" s="540"/>
      <c r="I4" s="569"/>
      <c r="J4" s="540"/>
      <c r="K4" s="505"/>
      <c r="L4" s="492"/>
    </row>
    <row r="5" spans="1:12" s="493" customFormat="1" ht="15.95" customHeight="1" x14ac:dyDescent="0.25">
      <c r="A5" s="566"/>
      <c r="B5" s="621"/>
      <c r="C5" s="572" t="s">
        <v>779</v>
      </c>
      <c r="D5" s="573">
        <f ca="1">D7-D4</f>
        <v>0</v>
      </c>
      <c r="E5" s="449">
        <f ca="1">D5/D7</f>
        <v>0</v>
      </c>
      <c r="F5" s="567"/>
      <c r="G5" s="568"/>
      <c r="H5" s="540"/>
      <c r="I5" s="569"/>
      <c r="J5" s="540"/>
      <c r="K5" s="505"/>
      <c r="L5" s="492"/>
    </row>
    <row r="6" spans="1:12" s="493" customFormat="1" ht="15.95" customHeight="1" thickBot="1" x14ac:dyDescent="0.3">
      <c r="A6" s="566"/>
      <c r="B6" s="450"/>
      <c r="C6" s="572" t="s">
        <v>780</v>
      </c>
      <c r="D6" s="573">
        <f ca="1">D2+D3</f>
        <v>3</v>
      </c>
      <c r="E6" s="449"/>
      <c r="F6" s="567"/>
      <c r="G6" s="568"/>
      <c r="H6" s="540"/>
      <c r="I6" s="569"/>
      <c r="J6" s="540"/>
      <c r="K6" s="505"/>
      <c r="L6" s="492"/>
    </row>
    <row r="7" spans="1:12" s="493" customFormat="1" ht="15.95" customHeight="1" thickBot="1" x14ac:dyDescent="0.3">
      <c r="A7" s="566"/>
      <c r="B7" s="506"/>
      <c r="C7" s="572" t="s">
        <v>781</v>
      </c>
      <c r="D7" s="573">
        <f ca="1">COUNTA(B9:B22)-D6</f>
        <v>5</v>
      </c>
      <c r="E7" s="449"/>
      <c r="F7" s="648" t="s">
        <v>1017</v>
      </c>
      <c r="G7" s="568"/>
      <c r="H7" s="540"/>
      <c r="I7" s="569"/>
      <c r="J7" s="648" t="s">
        <v>1017</v>
      </c>
      <c r="K7" s="505"/>
      <c r="L7" s="492"/>
    </row>
    <row r="8" spans="1:12" s="127" customFormat="1" ht="47.25" x14ac:dyDescent="0.25">
      <c r="A8" s="352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529" t="s">
        <v>53</v>
      </c>
      <c r="H8" s="496" t="s">
        <v>95</v>
      </c>
      <c r="I8" s="496" t="s">
        <v>54</v>
      </c>
      <c r="J8" s="528" t="s">
        <v>55</v>
      </c>
      <c r="K8" s="356" t="s">
        <v>56</v>
      </c>
      <c r="L8" s="126"/>
    </row>
    <row r="9" spans="1:12" ht="30" x14ac:dyDescent="0.2">
      <c r="A9" s="962"/>
      <c r="B9" s="632" t="s">
        <v>878</v>
      </c>
      <c r="C9" s="81"/>
      <c r="D9" s="171"/>
      <c r="E9" s="523"/>
      <c r="F9" s="614">
        <f t="shared" ref="F9:F19" ca="1" si="0">IF(ISBLANK(G9),IF(ISERROR(DAYS360(TODAY(),E9))," ",(DAYS360(TODAY(),E9))),E9-G9)</f>
        <v>-43388</v>
      </c>
      <c r="G9" s="220"/>
      <c r="H9" s="116"/>
      <c r="I9" s="81"/>
      <c r="J9" s="116" t="str">
        <f ca="1">IF(AND(J10="completed",J11="completed"),"Deliverable Completed","DELIVERABLE STILL IN PROGRESS")</f>
        <v>DELIVERABLE STILL IN PROGRESS</v>
      </c>
      <c r="K9" s="964"/>
    </row>
    <row r="10" spans="1:12" ht="15" x14ac:dyDescent="0.2">
      <c r="A10" s="963"/>
      <c r="B10" s="397" t="s">
        <v>879</v>
      </c>
      <c r="C10" s="39"/>
      <c r="D10" s="187"/>
      <c r="E10" s="187"/>
      <c r="F10" s="615">
        <f t="shared" ca="1" si="0"/>
        <v>-43388</v>
      </c>
      <c r="G10" s="200"/>
      <c r="H10" s="38"/>
      <c r="I10" s="39"/>
      <c r="J10" s="38" t="str">
        <f t="shared" ref="J10:J19" ca="1" si="1">IF(G10&gt;0,"COMPLETED",(IF(I10&gt;0,"ISSUE IDENTIFIED",(IF(TODAY()&gt;E10,"OVERDUE","In Progress")))))</f>
        <v>OVERDUE</v>
      </c>
      <c r="K10" s="965"/>
    </row>
    <row r="11" spans="1:12" ht="15" x14ac:dyDescent="0.2">
      <c r="A11" s="963"/>
      <c r="B11" s="397" t="s">
        <v>880</v>
      </c>
      <c r="C11" s="39"/>
      <c r="D11" s="187"/>
      <c r="E11" s="187"/>
      <c r="F11" s="615">
        <f t="shared" ca="1" si="0"/>
        <v>-43388</v>
      </c>
      <c r="G11" s="200"/>
      <c r="H11" s="38"/>
      <c r="I11" s="39"/>
      <c r="J11" s="38" t="str">
        <f t="shared" ca="1" si="1"/>
        <v>OVERDUE</v>
      </c>
      <c r="K11" s="965"/>
    </row>
    <row r="12" spans="1:12" ht="15" x14ac:dyDescent="0.2">
      <c r="A12" s="229"/>
      <c r="B12" s="632" t="s">
        <v>881</v>
      </c>
      <c r="C12" s="81"/>
      <c r="D12" s="171"/>
      <c r="E12" s="523"/>
      <c r="F12" s="614">
        <f t="shared" ca="1" si="0"/>
        <v>-43388</v>
      </c>
      <c r="G12" s="220"/>
      <c r="H12" s="116"/>
      <c r="I12" s="81"/>
      <c r="J12" s="116" t="str">
        <f ca="1">IF(AND(J13="completed",J14="completed"),"Deliverable Completed","DELIVERABLE STILL IN PROGRESS")</f>
        <v>DELIVERABLE STILL IN PROGRESS</v>
      </c>
      <c r="K12" s="107"/>
    </row>
    <row r="13" spans="1:12" ht="15" x14ac:dyDescent="0.2">
      <c r="A13" s="229"/>
      <c r="B13" s="397" t="s">
        <v>887</v>
      </c>
      <c r="C13" s="39"/>
      <c r="D13" s="187"/>
      <c r="E13" s="187"/>
      <c r="F13" s="615">
        <f t="shared" ca="1" si="0"/>
        <v>-43388</v>
      </c>
      <c r="G13" s="200"/>
      <c r="H13" s="38"/>
      <c r="I13" s="39"/>
      <c r="J13" s="38" t="str">
        <f t="shared" ca="1" si="1"/>
        <v>OVERDUE</v>
      </c>
      <c r="K13" s="107"/>
    </row>
    <row r="14" spans="1:12" ht="15" x14ac:dyDescent="0.2">
      <c r="A14" s="229"/>
      <c r="B14" s="397" t="s">
        <v>882</v>
      </c>
      <c r="C14" s="39"/>
      <c r="D14" s="187"/>
      <c r="E14" s="187"/>
      <c r="F14" s="651">
        <f t="shared" ca="1" si="0"/>
        <v>-43388</v>
      </c>
      <c r="G14" s="200"/>
      <c r="H14" s="38"/>
      <c r="I14" s="39"/>
      <c r="J14" s="38" t="str">
        <f t="shared" ca="1" si="1"/>
        <v>OVERDUE</v>
      </c>
      <c r="K14" s="107"/>
    </row>
    <row r="15" spans="1:12" ht="15" x14ac:dyDescent="0.2">
      <c r="A15" s="229"/>
      <c r="B15" s="632" t="s">
        <v>883</v>
      </c>
      <c r="C15" s="81"/>
      <c r="D15" s="171"/>
      <c r="E15" s="524"/>
      <c r="F15" s="614">
        <f t="shared" ca="1" si="0"/>
        <v>-43388</v>
      </c>
      <c r="G15" s="220"/>
      <c r="H15" s="116"/>
      <c r="I15" s="81"/>
      <c r="J15" s="116" t="str">
        <f ca="1">IF(AND(J16="completed"),"Deliverable Completed","DELIVERABLE STILL IN PROGRESS")</f>
        <v>DELIVERABLE STILL IN PROGRESS</v>
      </c>
      <c r="K15" s="107"/>
    </row>
    <row r="16" spans="1:12" ht="15.75" customHeight="1" x14ac:dyDescent="0.2">
      <c r="A16" s="229"/>
      <c r="B16" s="397" t="s">
        <v>884</v>
      </c>
      <c r="C16" s="39"/>
      <c r="D16" s="187"/>
      <c r="E16" s="187"/>
      <c r="F16" s="615">
        <f t="shared" ca="1" si="0"/>
        <v>-43388</v>
      </c>
      <c r="G16" s="200"/>
      <c r="H16" s="38"/>
      <c r="I16" s="39"/>
      <c r="J16" s="38" t="str">
        <f t="shared" ca="1" si="1"/>
        <v>OVERDUE</v>
      </c>
      <c r="K16" s="107"/>
    </row>
    <row r="17" spans="1:11" ht="15" x14ac:dyDescent="0.2">
      <c r="A17" s="229"/>
      <c r="B17" s="632"/>
      <c r="C17" s="145"/>
      <c r="D17" s="265"/>
      <c r="E17" s="265"/>
      <c r="F17" s="646">
        <f t="shared" ca="1" si="0"/>
        <v>-43388</v>
      </c>
      <c r="G17" s="177"/>
      <c r="H17" s="178"/>
      <c r="I17" s="180"/>
      <c r="J17" s="116" t="str">
        <f ca="1">IF(AND(J18="completed",J19="completed"),"Deliverable Completed","DELIVERABLE STILL IN PROGRESS")</f>
        <v>DELIVERABLE STILL IN PROGRESS</v>
      </c>
      <c r="K17" s="106"/>
    </row>
    <row r="18" spans="1:11" ht="15" x14ac:dyDescent="0.2">
      <c r="A18" s="229"/>
      <c r="B18" s="397"/>
      <c r="C18" s="39"/>
      <c r="D18" s="187"/>
      <c r="E18" s="187"/>
      <c r="F18" s="615">
        <f t="shared" ca="1" si="0"/>
        <v>-43388</v>
      </c>
      <c r="G18" s="200"/>
      <c r="H18" s="38"/>
      <c r="I18" s="38"/>
      <c r="J18" s="38" t="str">
        <f t="shared" ca="1" si="1"/>
        <v>OVERDUE</v>
      </c>
      <c r="K18" s="107"/>
    </row>
    <row r="19" spans="1:11" ht="15.75" thickBot="1" x14ac:dyDescent="0.25">
      <c r="A19" s="230"/>
      <c r="B19" s="650"/>
      <c r="C19" s="213"/>
      <c r="D19" s="210"/>
      <c r="E19" s="210"/>
      <c r="F19" s="616">
        <f t="shared" ca="1" si="0"/>
        <v>-43388</v>
      </c>
      <c r="G19" s="257"/>
      <c r="H19" s="212"/>
      <c r="I19" s="212"/>
      <c r="J19" s="212" t="str">
        <f t="shared" ca="1" si="1"/>
        <v>OVERDUE</v>
      </c>
      <c r="K19" s="258"/>
    </row>
  </sheetData>
  <sheetProtection algorithmName="SHA-512" hashValue="APixMWIXPbY/9Rke75/rma6yS0MUlVHjtvV6id7wNDUEzSGZluIyFgPLnTVc/OdREePvOtKQMoVYLo3Zcjco6Q==" saltValue="emTzHlCOk1MOdPFO6O2v9g==" spinCount="100000" sheet="1" insertRows="0" deleteRows="0" sort="0" autoFilter="0"/>
  <mergeCells count="3">
    <mergeCell ref="A1:K1"/>
    <mergeCell ref="A9:A11"/>
    <mergeCell ref="K9:K11"/>
  </mergeCells>
  <conditionalFormatting sqref="F9:F150">
    <cfRule type="cellIs" dxfId="160" priority="15" stopIfTrue="1" operator="lessThan">
      <formula>-1000</formula>
    </cfRule>
  </conditionalFormatting>
  <conditionalFormatting sqref="D9:E19">
    <cfRule type="cellIs" dxfId="159" priority="1" operator="equal">
      <formula>0</formula>
    </cfRule>
  </conditionalFormatting>
  <conditionalFormatting sqref="J9:J150">
    <cfRule type="containsText" dxfId="158" priority="2" operator="containsText" text="DELIVERABLE STILL IN PROGRESS">
      <formula>NOT(ISERROR(SEARCH("DELIVERABLE STILL IN PROGRESS",J9)))</formula>
    </cfRule>
    <cfRule type="containsText" dxfId="157" priority="3" operator="containsText" text="DELIVERABLE COMPLETED">
      <formula>NOT(ISERROR(SEARCH("DELIVERABLE COMPLETED",J9)))</formula>
    </cfRule>
    <cfRule type="cellIs" dxfId="156" priority="4" stopIfTrue="1" operator="equal">
      <formula>"OVERDUE"</formula>
    </cfRule>
    <cfRule type="cellIs" dxfId="155" priority="5" stopIfTrue="1" operator="equal">
      <formula>"COMPLETED"</formula>
    </cfRule>
    <cfRule type="cellIs" dxfId="154" priority="6" stopIfTrue="1" operator="equal">
      <formula>"ISSUE IDENTIFIED"</formula>
    </cfRule>
  </conditionalFormatting>
  <printOptions horizontalCentered="1"/>
  <pageMargins left="0.5" right="0.5" top="0.5" bottom="1" header="0.25" footer="0.5"/>
  <pageSetup scale="42" orientation="landscape" r:id="rId1"/>
  <headerFooter alignWithMargins="0">
    <oddFooter>&amp;L&amp;K0C3964&amp;F, &amp;A, &amp;D&amp;C&amp;"-,Bold Italic"&amp;14&amp;KC85532Confidential&amp;R&amp;G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0C3964"/>
    <pageSetUpPr fitToPage="1"/>
  </sheetPr>
  <dimension ref="A1:L36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A2" sqref="A2:A4"/>
    </sheetView>
  </sheetViews>
  <sheetFormatPr defaultRowHeight="12.75" x14ac:dyDescent="0.2"/>
  <cols>
    <col min="1" max="1" width="18.42578125" style="25" bestFit="1" customWidth="1"/>
    <col min="2" max="2" width="87.7109375" style="27" customWidth="1"/>
    <col min="3" max="3" width="33.5703125" style="25" bestFit="1" customWidth="1"/>
    <col min="4" max="5" width="13.7109375" style="111" customWidth="1"/>
    <col min="6" max="6" width="13.7109375" style="5" customWidth="1"/>
    <col min="7" max="7" width="13.7109375" style="221" customWidth="1"/>
    <col min="8" max="8" width="14.5703125" style="25" bestFit="1" customWidth="1"/>
    <col min="9" max="9" width="12.7109375" style="27" customWidth="1"/>
    <col min="10" max="10" width="26" style="25" bestFit="1" customWidth="1"/>
    <col min="11" max="11" width="40.7109375" style="25" customWidth="1"/>
    <col min="12" max="12" width="15.5703125" style="25" customWidth="1"/>
    <col min="13" max="256" width="9.140625" style="25"/>
    <col min="257" max="257" width="10.7109375" style="25" customWidth="1"/>
    <col min="258" max="258" width="50.7109375" style="25" customWidth="1"/>
    <col min="259" max="259" width="15.5703125" style="25" customWidth="1"/>
    <col min="260" max="263" width="10.7109375" style="25" customWidth="1"/>
    <col min="264" max="265" width="12.7109375" style="25" customWidth="1"/>
    <col min="266" max="266" width="15.7109375" style="25" customWidth="1"/>
    <col min="267" max="267" width="40.7109375" style="25" customWidth="1"/>
    <col min="268" max="268" width="15.5703125" style="25" customWidth="1"/>
    <col min="269" max="512" width="9.140625" style="25"/>
    <col min="513" max="513" width="10.7109375" style="25" customWidth="1"/>
    <col min="514" max="514" width="50.7109375" style="25" customWidth="1"/>
    <col min="515" max="515" width="15.5703125" style="25" customWidth="1"/>
    <col min="516" max="519" width="10.7109375" style="25" customWidth="1"/>
    <col min="520" max="521" width="12.7109375" style="25" customWidth="1"/>
    <col min="522" max="522" width="15.7109375" style="25" customWidth="1"/>
    <col min="523" max="523" width="40.7109375" style="25" customWidth="1"/>
    <col min="524" max="524" width="15.5703125" style="25" customWidth="1"/>
    <col min="525" max="768" width="9.140625" style="25"/>
    <col min="769" max="769" width="10.7109375" style="25" customWidth="1"/>
    <col min="770" max="770" width="50.7109375" style="25" customWidth="1"/>
    <col min="771" max="771" width="15.5703125" style="25" customWidth="1"/>
    <col min="772" max="775" width="10.7109375" style="25" customWidth="1"/>
    <col min="776" max="777" width="12.7109375" style="25" customWidth="1"/>
    <col min="778" max="778" width="15.7109375" style="25" customWidth="1"/>
    <col min="779" max="779" width="40.7109375" style="25" customWidth="1"/>
    <col min="780" max="780" width="15.5703125" style="25" customWidth="1"/>
    <col min="781" max="1024" width="9.140625" style="25"/>
    <col min="1025" max="1025" width="10.7109375" style="25" customWidth="1"/>
    <col min="1026" max="1026" width="50.7109375" style="25" customWidth="1"/>
    <col min="1027" max="1027" width="15.5703125" style="25" customWidth="1"/>
    <col min="1028" max="1031" width="10.7109375" style="25" customWidth="1"/>
    <col min="1032" max="1033" width="12.7109375" style="25" customWidth="1"/>
    <col min="1034" max="1034" width="15.7109375" style="25" customWidth="1"/>
    <col min="1035" max="1035" width="40.7109375" style="25" customWidth="1"/>
    <col min="1036" max="1036" width="15.5703125" style="25" customWidth="1"/>
    <col min="1037" max="1280" width="9.140625" style="25"/>
    <col min="1281" max="1281" width="10.7109375" style="25" customWidth="1"/>
    <col min="1282" max="1282" width="50.7109375" style="25" customWidth="1"/>
    <col min="1283" max="1283" width="15.5703125" style="25" customWidth="1"/>
    <col min="1284" max="1287" width="10.7109375" style="25" customWidth="1"/>
    <col min="1288" max="1289" width="12.7109375" style="25" customWidth="1"/>
    <col min="1290" max="1290" width="15.7109375" style="25" customWidth="1"/>
    <col min="1291" max="1291" width="40.7109375" style="25" customWidth="1"/>
    <col min="1292" max="1292" width="15.5703125" style="25" customWidth="1"/>
    <col min="1293" max="1536" width="9.140625" style="25"/>
    <col min="1537" max="1537" width="10.7109375" style="25" customWidth="1"/>
    <col min="1538" max="1538" width="50.7109375" style="25" customWidth="1"/>
    <col min="1539" max="1539" width="15.5703125" style="25" customWidth="1"/>
    <col min="1540" max="1543" width="10.7109375" style="25" customWidth="1"/>
    <col min="1544" max="1545" width="12.7109375" style="25" customWidth="1"/>
    <col min="1546" max="1546" width="15.7109375" style="25" customWidth="1"/>
    <col min="1547" max="1547" width="40.7109375" style="25" customWidth="1"/>
    <col min="1548" max="1548" width="15.5703125" style="25" customWidth="1"/>
    <col min="1549" max="1792" width="9.140625" style="25"/>
    <col min="1793" max="1793" width="10.7109375" style="25" customWidth="1"/>
    <col min="1794" max="1794" width="50.7109375" style="25" customWidth="1"/>
    <col min="1795" max="1795" width="15.5703125" style="25" customWidth="1"/>
    <col min="1796" max="1799" width="10.7109375" style="25" customWidth="1"/>
    <col min="1800" max="1801" width="12.7109375" style="25" customWidth="1"/>
    <col min="1802" max="1802" width="15.7109375" style="25" customWidth="1"/>
    <col min="1803" max="1803" width="40.7109375" style="25" customWidth="1"/>
    <col min="1804" max="1804" width="15.5703125" style="25" customWidth="1"/>
    <col min="1805" max="2048" width="9.140625" style="25"/>
    <col min="2049" max="2049" width="10.7109375" style="25" customWidth="1"/>
    <col min="2050" max="2050" width="50.7109375" style="25" customWidth="1"/>
    <col min="2051" max="2051" width="15.5703125" style="25" customWidth="1"/>
    <col min="2052" max="2055" width="10.7109375" style="25" customWidth="1"/>
    <col min="2056" max="2057" width="12.7109375" style="25" customWidth="1"/>
    <col min="2058" max="2058" width="15.7109375" style="25" customWidth="1"/>
    <col min="2059" max="2059" width="40.7109375" style="25" customWidth="1"/>
    <col min="2060" max="2060" width="15.5703125" style="25" customWidth="1"/>
    <col min="2061" max="2304" width="9.140625" style="25"/>
    <col min="2305" max="2305" width="10.7109375" style="25" customWidth="1"/>
    <col min="2306" max="2306" width="50.7109375" style="25" customWidth="1"/>
    <col min="2307" max="2307" width="15.5703125" style="25" customWidth="1"/>
    <col min="2308" max="2311" width="10.7109375" style="25" customWidth="1"/>
    <col min="2312" max="2313" width="12.7109375" style="25" customWidth="1"/>
    <col min="2314" max="2314" width="15.7109375" style="25" customWidth="1"/>
    <col min="2315" max="2315" width="40.7109375" style="25" customWidth="1"/>
    <col min="2316" max="2316" width="15.5703125" style="25" customWidth="1"/>
    <col min="2317" max="2560" width="9.140625" style="25"/>
    <col min="2561" max="2561" width="10.7109375" style="25" customWidth="1"/>
    <col min="2562" max="2562" width="50.7109375" style="25" customWidth="1"/>
    <col min="2563" max="2563" width="15.5703125" style="25" customWidth="1"/>
    <col min="2564" max="2567" width="10.7109375" style="25" customWidth="1"/>
    <col min="2568" max="2569" width="12.7109375" style="25" customWidth="1"/>
    <col min="2570" max="2570" width="15.7109375" style="25" customWidth="1"/>
    <col min="2571" max="2571" width="40.7109375" style="25" customWidth="1"/>
    <col min="2572" max="2572" width="15.5703125" style="25" customWidth="1"/>
    <col min="2573" max="2816" width="9.140625" style="25"/>
    <col min="2817" max="2817" width="10.7109375" style="25" customWidth="1"/>
    <col min="2818" max="2818" width="50.7109375" style="25" customWidth="1"/>
    <col min="2819" max="2819" width="15.5703125" style="25" customWidth="1"/>
    <col min="2820" max="2823" width="10.7109375" style="25" customWidth="1"/>
    <col min="2824" max="2825" width="12.7109375" style="25" customWidth="1"/>
    <col min="2826" max="2826" width="15.7109375" style="25" customWidth="1"/>
    <col min="2827" max="2827" width="40.7109375" style="25" customWidth="1"/>
    <col min="2828" max="2828" width="15.5703125" style="25" customWidth="1"/>
    <col min="2829" max="3072" width="9.140625" style="25"/>
    <col min="3073" max="3073" width="10.7109375" style="25" customWidth="1"/>
    <col min="3074" max="3074" width="50.7109375" style="25" customWidth="1"/>
    <col min="3075" max="3075" width="15.5703125" style="25" customWidth="1"/>
    <col min="3076" max="3079" width="10.7109375" style="25" customWidth="1"/>
    <col min="3080" max="3081" width="12.7109375" style="25" customWidth="1"/>
    <col min="3082" max="3082" width="15.7109375" style="25" customWidth="1"/>
    <col min="3083" max="3083" width="40.7109375" style="25" customWidth="1"/>
    <col min="3084" max="3084" width="15.5703125" style="25" customWidth="1"/>
    <col min="3085" max="3328" width="9.140625" style="25"/>
    <col min="3329" max="3329" width="10.7109375" style="25" customWidth="1"/>
    <col min="3330" max="3330" width="50.7109375" style="25" customWidth="1"/>
    <col min="3331" max="3331" width="15.5703125" style="25" customWidth="1"/>
    <col min="3332" max="3335" width="10.7109375" style="25" customWidth="1"/>
    <col min="3336" max="3337" width="12.7109375" style="25" customWidth="1"/>
    <col min="3338" max="3338" width="15.7109375" style="25" customWidth="1"/>
    <col min="3339" max="3339" width="40.7109375" style="25" customWidth="1"/>
    <col min="3340" max="3340" width="15.5703125" style="25" customWidth="1"/>
    <col min="3341" max="3584" width="9.140625" style="25"/>
    <col min="3585" max="3585" width="10.7109375" style="25" customWidth="1"/>
    <col min="3586" max="3586" width="50.7109375" style="25" customWidth="1"/>
    <col min="3587" max="3587" width="15.5703125" style="25" customWidth="1"/>
    <col min="3588" max="3591" width="10.7109375" style="25" customWidth="1"/>
    <col min="3592" max="3593" width="12.7109375" style="25" customWidth="1"/>
    <col min="3594" max="3594" width="15.7109375" style="25" customWidth="1"/>
    <col min="3595" max="3595" width="40.7109375" style="25" customWidth="1"/>
    <col min="3596" max="3596" width="15.5703125" style="25" customWidth="1"/>
    <col min="3597" max="3840" width="9.140625" style="25"/>
    <col min="3841" max="3841" width="10.7109375" style="25" customWidth="1"/>
    <col min="3842" max="3842" width="50.7109375" style="25" customWidth="1"/>
    <col min="3843" max="3843" width="15.5703125" style="25" customWidth="1"/>
    <col min="3844" max="3847" width="10.7109375" style="25" customWidth="1"/>
    <col min="3848" max="3849" width="12.7109375" style="25" customWidth="1"/>
    <col min="3850" max="3850" width="15.7109375" style="25" customWidth="1"/>
    <col min="3851" max="3851" width="40.7109375" style="25" customWidth="1"/>
    <col min="3852" max="3852" width="15.5703125" style="25" customWidth="1"/>
    <col min="3853" max="4096" width="9.140625" style="25"/>
    <col min="4097" max="4097" width="10.7109375" style="25" customWidth="1"/>
    <col min="4098" max="4098" width="50.7109375" style="25" customWidth="1"/>
    <col min="4099" max="4099" width="15.5703125" style="25" customWidth="1"/>
    <col min="4100" max="4103" width="10.7109375" style="25" customWidth="1"/>
    <col min="4104" max="4105" width="12.7109375" style="25" customWidth="1"/>
    <col min="4106" max="4106" width="15.7109375" style="25" customWidth="1"/>
    <col min="4107" max="4107" width="40.7109375" style="25" customWidth="1"/>
    <col min="4108" max="4108" width="15.5703125" style="25" customWidth="1"/>
    <col min="4109" max="4352" width="9.140625" style="25"/>
    <col min="4353" max="4353" width="10.7109375" style="25" customWidth="1"/>
    <col min="4354" max="4354" width="50.7109375" style="25" customWidth="1"/>
    <col min="4355" max="4355" width="15.5703125" style="25" customWidth="1"/>
    <col min="4356" max="4359" width="10.7109375" style="25" customWidth="1"/>
    <col min="4360" max="4361" width="12.7109375" style="25" customWidth="1"/>
    <col min="4362" max="4362" width="15.7109375" style="25" customWidth="1"/>
    <col min="4363" max="4363" width="40.7109375" style="25" customWidth="1"/>
    <col min="4364" max="4364" width="15.5703125" style="25" customWidth="1"/>
    <col min="4365" max="4608" width="9.140625" style="25"/>
    <col min="4609" max="4609" width="10.7109375" style="25" customWidth="1"/>
    <col min="4610" max="4610" width="50.7109375" style="25" customWidth="1"/>
    <col min="4611" max="4611" width="15.5703125" style="25" customWidth="1"/>
    <col min="4612" max="4615" width="10.7109375" style="25" customWidth="1"/>
    <col min="4616" max="4617" width="12.7109375" style="25" customWidth="1"/>
    <col min="4618" max="4618" width="15.7109375" style="25" customWidth="1"/>
    <col min="4619" max="4619" width="40.7109375" style="25" customWidth="1"/>
    <col min="4620" max="4620" width="15.5703125" style="25" customWidth="1"/>
    <col min="4621" max="4864" width="9.140625" style="25"/>
    <col min="4865" max="4865" width="10.7109375" style="25" customWidth="1"/>
    <col min="4866" max="4866" width="50.7109375" style="25" customWidth="1"/>
    <col min="4867" max="4867" width="15.5703125" style="25" customWidth="1"/>
    <col min="4868" max="4871" width="10.7109375" style="25" customWidth="1"/>
    <col min="4872" max="4873" width="12.7109375" style="25" customWidth="1"/>
    <col min="4874" max="4874" width="15.7109375" style="25" customWidth="1"/>
    <col min="4875" max="4875" width="40.7109375" style="25" customWidth="1"/>
    <col min="4876" max="4876" width="15.5703125" style="25" customWidth="1"/>
    <col min="4877" max="5120" width="9.140625" style="25"/>
    <col min="5121" max="5121" width="10.7109375" style="25" customWidth="1"/>
    <col min="5122" max="5122" width="50.7109375" style="25" customWidth="1"/>
    <col min="5123" max="5123" width="15.5703125" style="25" customWidth="1"/>
    <col min="5124" max="5127" width="10.7109375" style="25" customWidth="1"/>
    <col min="5128" max="5129" width="12.7109375" style="25" customWidth="1"/>
    <col min="5130" max="5130" width="15.7109375" style="25" customWidth="1"/>
    <col min="5131" max="5131" width="40.7109375" style="25" customWidth="1"/>
    <col min="5132" max="5132" width="15.5703125" style="25" customWidth="1"/>
    <col min="5133" max="5376" width="9.140625" style="25"/>
    <col min="5377" max="5377" width="10.7109375" style="25" customWidth="1"/>
    <col min="5378" max="5378" width="50.7109375" style="25" customWidth="1"/>
    <col min="5379" max="5379" width="15.5703125" style="25" customWidth="1"/>
    <col min="5380" max="5383" width="10.7109375" style="25" customWidth="1"/>
    <col min="5384" max="5385" width="12.7109375" style="25" customWidth="1"/>
    <col min="5386" max="5386" width="15.7109375" style="25" customWidth="1"/>
    <col min="5387" max="5387" width="40.7109375" style="25" customWidth="1"/>
    <col min="5388" max="5388" width="15.5703125" style="25" customWidth="1"/>
    <col min="5389" max="5632" width="9.140625" style="25"/>
    <col min="5633" max="5633" width="10.7109375" style="25" customWidth="1"/>
    <col min="5634" max="5634" width="50.7109375" style="25" customWidth="1"/>
    <col min="5635" max="5635" width="15.5703125" style="25" customWidth="1"/>
    <col min="5636" max="5639" width="10.7109375" style="25" customWidth="1"/>
    <col min="5640" max="5641" width="12.7109375" style="25" customWidth="1"/>
    <col min="5642" max="5642" width="15.7109375" style="25" customWidth="1"/>
    <col min="5643" max="5643" width="40.7109375" style="25" customWidth="1"/>
    <col min="5644" max="5644" width="15.5703125" style="25" customWidth="1"/>
    <col min="5645" max="5888" width="9.140625" style="25"/>
    <col min="5889" max="5889" width="10.7109375" style="25" customWidth="1"/>
    <col min="5890" max="5890" width="50.7109375" style="25" customWidth="1"/>
    <col min="5891" max="5891" width="15.5703125" style="25" customWidth="1"/>
    <col min="5892" max="5895" width="10.7109375" style="25" customWidth="1"/>
    <col min="5896" max="5897" width="12.7109375" style="25" customWidth="1"/>
    <col min="5898" max="5898" width="15.7109375" style="25" customWidth="1"/>
    <col min="5899" max="5899" width="40.7109375" style="25" customWidth="1"/>
    <col min="5900" max="5900" width="15.5703125" style="25" customWidth="1"/>
    <col min="5901" max="6144" width="9.140625" style="25"/>
    <col min="6145" max="6145" width="10.7109375" style="25" customWidth="1"/>
    <col min="6146" max="6146" width="50.7109375" style="25" customWidth="1"/>
    <col min="6147" max="6147" width="15.5703125" style="25" customWidth="1"/>
    <col min="6148" max="6151" width="10.7109375" style="25" customWidth="1"/>
    <col min="6152" max="6153" width="12.7109375" style="25" customWidth="1"/>
    <col min="6154" max="6154" width="15.7109375" style="25" customWidth="1"/>
    <col min="6155" max="6155" width="40.7109375" style="25" customWidth="1"/>
    <col min="6156" max="6156" width="15.5703125" style="25" customWidth="1"/>
    <col min="6157" max="6400" width="9.140625" style="25"/>
    <col min="6401" max="6401" width="10.7109375" style="25" customWidth="1"/>
    <col min="6402" max="6402" width="50.7109375" style="25" customWidth="1"/>
    <col min="6403" max="6403" width="15.5703125" style="25" customWidth="1"/>
    <col min="6404" max="6407" width="10.7109375" style="25" customWidth="1"/>
    <col min="6408" max="6409" width="12.7109375" style="25" customWidth="1"/>
    <col min="6410" max="6410" width="15.7109375" style="25" customWidth="1"/>
    <col min="6411" max="6411" width="40.7109375" style="25" customWidth="1"/>
    <col min="6412" max="6412" width="15.5703125" style="25" customWidth="1"/>
    <col min="6413" max="6656" width="9.140625" style="25"/>
    <col min="6657" max="6657" width="10.7109375" style="25" customWidth="1"/>
    <col min="6658" max="6658" width="50.7109375" style="25" customWidth="1"/>
    <col min="6659" max="6659" width="15.5703125" style="25" customWidth="1"/>
    <col min="6660" max="6663" width="10.7109375" style="25" customWidth="1"/>
    <col min="6664" max="6665" width="12.7109375" style="25" customWidth="1"/>
    <col min="6666" max="6666" width="15.7109375" style="25" customWidth="1"/>
    <col min="6667" max="6667" width="40.7109375" style="25" customWidth="1"/>
    <col min="6668" max="6668" width="15.5703125" style="25" customWidth="1"/>
    <col min="6669" max="6912" width="9.140625" style="25"/>
    <col min="6913" max="6913" width="10.7109375" style="25" customWidth="1"/>
    <col min="6914" max="6914" width="50.7109375" style="25" customWidth="1"/>
    <col min="6915" max="6915" width="15.5703125" style="25" customWidth="1"/>
    <col min="6916" max="6919" width="10.7109375" style="25" customWidth="1"/>
    <col min="6920" max="6921" width="12.7109375" style="25" customWidth="1"/>
    <col min="6922" max="6922" width="15.7109375" style="25" customWidth="1"/>
    <col min="6923" max="6923" width="40.7109375" style="25" customWidth="1"/>
    <col min="6924" max="6924" width="15.5703125" style="25" customWidth="1"/>
    <col min="6925" max="7168" width="9.140625" style="25"/>
    <col min="7169" max="7169" width="10.7109375" style="25" customWidth="1"/>
    <col min="7170" max="7170" width="50.7109375" style="25" customWidth="1"/>
    <col min="7171" max="7171" width="15.5703125" style="25" customWidth="1"/>
    <col min="7172" max="7175" width="10.7109375" style="25" customWidth="1"/>
    <col min="7176" max="7177" width="12.7109375" style="25" customWidth="1"/>
    <col min="7178" max="7178" width="15.7109375" style="25" customWidth="1"/>
    <col min="7179" max="7179" width="40.7109375" style="25" customWidth="1"/>
    <col min="7180" max="7180" width="15.5703125" style="25" customWidth="1"/>
    <col min="7181" max="7424" width="9.140625" style="25"/>
    <col min="7425" max="7425" width="10.7109375" style="25" customWidth="1"/>
    <col min="7426" max="7426" width="50.7109375" style="25" customWidth="1"/>
    <col min="7427" max="7427" width="15.5703125" style="25" customWidth="1"/>
    <col min="7428" max="7431" width="10.7109375" style="25" customWidth="1"/>
    <col min="7432" max="7433" width="12.7109375" style="25" customWidth="1"/>
    <col min="7434" max="7434" width="15.7109375" style="25" customWidth="1"/>
    <col min="7435" max="7435" width="40.7109375" style="25" customWidth="1"/>
    <col min="7436" max="7436" width="15.5703125" style="25" customWidth="1"/>
    <col min="7437" max="7680" width="9.140625" style="25"/>
    <col min="7681" max="7681" width="10.7109375" style="25" customWidth="1"/>
    <col min="7682" max="7682" width="50.7109375" style="25" customWidth="1"/>
    <col min="7683" max="7683" width="15.5703125" style="25" customWidth="1"/>
    <col min="7684" max="7687" width="10.7109375" style="25" customWidth="1"/>
    <col min="7688" max="7689" width="12.7109375" style="25" customWidth="1"/>
    <col min="7690" max="7690" width="15.7109375" style="25" customWidth="1"/>
    <col min="7691" max="7691" width="40.7109375" style="25" customWidth="1"/>
    <col min="7692" max="7692" width="15.5703125" style="25" customWidth="1"/>
    <col min="7693" max="7936" width="9.140625" style="25"/>
    <col min="7937" max="7937" width="10.7109375" style="25" customWidth="1"/>
    <col min="7938" max="7938" width="50.7109375" style="25" customWidth="1"/>
    <col min="7939" max="7939" width="15.5703125" style="25" customWidth="1"/>
    <col min="7940" max="7943" width="10.7109375" style="25" customWidth="1"/>
    <col min="7944" max="7945" width="12.7109375" style="25" customWidth="1"/>
    <col min="7946" max="7946" width="15.7109375" style="25" customWidth="1"/>
    <col min="7947" max="7947" width="40.7109375" style="25" customWidth="1"/>
    <col min="7948" max="7948" width="15.5703125" style="25" customWidth="1"/>
    <col min="7949" max="8192" width="9.140625" style="25"/>
    <col min="8193" max="8193" width="10.7109375" style="25" customWidth="1"/>
    <col min="8194" max="8194" width="50.7109375" style="25" customWidth="1"/>
    <col min="8195" max="8195" width="15.5703125" style="25" customWidth="1"/>
    <col min="8196" max="8199" width="10.7109375" style="25" customWidth="1"/>
    <col min="8200" max="8201" width="12.7109375" style="25" customWidth="1"/>
    <col min="8202" max="8202" width="15.7109375" style="25" customWidth="1"/>
    <col min="8203" max="8203" width="40.7109375" style="25" customWidth="1"/>
    <col min="8204" max="8204" width="15.5703125" style="25" customWidth="1"/>
    <col min="8205" max="8448" width="9.140625" style="25"/>
    <col min="8449" max="8449" width="10.7109375" style="25" customWidth="1"/>
    <col min="8450" max="8450" width="50.7109375" style="25" customWidth="1"/>
    <col min="8451" max="8451" width="15.5703125" style="25" customWidth="1"/>
    <col min="8452" max="8455" width="10.7109375" style="25" customWidth="1"/>
    <col min="8456" max="8457" width="12.7109375" style="25" customWidth="1"/>
    <col min="8458" max="8458" width="15.7109375" style="25" customWidth="1"/>
    <col min="8459" max="8459" width="40.7109375" style="25" customWidth="1"/>
    <col min="8460" max="8460" width="15.5703125" style="25" customWidth="1"/>
    <col min="8461" max="8704" width="9.140625" style="25"/>
    <col min="8705" max="8705" width="10.7109375" style="25" customWidth="1"/>
    <col min="8706" max="8706" width="50.7109375" style="25" customWidth="1"/>
    <col min="8707" max="8707" width="15.5703125" style="25" customWidth="1"/>
    <col min="8708" max="8711" width="10.7109375" style="25" customWidth="1"/>
    <col min="8712" max="8713" width="12.7109375" style="25" customWidth="1"/>
    <col min="8714" max="8714" width="15.7109375" style="25" customWidth="1"/>
    <col min="8715" max="8715" width="40.7109375" style="25" customWidth="1"/>
    <col min="8716" max="8716" width="15.5703125" style="25" customWidth="1"/>
    <col min="8717" max="8960" width="9.140625" style="25"/>
    <col min="8961" max="8961" width="10.7109375" style="25" customWidth="1"/>
    <col min="8962" max="8962" width="50.7109375" style="25" customWidth="1"/>
    <col min="8963" max="8963" width="15.5703125" style="25" customWidth="1"/>
    <col min="8964" max="8967" width="10.7109375" style="25" customWidth="1"/>
    <col min="8968" max="8969" width="12.7109375" style="25" customWidth="1"/>
    <col min="8970" max="8970" width="15.7109375" style="25" customWidth="1"/>
    <col min="8971" max="8971" width="40.7109375" style="25" customWidth="1"/>
    <col min="8972" max="8972" width="15.5703125" style="25" customWidth="1"/>
    <col min="8973" max="9216" width="9.140625" style="25"/>
    <col min="9217" max="9217" width="10.7109375" style="25" customWidth="1"/>
    <col min="9218" max="9218" width="50.7109375" style="25" customWidth="1"/>
    <col min="9219" max="9219" width="15.5703125" style="25" customWidth="1"/>
    <col min="9220" max="9223" width="10.7109375" style="25" customWidth="1"/>
    <col min="9224" max="9225" width="12.7109375" style="25" customWidth="1"/>
    <col min="9226" max="9226" width="15.7109375" style="25" customWidth="1"/>
    <col min="9227" max="9227" width="40.7109375" style="25" customWidth="1"/>
    <col min="9228" max="9228" width="15.5703125" style="25" customWidth="1"/>
    <col min="9229" max="9472" width="9.140625" style="25"/>
    <col min="9473" max="9473" width="10.7109375" style="25" customWidth="1"/>
    <col min="9474" max="9474" width="50.7109375" style="25" customWidth="1"/>
    <col min="9475" max="9475" width="15.5703125" style="25" customWidth="1"/>
    <col min="9476" max="9479" width="10.7109375" style="25" customWidth="1"/>
    <col min="9480" max="9481" width="12.7109375" style="25" customWidth="1"/>
    <col min="9482" max="9482" width="15.7109375" style="25" customWidth="1"/>
    <col min="9483" max="9483" width="40.7109375" style="25" customWidth="1"/>
    <col min="9484" max="9484" width="15.5703125" style="25" customWidth="1"/>
    <col min="9485" max="9728" width="9.140625" style="25"/>
    <col min="9729" max="9729" width="10.7109375" style="25" customWidth="1"/>
    <col min="9730" max="9730" width="50.7109375" style="25" customWidth="1"/>
    <col min="9731" max="9731" width="15.5703125" style="25" customWidth="1"/>
    <col min="9732" max="9735" width="10.7109375" style="25" customWidth="1"/>
    <col min="9736" max="9737" width="12.7109375" style="25" customWidth="1"/>
    <col min="9738" max="9738" width="15.7109375" style="25" customWidth="1"/>
    <col min="9739" max="9739" width="40.7109375" style="25" customWidth="1"/>
    <col min="9740" max="9740" width="15.5703125" style="25" customWidth="1"/>
    <col min="9741" max="9984" width="9.140625" style="25"/>
    <col min="9985" max="9985" width="10.7109375" style="25" customWidth="1"/>
    <col min="9986" max="9986" width="50.7109375" style="25" customWidth="1"/>
    <col min="9987" max="9987" width="15.5703125" style="25" customWidth="1"/>
    <col min="9988" max="9991" width="10.7109375" style="25" customWidth="1"/>
    <col min="9992" max="9993" width="12.7109375" style="25" customWidth="1"/>
    <col min="9994" max="9994" width="15.7109375" style="25" customWidth="1"/>
    <col min="9995" max="9995" width="40.7109375" style="25" customWidth="1"/>
    <col min="9996" max="9996" width="15.5703125" style="25" customWidth="1"/>
    <col min="9997" max="10240" width="9.140625" style="25"/>
    <col min="10241" max="10241" width="10.7109375" style="25" customWidth="1"/>
    <col min="10242" max="10242" width="50.7109375" style="25" customWidth="1"/>
    <col min="10243" max="10243" width="15.5703125" style="25" customWidth="1"/>
    <col min="10244" max="10247" width="10.7109375" style="25" customWidth="1"/>
    <col min="10248" max="10249" width="12.7109375" style="25" customWidth="1"/>
    <col min="10250" max="10250" width="15.7109375" style="25" customWidth="1"/>
    <col min="10251" max="10251" width="40.7109375" style="25" customWidth="1"/>
    <col min="10252" max="10252" width="15.5703125" style="25" customWidth="1"/>
    <col min="10253" max="10496" width="9.140625" style="25"/>
    <col min="10497" max="10497" width="10.7109375" style="25" customWidth="1"/>
    <col min="10498" max="10498" width="50.7109375" style="25" customWidth="1"/>
    <col min="10499" max="10499" width="15.5703125" style="25" customWidth="1"/>
    <col min="10500" max="10503" width="10.7109375" style="25" customWidth="1"/>
    <col min="10504" max="10505" width="12.7109375" style="25" customWidth="1"/>
    <col min="10506" max="10506" width="15.7109375" style="25" customWidth="1"/>
    <col min="10507" max="10507" width="40.7109375" style="25" customWidth="1"/>
    <col min="10508" max="10508" width="15.5703125" style="25" customWidth="1"/>
    <col min="10509" max="10752" width="9.140625" style="25"/>
    <col min="10753" max="10753" width="10.7109375" style="25" customWidth="1"/>
    <col min="10754" max="10754" width="50.7109375" style="25" customWidth="1"/>
    <col min="10755" max="10755" width="15.5703125" style="25" customWidth="1"/>
    <col min="10756" max="10759" width="10.7109375" style="25" customWidth="1"/>
    <col min="10760" max="10761" width="12.7109375" style="25" customWidth="1"/>
    <col min="10762" max="10762" width="15.7109375" style="25" customWidth="1"/>
    <col min="10763" max="10763" width="40.7109375" style="25" customWidth="1"/>
    <col min="10764" max="10764" width="15.5703125" style="25" customWidth="1"/>
    <col min="10765" max="11008" width="9.140625" style="25"/>
    <col min="11009" max="11009" width="10.7109375" style="25" customWidth="1"/>
    <col min="11010" max="11010" width="50.7109375" style="25" customWidth="1"/>
    <col min="11011" max="11011" width="15.5703125" style="25" customWidth="1"/>
    <col min="11012" max="11015" width="10.7109375" style="25" customWidth="1"/>
    <col min="11016" max="11017" width="12.7109375" style="25" customWidth="1"/>
    <col min="11018" max="11018" width="15.7109375" style="25" customWidth="1"/>
    <col min="11019" max="11019" width="40.7109375" style="25" customWidth="1"/>
    <col min="11020" max="11020" width="15.5703125" style="25" customWidth="1"/>
    <col min="11021" max="11264" width="9.140625" style="25"/>
    <col min="11265" max="11265" width="10.7109375" style="25" customWidth="1"/>
    <col min="11266" max="11266" width="50.7109375" style="25" customWidth="1"/>
    <col min="11267" max="11267" width="15.5703125" style="25" customWidth="1"/>
    <col min="11268" max="11271" width="10.7109375" style="25" customWidth="1"/>
    <col min="11272" max="11273" width="12.7109375" style="25" customWidth="1"/>
    <col min="11274" max="11274" width="15.7109375" style="25" customWidth="1"/>
    <col min="11275" max="11275" width="40.7109375" style="25" customWidth="1"/>
    <col min="11276" max="11276" width="15.5703125" style="25" customWidth="1"/>
    <col min="11277" max="11520" width="9.140625" style="25"/>
    <col min="11521" max="11521" width="10.7109375" style="25" customWidth="1"/>
    <col min="11522" max="11522" width="50.7109375" style="25" customWidth="1"/>
    <col min="11523" max="11523" width="15.5703125" style="25" customWidth="1"/>
    <col min="11524" max="11527" width="10.7109375" style="25" customWidth="1"/>
    <col min="11528" max="11529" width="12.7109375" style="25" customWidth="1"/>
    <col min="11530" max="11530" width="15.7109375" style="25" customWidth="1"/>
    <col min="11531" max="11531" width="40.7109375" style="25" customWidth="1"/>
    <col min="11532" max="11532" width="15.5703125" style="25" customWidth="1"/>
    <col min="11533" max="11776" width="9.140625" style="25"/>
    <col min="11777" max="11777" width="10.7109375" style="25" customWidth="1"/>
    <col min="11778" max="11778" width="50.7109375" style="25" customWidth="1"/>
    <col min="11779" max="11779" width="15.5703125" style="25" customWidth="1"/>
    <col min="11780" max="11783" width="10.7109375" style="25" customWidth="1"/>
    <col min="11784" max="11785" width="12.7109375" style="25" customWidth="1"/>
    <col min="11786" max="11786" width="15.7109375" style="25" customWidth="1"/>
    <col min="11787" max="11787" width="40.7109375" style="25" customWidth="1"/>
    <col min="11788" max="11788" width="15.5703125" style="25" customWidth="1"/>
    <col min="11789" max="12032" width="9.140625" style="25"/>
    <col min="12033" max="12033" width="10.7109375" style="25" customWidth="1"/>
    <col min="12034" max="12034" width="50.7109375" style="25" customWidth="1"/>
    <col min="12035" max="12035" width="15.5703125" style="25" customWidth="1"/>
    <col min="12036" max="12039" width="10.7109375" style="25" customWidth="1"/>
    <col min="12040" max="12041" width="12.7109375" style="25" customWidth="1"/>
    <col min="12042" max="12042" width="15.7109375" style="25" customWidth="1"/>
    <col min="12043" max="12043" width="40.7109375" style="25" customWidth="1"/>
    <col min="12044" max="12044" width="15.5703125" style="25" customWidth="1"/>
    <col min="12045" max="12288" width="9.140625" style="25"/>
    <col min="12289" max="12289" width="10.7109375" style="25" customWidth="1"/>
    <col min="12290" max="12290" width="50.7109375" style="25" customWidth="1"/>
    <col min="12291" max="12291" width="15.5703125" style="25" customWidth="1"/>
    <col min="12292" max="12295" width="10.7109375" style="25" customWidth="1"/>
    <col min="12296" max="12297" width="12.7109375" style="25" customWidth="1"/>
    <col min="12298" max="12298" width="15.7109375" style="25" customWidth="1"/>
    <col min="12299" max="12299" width="40.7109375" style="25" customWidth="1"/>
    <col min="12300" max="12300" width="15.5703125" style="25" customWidth="1"/>
    <col min="12301" max="12544" width="9.140625" style="25"/>
    <col min="12545" max="12545" width="10.7109375" style="25" customWidth="1"/>
    <col min="12546" max="12546" width="50.7109375" style="25" customWidth="1"/>
    <col min="12547" max="12547" width="15.5703125" style="25" customWidth="1"/>
    <col min="12548" max="12551" width="10.7109375" style="25" customWidth="1"/>
    <col min="12552" max="12553" width="12.7109375" style="25" customWidth="1"/>
    <col min="12554" max="12554" width="15.7109375" style="25" customWidth="1"/>
    <col min="12555" max="12555" width="40.7109375" style="25" customWidth="1"/>
    <col min="12556" max="12556" width="15.5703125" style="25" customWidth="1"/>
    <col min="12557" max="12800" width="9.140625" style="25"/>
    <col min="12801" max="12801" width="10.7109375" style="25" customWidth="1"/>
    <col min="12802" max="12802" width="50.7109375" style="25" customWidth="1"/>
    <col min="12803" max="12803" width="15.5703125" style="25" customWidth="1"/>
    <col min="12804" max="12807" width="10.7109375" style="25" customWidth="1"/>
    <col min="12808" max="12809" width="12.7109375" style="25" customWidth="1"/>
    <col min="12810" max="12810" width="15.7109375" style="25" customWidth="1"/>
    <col min="12811" max="12811" width="40.7109375" style="25" customWidth="1"/>
    <col min="12812" max="12812" width="15.5703125" style="25" customWidth="1"/>
    <col min="12813" max="13056" width="9.140625" style="25"/>
    <col min="13057" max="13057" width="10.7109375" style="25" customWidth="1"/>
    <col min="13058" max="13058" width="50.7109375" style="25" customWidth="1"/>
    <col min="13059" max="13059" width="15.5703125" style="25" customWidth="1"/>
    <col min="13060" max="13063" width="10.7109375" style="25" customWidth="1"/>
    <col min="13064" max="13065" width="12.7109375" style="25" customWidth="1"/>
    <col min="13066" max="13066" width="15.7109375" style="25" customWidth="1"/>
    <col min="13067" max="13067" width="40.7109375" style="25" customWidth="1"/>
    <col min="13068" max="13068" width="15.5703125" style="25" customWidth="1"/>
    <col min="13069" max="13312" width="9.140625" style="25"/>
    <col min="13313" max="13313" width="10.7109375" style="25" customWidth="1"/>
    <col min="13314" max="13314" width="50.7109375" style="25" customWidth="1"/>
    <col min="13315" max="13315" width="15.5703125" style="25" customWidth="1"/>
    <col min="13316" max="13319" width="10.7109375" style="25" customWidth="1"/>
    <col min="13320" max="13321" width="12.7109375" style="25" customWidth="1"/>
    <col min="13322" max="13322" width="15.7109375" style="25" customWidth="1"/>
    <col min="13323" max="13323" width="40.7109375" style="25" customWidth="1"/>
    <col min="13324" max="13324" width="15.5703125" style="25" customWidth="1"/>
    <col min="13325" max="13568" width="9.140625" style="25"/>
    <col min="13569" max="13569" width="10.7109375" style="25" customWidth="1"/>
    <col min="13570" max="13570" width="50.7109375" style="25" customWidth="1"/>
    <col min="13571" max="13571" width="15.5703125" style="25" customWidth="1"/>
    <col min="13572" max="13575" width="10.7109375" style="25" customWidth="1"/>
    <col min="13576" max="13577" width="12.7109375" style="25" customWidth="1"/>
    <col min="13578" max="13578" width="15.7109375" style="25" customWidth="1"/>
    <col min="13579" max="13579" width="40.7109375" style="25" customWidth="1"/>
    <col min="13580" max="13580" width="15.5703125" style="25" customWidth="1"/>
    <col min="13581" max="13824" width="9.140625" style="25"/>
    <col min="13825" max="13825" width="10.7109375" style="25" customWidth="1"/>
    <col min="13826" max="13826" width="50.7109375" style="25" customWidth="1"/>
    <col min="13827" max="13827" width="15.5703125" style="25" customWidth="1"/>
    <col min="13828" max="13831" width="10.7109375" style="25" customWidth="1"/>
    <col min="13832" max="13833" width="12.7109375" style="25" customWidth="1"/>
    <col min="13834" max="13834" width="15.7109375" style="25" customWidth="1"/>
    <col min="13835" max="13835" width="40.7109375" style="25" customWidth="1"/>
    <col min="13836" max="13836" width="15.5703125" style="25" customWidth="1"/>
    <col min="13837" max="14080" width="9.140625" style="25"/>
    <col min="14081" max="14081" width="10.7109375" style="25" customWidth="1"/>
    <col min="14082" max="14082" width="50.7109375" style="25" customWidth="1"/>
    <col min="14083" max="14083" width="15.5703125" style="25" customWidth="1"/>
    <col min="14084" max="14087" width="10.7109375" style="25" customWidth="1"/>
    <col min="14088" max="14089" width="12.7109375" style="25" customWidth="1"/>
    <col min="14090" max="14090" width="15.7109375" style="25" customWidth="1"/>
    <col min="14091" max="14091" width="40.7109375" style="25" customWidth="1"/>
    <col min="14092" max="14092" width="15.5703125" style="25" customWidth="1"/>
    <col min="14093" max="14336" width="9.140625" style="25"/>
    <col min="14337" max="14337" width="10.7109375" style="25" customWidth="1"/>
    <col min="14338" max="14338" width="50.7109375" style="25" customWidth="1"/>
    <col min="14339" max="14339" width="15.5703125" style="25" customWidth="1"/>
    <col min="14340" max="14343" width="10.7109375" style="25" customWidth="1"/>
    <col min="14344" max="14345" width="12.7109375" style="25" customWidth="1"/>
    <col min="14346" max="14346" width="15.7109375" style="25" customWidth="1"/>
    <col min="14347" max="14347" width="40.7109375" style="25" customWidth="1"/>
    <col min="14348" max="14348" width="15.5703125" style="25" customWidth="1"/>
    <col min="14349" max="14592" width="9.140625" style="25"/>
    <col min="14593" max="14593" width="10.7109375" style="25" customWidth="1"/>
    <col min="14594" max="14594" width="50.7109375" style="25" customWidth="1"/>
    <col min="14595" max="14595" width="15.5703125" style="25" customWidth="1"/>
    <col min="14596" max="14599" width="10.7109375" style="25" customWidth="1"/>
    <col min="14600" max="14601" width="12.7109375" style="25" customWidth="1"/>
    <col min="14602" max="14602" width="15.7109375" style="25" customWidth="1"/>
    <col min="14603" max="14603" width="40.7109375" style="25" customWidth="1"/>
    <col min="14604" max="14604" width="15.5703125" style="25" customWidth="1"/>
    <col min="14605" max="14848" width="9.140625" style="25"/>
    <col min="14849" max="14849" width="10.7109375" style="25" customWidth="1"/>
    <col min="14850" max="14850" width="50.7109375" style="25" customWidth="1"/>
    <col min="14851" max="14851" width="15.5703125" style="25" customWidth="1"/>
    <col min="14852" max="14855" width="10.7109375" style="25" customWidth="1"/>
    <col min="14856" max="14857" width="12.7109375" style="25" customWidth="1"/>
    <col min="14858" max="14858" width="15.7109375" style="25" customWidth="1"/>
    <col min="14859" max="14859" width="40.7109375" style="25" customWidth="1"/>
    <col min="14860" max="14860" width="15.5703125" style="25" customWidth="1"/>
    <col min="14861" max="15104" width="9.140625" style="25"/>
    <col min="15105" max="15105" width="10.7109375" style="25" customWidth="1"/>
    <col min="15106" max="15106" width="50.7109375" style="25" customWidth="1"/>
    <col min="15107" max="15107" width="15.5703125" style="25" customWidth="1"/>
    <col min="15108" max="15111" width="10.7109375" style="25" customWidth="1"/>
    <col min="15112" max="15113" width="12.7109375" style="25" customWidth="1"/>
    <col min="15114" max="15114" width="15.7109375" style="25" customWidth="1"/>
    <col min="15115" max="15115" width="40.7109375" style="25" customWidth="1"/>
    <col min="15116" max="15116" width="15.5703125" style="25" customWidth="1"/>
    <col min="15117" max="15360" width="9.140625" style="25"/>
    <col min="15361" max="15361" width="10.7109375" style="25" customWidth="1"/>
    <col min="15362" max="15362" width="50.7109375" style="25" customWidth="1"/>
    <col min="15363" max="15363" width="15.5703125" style="25" customWidth="1"/>
    <col min="15364" max="15367" width="10.7109375" style="25" customWidth="1"/>
    <col min="15368" max="15369" width="12.7109375" style="25" customWidth="1"/>
    <col min="15370" max="15370" width="15.7109375" style="25" customWidth="1"/>
    <col min="15371" max="15371" width="40.7109375" style="25" customWidth="1"/>
    <col min="15372" max="15372" width="15.5703125" style="25" customWidth="1"/>
    <col min="15373" max="15616" width="9.140625" style="25"/>
    <col min="15617" max="15617" width="10.7109375" style="25" customWidth="1"/>
    <col min="15618" max="15618" width="50.7109375" style="25" customWidth="1"/>
    <col min="15619" max="15619" width="15.5703125" style="25" customWidth="1"/>
    <col min="15620" max="15623" width="10.7109375" style="25" customWidth="1"/>
    <col min="15624" max="15625" width="12.7109375" style="25" customWidth="1"/>
    <col min="15626" max="15626" width="15.7109375" style="25" customWidth="1"/>
    <col min="15627" max="15627" width="40.7109375" style="25" customWidth="1"/>
    <col min="15628" max="15628" width="15.5703125" style="25" customWidth="1"/>
    <col min="15629" max="15872" width="9.140625" style="25"/>
    <col min="15873" max="15873" width="10.7109375" style="25" customWidth="1"/>
    <col min="15874" max="15874" width="50.7109375" style="25" customWidth="1"/>
    <col min="15875" max="15875" width="15.5703125" style="25" customWidth="1"/>
    <col min="15876" max="15879" width="10.7109375" style="25" customWidth="1"/>
    <col min="15880" max="15881" width="12.7109375" style="25" customWidth="1"/>
    <col min="15882" max="15882" width="15.7109375" style="25" customWidth="1"/>
    <col min="15883" max="15883" width="40.7109375" style="25" customWidth="1"/>
    <col min="15884" max="15884" width="15.5703125" style="25" customWidth="1"/>
    <col min="15885" max="16128" width="9.140625" style="25"/>
    <col min="16129" max="16129" width="10.7109375" style="25" customWidth="1"/>
    <col min="16130" max="16130" width="50.7109375" style="25" customWidth="1"/>
    <col min="16131" max="16131" width="15.5703125" style="25" customWidth="1"/>
    <col min="16132" max="16135" width="10.7109375" style="25" customWidth="1"/>
    <col min="16136" max="16137" width="12.7109375" style="25" customWidth="1"/>
    <col min="16138" max="16138" width="15.7109375" style="25" customWidth="1"/>
    <col min="16139" max="16139" width="40.7109375" style="25" customWidth="1"/>
    <col min="16140" max="16140" width="15.5703125" style="25" customWidth="1"/>
    <col min="16141" max="16384" width="9.140625" style="25"/>
  </cols>
  <sheetData>
    <row r="1" spans="1:12" ht="69.95" customHeight="1" thickBot="1" x14ac:dyDescent="0.25">
      <c r="A1" s="966" t="s">
        <v>59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6"/>
    </row>
    <row r="2" spans="1:12" s="493" customFormat="1" ht="15.95" customHeight="1" thickTop="1" x14ac:dyDescent="0.25">
      <c r="A2" s="436" t="s">
        <v>1019</v>
      </c>
      <c r="B2" s="437">
        <f>Resources!C9</f>
        <v>0</v>
      </c>
      <c r="C2" s="438" t="s">
        <v>776</v>
      </c>
      <c r="D2" s="439">
        <f ca="1">COUNTIF($J$9:$J$75,"Deliverable Still In Progress")</f>
        <v>6</v>
      </c>
      <c r="E2" s="440"/>
      <c r="F2" s="441"/>
      <c r="G2" s="504"/>
      <c r="H2" s="454"/>
      <c r="I2" s="490"/>
      <c r="J2" s="454"/>
      <c r="K2" s="505"/>
      <c r="L2" s="492"/>
    </row>
    <row r="3" spans="1:12" s="493" customFormat="1" ht="15.95" customHeight="1" x14ac:dyDescent="0.25">
      <c r="A3" s="436" t="s">
        <v>1020</v>
      </c>
      <c r="B3" s="437">
        <f>Resources!E9</f>
        <v>0</v>
      </c>
      <c r="C3" s="438" t="s">
        <v>777</v>
      </c>
      <c r="D3" s="439">
        <f ca="1">COUNTIF($J$9:$J$75,"Deliverable Completed")</f>
        <v>0</v>
      </c>
      <c r="E3" s="449">
        <f ca="1">D3/D6</f>
        <v>0</v>
      </c>
      <c r="F3" s="441"/>
      <c r="G3" s="504"/>
      <c r="H3" s="454"/>
      <c r="I3" s="490"/>
      <c r="J3" s="454"/>
      <c r="K3" s="505"/>
      <c r="L3" s="492"/>
    </row>
    <row r="4" spans="1:12" s="493" customFormat="1" ht="15.95" customHeight="1" x14ac:dyDescent="0.25">
      <c r="A4" s="436" t="s">
        <v>1021</v>
      </c>
      <c r="B4" s="450"/>
      <c r="C4" s="438" t="s">
        <v>778</v>
      </c>
      <c r="D4" s="439">
        <f ca="1">D7-COUNTIF($J$9:$J$75,"completed")</f>
        <v>15</v>
      </c>
      <c r="E4" s="440"/>
      <c r="F4" s="441"/>
      <c r="G4" s="504"/>
      <c r="H4" s="454"/>
      <c r="I4" s="490"/>
      <c r="J4" s="454"/>
      <c r="K4" s="505"/>
      <c r="L4" s="492"/>
    </row>
    <row r="5" spans="1:12" s="493" customFormat="1" ht="15.95" customHeight="1" x14ac:dyDescent="0.25">
      <c r="A5" s="451"/>
      <c r="B5" s="450"/>
      <c r="C5" s="452" t="s">
        <v>779</v>
      </c>
      <c r="D5" s="439">
        <f ca="1">D7-D4</f>
        <v>0</v>
      </c>
      <c r="E5" s="449">
        <f ca="1">D5/D7</f>
        <v>0</v>
      </c>
      <c r="F5" s="441"/>
      <c r="G5" s="504"/>
      <c r="H5" s="454"/>
      <c r="I5" s="490"/>
      <c r="J5" s="454"/>
      <c r="K5" s="505"/>
      <c r="L5" s="492"/>
    </row>
    <row r="6" spans="1:12" s="493" customFormat="1" ht="15.95" customHeight="1" thickBot="1" x14ac:dyDescent="0.3">
      <c r="A6" s="451"/>
      <c r="B6" s="450"/>
      <c r="C6" s="452" t="s">
        <v>780</v>
      </c>
      <c r="D6" s="439">
        <f ca="1">D2+D3</f>
        <v>6</v>
      </c>
      <c r="E6" s="449"/>
      <c r="F6" s="441"/>
      <c r="G6" s="504"/>
      <c r="H6" s="454"/>
      <c r="I6" s="490"/>
      <c r="J6" s="454"/>
      <c r="K6" s="505"/>
      <c r="L6" s="492"/>
    </row>
    <row r="7" spans="1:12" s="493" customFormat="1" ht="15.95" customHeight="1" thickBot="1" x14ac:dyDescent="0.3">
      <c r="A7" s="451"/>
      <c r="B7" s="506"/>
      <c r="C7" s="452" t="s">
        <v>781</v>
      </c>
      <c r="D7" s="439">
        <f ca="1">COUNTA(B9:B63)-D6</f>
        <v>15</v>
      </c>
      <c r="E7" s="449"/>
      <c r="F7" s="648" t="s">
        <v>1017</v>
      </c>
      <c r="G7" s="504"/>
      <c r="H7" s="454"/>
      <c r="I7" s="490"/>
      <c r="J7" s="648" t="s">
        <v>1017</v>
      </c>
      <c r="K7" s="505"/>
      <c r="L7" s="492"/>
    </row>
    <row r="8" spans="1:12" s="127" customFormat="1" ht="47.25" x14ac:dyDescent="0.25">
      <c r="A8" s="352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529" t="s">
        <v>53</v>
      </c>
      <c r="H8" s="496" t="s">
        <v>95</v>
      </c>
      <c r="I8" s="496" t="s">
        <v>54</v>
      </c>
      <c r="J8" s="528" t="s">
        <v>55</v>
      </c>
      <c r="K8" s="356" t="s">
        <v>56</v>
      </c>
      <c r="L8" s="126"/>
    </row>
    <row r="9" spans="1:12" ht="14.25" customHeight="1" x14ac:dyDescent="0.2">
      <c r="A9" s="516"/>
      <c r="B9" s="520" t="s">
        <v>96</v>
      </c>
      <c r="C9" s="145"/>
      <c r="D9" s="172"/>
      <c r="E9" s="507"/>
      <c r="F9" s="137">
        <f ca="1">IF(ISBLANK(G9),IF(ISERROR(DAYS360(TODAY(),E9))," ",(DAYS360(TODAY(),E9))),E9-G9)</f>
        <v>-43388</v>
      </c>
      <c r="G9" s="154"/>
      <c r="H9" s="173"/>
      <c r="I9" s="145"/>
      <c r="J9" s="138" t="str">
        <f ca="1">IF(AND(J10="completed"),"Deliverable Completed","DELIVERABLE STILL IN PROGRESS")</f>
        <v>DELIVERABLE STILL IN PROGRESS</v>
      </c>
      <c r="K9" s="107"/>
    </row>
    <row r="10" spans="1:12" ht="15" x14ac:dyDescent="0.2">
      <c r="A10" s="517"/>
      <c r="B10" s="156" t="s">
        <v>97</v>
      </c>
      <c r="C10" s="152"/>
      <c r="D10" s="509"/>
      <c r="E10" s="509"/>
      <c r="F10" s="90">
        <f t="shared" ref="F10:F34" ca="1" si="0">IF(ISBLANK(G10),IF(ISERROR(DAYS360(TODAY(),E10))," ",(DAYS360(TODAY(),E10))),E10-G10)</f>
        <v>-43388</v>
      </c>
      <c r="G10" s="219"/>
      <c r="H10" s="175"/>
      <c r="I10" s="152"/>
      <c r="J10" s="153" t="str">
        <f t="shared" ref="J10:J28" ca="1" si="1">IF(G10&gt;0,"COMPLETED",(IF(I10&gt;0,"ISSUE IDENTIFIED",(IF(TODAY()&gt;E10,"OVERDUE","In Progress")))))</f>
        <v>OVERDUE</v>
      </c>
      <c r="K10" s="264"/>
    </row>
    <row r="11" spans="1:12" ht="15" x14ac:dyDescent="0.2">
      <c r="A11" s="517"/>
      <c r="B11" s="520" t="s">
        <v>98</v>
      </c>
      <c r="C11" s="81"/>
      <c r="D11" s="171"/>
      <c r="E11" s="510"/>
      <c r="F11" s="89">
        <f t="shared" ca="1" si="0"/>
        <v>-43388</v>
      </c>
      <c r="G11" s="220"/>
      <c r="H11" s="116"/>
      <c r="I11" s="81"/>
      <c r="J11" s="141" t="str">
        <f ca="1">IF(AND(J12="completed",J13="completed",J14="completed"),"Deliverable Completed","DELIVERABLE STILL IN PROGRESS")</f>
        <v>DELIVERABLE STILL IN PROGRESS</v>
      </c>
      <c r="K11" s="107"/>
    </row>
    <row r="12" spans="1:12" ht="15" x14ac:dyDescent="0.2">
      <c r="A12" s="517"/>
      <c r="B12" s="146" t="s">
        <v>99</v>
      </c>
      <c r="C12" s="39"/>
      <c r="D12" s="508"/>
      <c r="E12" s="508"/>
      <c r="F12" s="86">
        <f t="shared" ca="1" si="0"/>
        <v>-43388</v>
      </c>
      <c r="G12" s="200"/>
      <c r="H12" s="38"/>
      <c r="I12" s="39"/>
      <c r="J12" s="100" t="str">
        <f ca="1">IF(G12&gt;0,"COMPLETED",(IF(I12&gt;0,"ISSUE IDENTIFIED",(IF(TODAY()&gt;E12,"OVERDUE","In Progress")))))</f>
        <v>OVERDUE</v>
      </c>
      <c r="K12" s="107"/>
    </row>
    <row r="13" spans="1:12" ht="15" x14ac:dyDescent="0.2">
      <c r="A13" s="517"/>
      <c r="B13" s="146" t="s">
        <v>100</v>
      </c>
      <c r="C13" s="39"/>
      <c r="D13" s="508"/>
      <c r="E13" s="508"/>
      <c r="F13" s="86">
        <f t="shared" ca="1" si="0"/>
        <v>-43388</v>
      </c>
      <c r="G13" s="200"/>
      <c r="H13" s="38"/>
      <c r="I13" s="39"/>
      <c r="J13" s="100" t="str">
        <f ca="1">IF(G13&gt;0,"COMPLETED",(IF(I13&gt;0,"ISSUE IDENTIFIED",(IF(TODAY()&gt;E13,"OVERDUE","In Progress")))))</f>
        <v>OVERDUE</v>
      </c>
      <c r="K13" s="256"/>
    </row>
    <row r="14" spans="1:12" ht="15" x14ac:dyDescent="0.2">
      <c r="A14" s="517"/>
      <c r="B14" s="160" t="s">
        <v>101</v>
      </c>
      <c r="C14" s="152"/>
      <c r="D14" s="509"/>
      <c r="E14" s="509"/>
      <c r="F14" s="90">
        <f t="shared" ca="1" si="0"/>
        <v>-43388</v>
      </c>
      <c r="G14" s="219"/>
      <c r="H14" s="175"/>
      <c r="I14" s="152"/>
      <c r="J14" s="263" t="str">
        <f ca="1">IF(G14&gt;0,"COMPLETED",(IF(I14&gt;0,"ISSUE IDENTIFIED",(IF(TODAY()&gt;E14,"OVERDUE","In Progress")))))</f>
        <v>OVERDUE</v>
      </c>
      <c r="K14" s="201"/>
    </row>
    <row r="15" spans="1:12" ht="15" x14ac:dyDescent="0.2">
      <c r="A15" s="517"/>
      <c r="B15" s="520" t="s">
        <v>102</v>
      </c>
      <c r="C15" s="81"/>
      <c r="D15" s="171"/>
      <c r="E15" s="510"/>
      <c r="F15" s="89">
        <f t="shared" ca="1" si="0"/>
        <v>-43388</v>
      </c>
      <c r="G15" s="220"/>
      <c r="H15" s="116"/>
      <c r="I15" s="81"/>
      <c r="J15" s="141" t="str">
        <f ca="1">IF(AND(J16="completed",J17="completed",J18="completed"),"Deliverable Completed","DELIVERABLE STILL IN PROGRESS")</f>
        <v>DELIVERABLE STILL IN PROGRESS</v>
      </c>
      <c r="K15" s="107"/>
    </row>
    <row r="16" spans="1:12" ht="15" x14ac:dyDescent="0.2">
      <c r="A16" s="517"/>
      <c r="B16" s="146" t="s">
        <v>103</v>
      </c>
      <c r="C16" s="39"/>
      <c r="D16" s="508"/>
      <c r="E16" s="508"/>
      <c r="F16" s="86">
        <f t="shared" ca="1" si="0"/>
        <v>-43388</v>
      </c>
      <c r="G16" s="200"/>
      <c r="H16" s="38"/>
      <c r="I16" s="39"/>
      <c r="J16" s="40" t="str">
        <f t="shared" ca="1" si="1"/>
        <v>OVERDUE</v>
      </c>
      <c r="K16" s="107"/>
    </row>
    <row r="17" spans="1:11" ht="15" x14ac:dyDescent="0.2">
      <c r="A17" s="517"/>
      <c r="B17" s="146" t="s">
        <v>104</v>
      </c>
      <c r="C17" s="39"/>
      <c r="D17" s="508"/>
      <c r="E17" s="508"/>
      <c r="F17" s="86">
        <f t="shared" ca="1" si="0"/>
        <v>-43388</v>
      </c>
      <c r="G17" s="200"/>
      <c r="H17" s="38"/>
      <c r="I17" s="39"/>
      <c r="J17" s="40" t="str">
        <f t="shared" ca="1" si="1"/>
        <v>OVERDUE</v>
      </c>
      <c r="K17" s="107"/>
    </row>
    <row r="18" spans="1:11" s="128" customFormat="1" ht="15" x14ac:dyDescent="0.2">
      <c r="A18" s="517"/>
      <c r="B18" s="146" t="s">
        <v>105</v>
      </c>
      <c r="C18" s="152"/>
      <c r="D18" s="509"/>
      <c r="E18" s="509"/>
      <c r="F18" s="90">
        <f t="shared" ca="1" si="0"/>
        <v>-43388</v>
      </c>
      <c r="G18" s="219"/>
      <c r="H18" s="175"/>
      <c r="I18" s="152"/>
      <c r="J18" s="153" t="str">
        <f t="shared" ca="1" si="1"/>
        <v>OVERDUE</v>
      </c>
      <c r="K18" s="264"/>
    </row>
    <row r="19" spans="1:11" ht="15" x14ac:dyDescent="0.2">
      <c r="A19" s="517"/>
      <c r="B19" s="520" t="s">
        <v>106</v>
      </c>
      <c r="C19" s="81"/>
      <c r="D19" s="171"/>
      <c r="E19" s="510"/>
      <c r="F19" s="89">
        <f t="shared" ca="1" si="0"/>
        <v>-43388</v>
      </c>
      <c r="G19" s="220"/>
      <c r="H19" s="116"/>
      <c r="I19" s="81"/>
      <c r="J19" s="141" t="str">
        <f ca="1">IF(AND(J20="completed",J21="completed",J22="completed",J23="completed",J24="completed",J25="completed"),"Deliverable Completed","DELIVERABLE STILL IN PROGRESS")</f>
        <v>DELIVERABLE STILL IN PROGRESS</v>
      </c>
      <c r="K19" s="107"/>
    </row>
    <row r="20" spans="1:11" ht="15" x14ac:dyDescent="0.2">
      <c r="A20" s="517"/>
      <c r="B20" s="146" t="s">
        <v>107</v>
      </c>
      <c r="C20" s="39"/>
      <c r="D20" s="508"/>
      <c r="E20" s="508"/>
      <c r="F20" s="86">
        <f t="shared" ca="1" si="0"/>
        <v>-43388</v>
      </c>
      <c r="G20" s="200"/>
      <c r="H20" s="38"/>
      <c r="I20" s="39"/>
      <c r="J20" s="40" t="str">
        <f t="shared" ref="J20:J25" ca="1" si="2">IF(G20&gt;0,"COMPLETED",(IF(I20&gt;0,"ISSUE IDENTIFIED",(IF(TODAY()&gt;E20,"OVERDUE","In Progress")))))</f>
        <v>OVERDUE</v>
      </c>
      <c r="K20" s="107"/>
    </row>
    <row r="21" spans="1:11" ht="15" x14ac:dyDescent="0.2">
      <c r="A21" s="517"/>
      <c r="B21" s="146" t="s">
        <v>108</v>
      </c>
      <c r="C21" s="39"/>
      <c r="D21" s="508"/>
      <c r="E21" s="508"/>
      <c r="F21" s="86">
        <f t="shared" ca="1" si="0"/>
        <v>-43388</v>
      </c>
      <c r="G21" s="200"/>
      <c r="H21" s="38"/>
      <c r="I21" s="39"/>
      <c r="J21" s="40" t="str">
        <f t="shared" ca="1" si="2"/>
        <v>OVERDUE</v>
      </c>
      <c r="K21" s="107"/>
    </row>
    <row r="22" spans="1:11" x14ac:dyDescent="0.2">
      <c r="A22" s="517"/>
      <c r="B22" s="155" t="s">
        <v>109</v>
      </c>
      <c r="C22" s="39"/>
      <c r="D22" s="508"/>
      <c r="E22" s="508"/>
      <c r="F22" s="94">
        <f t="shared" ca="1" si="0"/>
        <v>-43388</v>
      </c>
      <c r="G22" s="200"/>
      <c r="H22" s="38"/>
      <c r="I22" s="39"/>
      <c r="J22" s="40" t="str">
        <f t="shared" ca="1" si="2"/>
        <v>OVERDUE</v>
      </c>
      <c r="K22" s="107"/>
    </row>
    <row r="23" spans="1:11" x14ac:dyDescent="0.2">
      <c r="A23" s="517"/>
      <c r="B23" s="155" t="s">
        <v>110</v>
      </c>
      <c r="C23" s="39"/>
      <c r="D23" s="508"/>
      <c r="E23" s="508"/>
      <c r="F23" s="94">
        <f t="shared" ca="1" si="0"/>
        <v>-43388</v>
      </c>
      <c r="G23" s="200"/>
      <c r="H23" s="38"/>
      <c r="I23" s="39"/>
      <c r="J23" s="40" t="str">
        <f t="shared" ca="1" si="2"/>
        <v>OVERDUE</v>
      </c>
      <c r="K23" s="107"/>
    </row>
    <row r="24" spans="1:11" x14ac:dyDescent="0.2">
      <c r="A24" s="517"/>
      <c r="B24" s="155" t="s">
        <v>111</v>
      </c>
      <c r="C24" s="39"/>
      <c r="D24" s="508"/>
      <c r="E24" s="508"/>
      <c r="F24" s="94">
        <f t="shared" ca="1" si="0"/>
        <v>-43388</v>
      </c>
      <c r="G24" s="200"/>
      <c r="H24" s="38"/>
      <c r="I24" s="39"/>
      <c r="J24" s="40" t="str">
        <f t="shared" ca="1" si="2"/>
        <v>OVERDUE</v>
      </c>
      <c r="K24" s="256"/>
    </row>
    <row r="25" spans="1:11" ht="15" x14ac:dyDescent="0.2">
      <c r="A25" s="517"/>
      <c r="B25" s="160" t="s">
        <v>112</v>
      </c>
      <c r="C25" s="152"/>
      <c r="D25" s="509"/>
      <c r="E25" s="509"/>
      <c r="F25" s="90">
        <f t="shared" ca="1" si="0"/>
        <v>-43388</v>
      </c>
      <c r="G25" s="219"/>
      <c r="H25" s="175"/>
      <c r="I25" s="152"/>
      <c r="J25" s="153" t="str">
        <f t="shared" ca="1" si="2"/>
        <v>OVERDUE</v>
      </c>
      <c r="K25" s="264"/>
    </row>
    <row r="26" spans="1:11" ht="15" x14ac:dyDescent="0.2">
      <c r="A26" s="517"/>
      <c r="B26" s="520" t="s">
        <v>113</v>
      </c>
      <c r="C26" s="81"/>
      <c r="D26" s="171"/>
      <c r="E26" s="510"/>
      <c r="F26" s="89">
        <f t="shared" ca="1" si="0"/>
        <v>-43388</v>
      </c>
      <c r="G26" s="220"/>
      <c r="H26" s="116"/>
      <c r="I26" s="81"/>
      <c r="J26" s="141" t="str">
        <f ca="1">IF(AND(J27="completed",J28="completed"),"Deliverable Completed","DELIVERABLE STILL IN PROGRESS")</f>
        <v>DELIVERABLE STILL IN PROGRESS</v>
      </c>
      <c r="K26" s="107"/>
    </row>
    <row r="27" spans="1:11" ht="15" x14ac:dyDescent="0.2">
      <c r="A27" s="517"/>
      <c r="B27" s="146" t="s">
        <v>114</v>
      </c>
      <c r="C27" s="39"/>
      <c r="D27" s="508"/>
      <c r="E27" s="508"/>
      <c r="F27" s="86">
        <f t="shared" ca="1" si="0"/>
        <v>-43388</v>
      </c>
      <c r="G27" s="200"/>
      <c r="H27" s="38"/>
      <c r="I27" s="39"/>
      <c r="J27" s="40" t="str">
        <f t="shared" ca="1" si="1"/>
        <v>OVERDUE</v>
      </c>
      <c r="K27" s="256"/>
    </row>
    <row r="28" spans="1:11" ht="15" x14ac:dyDescent="0.2">
      <c r="A28" s="517"/>
      <c r="B28" s="146" t="s">
        <v>115</v>
      </c>
      <c r="C28" s="152"/>
      <c r="D28" s="509"/>
      <c r="E28" s="509"/>
      <c r="F28" s="90">
        <f t="shared" ca="1" si="0"/>
        <v>-43388</v>
      </c>
      <c r="G28" s="219"/>
      <c r="H28" s="175"/>
      <c r="I28" s="152"/>
      <c r="J28" s="153" t="str">
        <f t="shared" ca="1" si="1"/>
        <v>OVERDUE</v>
      </c>
      <c r="K28" s="201"/>
    </row>
    <row r="29" spans="1:11" ht="15" customHeight="1" x14ac:dyDescent="0.2">
      <c r="A29" s="517"/>
      <c r="B29" s="520" t="s">
        <v>116</v>
      </c>
      <c r="C29" s="81"/>
      <c r="D29" s="171"/>
      <c r="E29" s="510"/>
      <c r="F29" s="89">
        <f t="shared" ca="1" si="0"/>
        <v>-43388</v>
      </c>
      <c r="G29" s="220"/>
      <c r="H29" s="116"/>
      <c r="I29" s="81"/>
      <c r="J29" s="141" t="str">
        <f ca="1">IF(AND(J31="completed",J32="completed",J33="completed",J34="completed"),"Deliverable Completed","DELIVERABLE STILL IN PROGRESS")</f>
        <v>DELIVERABLE STILL IN PROGRESS</v>
      </c>
      <c r="K29" s="107"/>
    </row>
    <row r="30" spans="1:11" ht="15" x14ac:dyDescent="0.2">
      <c r="A30" s="517"/>
      <c r="B30" s="192"/>
      <c r="C30" s="39"/>
      <c r="D30" s="508"/>
      <c r="E30" s="508"/>
      <c r="F30" s="86">
        <f t="shared" ca="1" si="0"/>
        <v>-43388</v>
      </c>
      <c r="G30" s="200"/>
      <c r="H30" s="38"/>
      <c r="I30" s="39"/>
      <c r="J30" s="40" t="str">
        <f ca="1">IF(G30&gt;0,"COMPLETED",(IF(I30&gt;0,"ISSUE IDENTIFIED",(IF(TODAY()&gt;E30,"OVERDUE","In Progress")))))</f>
        <v>OVERDUE</v>
      </c>
      <c r="K30" s="107"/>
    </row>
    <row r="31" spans="1:11" ht="15" x14ac:dyDescent="0.2">
      <c r="A31" s="517"/>
      <c r="B31" s="146"/>
      <c r="C31" s="39"/>
      <c r="D31" s="508"/>
      <c r="E31" s="508"/>
      <c r="F31" s="86">
        <f t="shared" ca="1" si="0"/>
        <v>-43388</v>
      </c>
      <c r="G31" s="200"/>
      <c r="H31" s="38"/>
      <c r="I31" s="39"/>
      <c r="J31" s="40" t="str">
        <f ca="1">IF(G31&gt;0,"COMPLETED",(IF(I31&gt;0,"ISSUE IDENTIFIED",(IF(TODAY()&gt;E31,"OVERDUE","In Progress")))))</f>
        <v>OVERDUE</v>
      </c>
      <c r="K31" s="107"/>
    </row>
    <row r="32" spans="1:11" ht="15" x14ac:dyDescent="0.2">
      <c r="A32" s="517"/>
      <c r="B32" s="146"/>
      <c r="C32" s="39"/>
      <c r="D32" s="508"/>
      <c r="E32" s="508"/>
      <c r="F32" s="86">
        <f t="shared" ca="1" si="0"/>
        <v>-43388</v>
      </c>
      <c r="G32" s="200"/>
      <c r="H32" s="38"/>
      <c r="I32" s="39"/>
      <c r="J32" s="40" t="str">
        <f ca="1">IF(G32&gt;0,"COMPLETED",(IF(I32&gt;0,"ISSUE IDENTIFIED",(IF(TODAY()&gt;E32,"OVERDUE","In Progress")))))</f>
        <v>OVERDUE</v>
      </c>
      <c r="K32" s="107"/>
    </row>
    <row r="33" spans="1:11" ht="15" x14ac:dyDescent="0.2">
      <c r="A33" s="517"/>
      <c r="B33" s="179"/>
      <c r="C33" s="39"/>
      <c r="D33" s="508"/>
      <c r="E33" s="508"/>
      <c r="F33" s="231">
        <f t="shared" ca="1" si="0"/>
        <v>-43388</v>
      </c>
      <c r="G33" s="200"/>
      <c r="H33" s="38"/>
      <c r="I33" s="39"/>
      <c r="J33" s="40" t="str">
        <f ca="1">IF(G33&gt;0,"COMPLETED",(IF(I33&gt;0,"ISSUE IDENTIFIED",(IF(TODAY()&gt;E33,"OVERDUE","In Progress")))))</f>
        <v>OVERDUE</v>
      </c>
      <c r="K33" s="107"/>
    </row>
    <row r="34" spans="1:11" ht="15.75" thickBot="1" x14ac:dyDescent="0.25">
      <c r="A34" s="519"/>
      <c r="B34" s="208"/>
      <c r="C34" s="213"/>
      <c r="D34" s="209"/>
      <c r="E34" s="647"/>
      <c r="F34" s="88">
        <f t="shared" ca="1" si="0"/>
        <v>-43388</v>
      </c>
      <c r="G34" s="257"/>
      <c r="H34" s="212"/>
      <c r="I34" s="213"/>
      <c r="J34" s="74" t="str">
        <f ca="1">IF(G34&gt;0,"COMPLETED",(IF(I34&gt;0,"ISSUE IDENTIFIED",(IF(TODAY()&gt;E34,"OVERDUE","In Progress")))))</f>
        <v>OVERDUE</v>
      </c>
      <c r="K34" s="258"/>
    </row>
    <row r="35" spans="1:11" x14ac:dyDescent="0.2">
      <c r="A35" s="644"/>
      <c r="B35" s="7"/>
      <c r="C35" s="3"/>
      <c r="D35" s="110"/>
      <c r="E35" s="110"/>
      <c r="F35" s="4"/>
      <c r="G35" s="133"/>
      <c r="H35" s="3"/>
      <c r="I35" s="7"/>
      <c r="J35" s="3"/>
      <c r="K35" s="3"/>
    </row>
    <row r="36" spans="1:11" x14ac:dyDescent="0.2">
      <c r="A36" s="3"/>
      <c r="B36" s="7"/>
      <c r="C36" s="3"/>
      <c r="D36" s="110"/>
      <c r="E36" s="110"/>
      <c r="F36" s="4"/>
      <c r="G36" s="133"/>
      <c r="H36" s="3"/>
      <c r="I36" s="7"/>
      <c r="J36" s="3"/>
      <c r="K36" s="3"/>
    </row>
  </sheetData>
  <sheetProtection algorithmName="SHA-512" hashValue="iFjqIHMDupL6F8wPy2RTEJgULTeTreqSaweBD/4ef+309egMWzY7332sXQlz8h6CYNPz3ZCkQn+zhl4uuGIR8w==" saltValue="ljt/g6zUbuaUC6Wsf+CWoA==" spinCount="100000" sheet="1" insertRows="0" deleteRows="0" sort="0" autoFilter="0"/>
  <mergeCells count="1">
    <mergeCell ref="A1:K1"/>
  </mergeCells>
  <conditionalFormatting sqref="F9:F150">
    <cfRule type="cellIs" dxfId="153" priority="2" stopIfTrue="1" operator="lessThan">
      <formula>-1000</formula>
    </cfRule>
  </conditionalFormatting>
  <conditionalFormatting sqref="D9:E34">
    <cfRule type="cellIs" dxfId="152" priority="1" operator="equal">
      <formula>0</formula>
    </cfRule>
  </conditionalFormatting>
  <conditionalFormatting sqref="J9:J150">
    <cfRule type="containsText" dxfId="151" priority="9" operator="containsText" text="DELIVERABLE STILL IN PROGRESS">
      <formula>NOT(ISERROR(SEARCH("DELIVERABLE STILL IN PROGRESS",J9)))</formula>
    </cfRule>
    <cfRule type="containsText" dxfId="150" priority="10" operator="containsText" text="DELIVERABLE COMPLETED">
      <formula>NOT(ISERROR(SEARCH("DELIVERABLE COMPLETED",J9)))</formula>
    </cfRule>
    <cfRule type="cellIs" dxfId="149" priority="11" stopIfTrue="1" operator="equal">
      <formula>"OVERDUE"</formula>
    </cfRule>
    <cfRule type="cellIs" dxfId="148" priority="12" stopIfTrue="1" operator="equal">
      <formula>"COMPLETED"</formula>
    </cfRule>
    <cfRule type="cellIs" dxfId="147" priority="13" stopIfTrue="1" operator="equal">
      <formula>"ISSUE IDENTIFIED"</formula>
    </cfRule>
  </conditionalFormatting>
  <printOptions horizontalCentered="1"/>
  <pageMargins left="0.25" right="0.25" top="0.5" bottom="1" header="0.25" footer="0.5"/>
  <pageSetup scale="46" orientation="landscape" r:id="rId1"/>
  <headerFooter alignWithMargins="0">
    <oddFooter>&amp;L&amp;K0C3964&amp;F, &amp;A, &amp;D&amp;C&amp;"-,Bold Italic"&amp;14&amp;KC85532Confidential&amp;R&amp;G</oddFooter>
  </headerFooter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6E50D-C042-42ED-9379-A283099A135A}">
  <sheetPr codeName="Sheet15">
    <tabColor rgb="FF0C3964"/>
    <pageSetUpPr fitToPage="1"/>
  </sheetPr>
  <dimension ref="A1:L78"/>
  <sheetViews>
    <sheetView showGridLines="0" zoomScaleNormal="100" zoomScalePageLayoutView="85" workbookViewId="0">
      <pane xSplit="3" ySplit="8" topLeftCell="D45" activePane="bottomRight" state="frozen"/>
      <selection pane="topRight" activeCell="D1" sqref="D1"/>
      <selection pane="bottomLeft" activeCell="A9" sqref="A9"/>
      <selection pane="bottomRight" activeCell="B3" sqref="B3"/>
    </sheetView>
  </sheetViews>
  <sheetFormatPr defaultColWidth="8.85546875" defaultRowHeight="12.75" x14ac:dyDescent="0.2"/>
  <cols>
    <col min="1" max="1" width="19.42578125" style="25" bestFit="1" customWidth="1"/>
    <col min="2" max="2" width="87.7109375" style="27" customWidth="1"/>
    <col min="3" max="3" width="35.42578125" style="25" bestFit="1" customWidth="1"/>
    <col min="4" max="5" width="13.7109375" style="5" customWidth="1"/>
    <col min="6" max="6" width="11.28515625" style="5" bestFit="1" customWidth="1"/>
    <col min="7" max="7" width="13.7109375" style="5" customWidth="1"/>
    <col min="8" max="8" width="14.42578125" style="25" bestFit="1" customWidth="1"/>
    <col min="9" max="9" width="28.42578125" style="27" bestFit="1" customWidth="1"/>
    <col min="10" max="10" width="26" style="25" bestFit="1" customWidth="1"/>
    <col min="11" max="11" width="40.42578125" style="25" customWidth="1"/>
    <col min="12" max="12" width="15.42578125" style="25" customWidth="1"/>
    <col min="13" max="13" width="7" style="25" customWidth="1"/>
    <col min="14" max="256" width="8.85546875" style="25"/>
    <col min="257" max="257" width="10.42578125" style="25" customWidth="1"/>
    <col min="258" max="258" width="50.42578125" style="25" customWidth="1"/>
    <col min="259" max="259" width="15.42578125" style="25" customWidth="1"/>
    <col min="260" max="263" width="10.42578125" style="25" customWidth="1"/>
    <col min="264" max="265" width="12.42578125" style="25" customWidth="1"/>
    <col min="266" max="266" width="15.42578125" style="25" customWidth="1"/>
    <col min="267" max="267" width="40.42578125" style="25" customWidth="1"/>
    <col min="268" max="268" width="15.42578125" style="25" customWidth="1"/>
    <col min="269" max="512" width="8.85546875" style="25"/>
    <col min="513" max="513" width="10.42578125" style="25" customWidth="1"/>
    <col min="514" max="514" width="50.42578125" style="25" customWidth="1"/>
    <col min="515" max="515" width="15.42578125" style="25" customWidth="1"/>
    <col min="516" max="519" width="10.42578125" style="25" customWidth="1"/>
    <col min="520" max="521" width="12.42578125" style="25" customWidth="1"/>
    <col min="522" max="522" width="15.42578125" style="25" customWidth="1"/>
    <col min="523" max="523" width="40.42578125" style="25" customWidth="1"/>
    <col min="524" max="524" width="15.42578125" style="25" customWidth="1"/>
    <col min="525" max="768" width="8.85546875" style="25"/>
    <col min="769" max="769" width="10.42578125" style="25" customWidth="1"/>
    <col min="770" max="770" width="50.42578125" style="25" customWidth="1"/>
    <col min="771" max="771" width="15.42578125" style="25" customWidth="1"/>
    <col min="772" max="775" width="10.42578125" style="25" customWidth="1"/>
    <col min="776" max="777" width="12.42578125" style="25" customWidth="1"/>
    <col min="778" max="778" width="15.42578125" style="25" customWidth="1"/>
    <col min="779" max="779" width="40.42578125" style="25" customWidth="1"/>
    <col min="780" max="780" width="15.42578125" style="25" customWidth="1"/>
    <col min="781" max="1024" width="8.85546875" style="25"/>
    <col min="1025" max="1025" width="10.42578125" style="25" customWidth="1"/>
    <col min="1026" max="1026" width="50.42578125" style="25" customWidth="1"/>
    <col min="1027" max="1027" width="15.42578125" style="25" customWidth="1"/>
    <col min="1028" max="1031" width="10.42578125" style="25" customWidth="1"/>
    <col min="1032" max="1033" width="12.42578125" style="25" customWidth="1"/>
    <col min="1034" max="1034" width="15.42578125" style="25" customWidth="1"/>
    <col min="1035" max="1035" width="40.42578125" style="25" customWidth="1"/>
    <col min="1036" max="1036" width="15.42578125" style="25" customWidth="1"/>
    <col min="1037" max="1280" width="8.85546875" style="25"/>
    <col min="1281" max="1281" width="10.42578125" style="25" customWidth="1"/>
    <col min="1282" max="1282" width="50.42578125" style="25" customWidth="1"/>
    <col min="1283" max="1283" width="15.42578125" style="25" customWidth="1"/>
    <col min="1284" max="1287" width="10.42578125" style="25" customWidth="1"/>
    <col min="1288" max="1289" width="12.42578125" style="25" customWidth="1"/>
    <col min="1290" max="1290" width="15.42578125" style="25" customWidth="1"/>
    <col min="1291" max="1291" width="40.42578125" style="25" customWidth="1"/>
    <col min="1292" max="1292" width="15.42578125" style="25" customWidth="1"/>
    <col min="1293" max="1536" width="8.85546875" style="25"/>
    <col min="1537" max="1537" width="10.42578125" style="25" customWidth="1"/>
    <col min="1538" max="1538" width="50.42578125" style="25" customWidth="1"/>
    <col min="1539" max="1539" width="15.42578125" style="25" customWidth="1"/>
    <col min="1540" max="1543" width="10.42578125" style="25" customWidth="1"/>
    <col min="1544" max="1545" width="12.42578125" style="25" customWidth="1"/>
    <col min="1546" max="1546" width="15.42578125" style="25" customWidth="1"/>
    <col min="1547" max="1547" width="40.42578125" style="25" customWidth="1"/>
    <col min="1548" max="1548" width="15.42578125" style="25" customWidth="1"/>
    <col min="1549" max="1792" width="8.85546875" style="25"/>
    <col min="1793" max="1793" width="10.42578125" style="25" customWidth="1"/>
    <col min="1794" max="1794" width="50.42578125" style="25" customWidth="1"/>
    <col min="1795" max="1795" width="15.42578125" style="25" customWidth="1"/>
    <col min="1796" max="1799" width="10.42578125" style="25" customWidth="1"/>
    <col min="1800" max="1801" width="12.42578125" style="25" customWidth="1"/>
    <col min="1802" max="1802" width="15.42578125" style="25" customWidth="1"/>
    <col min="1803" max="1803" width="40.42578125" style="25" customWidth="1"/>
    <col min="1804" max="1804" width="15.42578125" style="25" customWidth="1"/>
    <col min="1805" max="2048" width="8.85546875" style="25"/>
    <col min="2049" max="2049" width="10.42578125" style="25" customWidth="1"/>
    <col min="2050" max="2050" width="50.42578125" style="25" customWidth="1"/>
    <col min="2051" max="2051" width="15.42578125" style="25" customWidth="1"/>
    <col min="2052" max="2055" width="10.42578125" style="25" customWidth="1"/>
    <col min="2056" max="2057" width="12.42578125" style="25" customWidth="1"/>
    <col min="2058" max="2058" width="15.42578125" style="25" customWidth="1"/>
    <col min="2059" max="2059" width="40.42578125" style="25" customWidth="1"/>
    <col min="2060" max="2060" width="15.42578125" style="25" customWidth="1"/>
    <col min="2061" max="2304" width="8.85546875" style="25"/>
    <col min="2305" max="2305" width="10.42578125" style="25" customWidth="1"/>
    <col min="2306" max="2306" width="50.42578125" style="25" customWidth="1"/>
    <col min="2307" max="2307" width="15.42578125" style="25" customWidth="1"/>
    <col min="2308" max="2311" width="10.42578125" style="25" customWidth="1"/>
    <col min="2312" max="2313" width="12.42578125" style="25" customWidth="1"/>
    <col min="2314" max="2314" width="15.42578125" style="25" customWidth="1"/>
    <col min="2315" max="2315" width="40.42578125" style="25" customWidth="1"/>
    <col min="2316" max="2316" width="15.42578125" style="25" customWidth="1"/>
    <col min="2317" max="2560" width="8.85546875" style="25"/>
    <col min="2561" max="2561" width="10.42578125" style="25" customWidth="1"/>
    <col min="2562" max="2562" width="50.42578125" style="25" customWidth="1"/>
    <col min="2563" max="2563" width="15.42578125" style="25" customWidth="1"/>
    <col min="2564" max="2567" width="10.42578125" style="25" customWidth="1"/>
    <col min="2568" max="2569" width="12.42578125" style="25" customWidth="1"/>
    <col min="2570" max="2570" width="15.42578125" style="25" customWidth="1"/>
    <col min="2571" max="2571" width="40.42578125" style="25" customWidth="1"/>
    <col min="2572" max="2572" width="15.42578125" style="25" customWidth="1"/>
    <col min="2573" max="2816" width="8.85546875" style="25"/>
    <col min="2817" max="2817" width="10.42578125" style="25" customWidth="1"/>
    <col min="2818" max="2818" width="50.42578125" style="25" customWidth="1"/>
    <col min="2819" max="2819" width="15.42578125" style="25" customWidth="1"/>
    <col min="2820" max="2823" width="10.42578125" style="25" customWidth="1"/>
    <col min="2824" max="2825" width="12.42578125" style="25" customWidth="1"/>
    <col min="2826" max="2826" width="15.42578125" style="25" customWidth="1"/>
    <col min="2827" max="2827" width="40.42578125" style="25" customWidth="1"/>
    <col min="2828" max="2828" width="15.42578125" style="25" customWidth="1"/>
    <col min="2829" max="3072" width="8.85546875" style="25"/>
    <col min="3073" max="3073" width="10.42578125" style="25" customWidth="1"/>
    <col min="3074" max="3074" width="50.42578125" style="25" customWidth="1"/>
    <col min="3075" max="3075" width="15.42578125" style="25" customWidth="1"/>
    <col min="3076" max="3079" width="10.42578125" style="25" customWidth="1"/>
    <col min="3080" max="3081" width="12.42578125" style="25" customWidth="1"/>
    <col min="3082" max="3082" width="15.42578125" style="25" customWidth="1"/>
    <col min="3083" max="3083" width="40.42578125" style="25" customWidth="1"/>
    <col min="3084" max="3084" width="15.42578125" style="25" customWidth="1"/>
    <col min="3085" max="3328" width="8.85546875" style="25"/>
    <col min="3329" max="3329" width="10.42578125" style="25" customWidth="1"/>
    <col min="3330" max="3330" width="50.42578125" style="25" customWidth="1"/>
    <col min="3331" max="3331" width="15.42578125" style="25" customWidth="1"/>
    <col min="3332" max="3335" width="10.42578125" style="25" customWidth="1"/>
    <col min="3336" max="3337" width="12.42578125" style="25" customWidth="1"/>
    <col min="3338" max="3338" width="15.42578125" style="25" customWidth="1"/>
    <col min="3339" max="3339" width="40.42578125" style="25" customWidth="1"/>
    <col min="3340" max="3340" width="15.42578125" style="25" customWidth="1"/>
    <col min="3341" max="3584" width="8.85546875" style="25"/>
    <col min="3585" max="3585" width="10.42578125" style="25" customWidth="1"/>
    <col min="3586" max="3586" width="50.42578125" style="25" customWidth="1"/>
    <col min="3587" max="3587" width="15.42578125" style="25" customWidth="1"/>
    <col min="3588" max="3591" width="10.42578125" style="25" customWidth="1"/>
    <col min="3592" max="3593" width="12.42578125" style="25" customWidth="1"/>
    <col min="3594" max="3594" width="15.42578125" style="25" customWidth="1"/>
    <col min="3595" max="3595" width="40.42578125" style="25" customWidth="1"/>
    <col min="3596" max="3596" width="15.42578125" style="25" customWidth="1"/>
    <col min="3597" max="3840" width="8.85546875" style="25"/>
    <col min="3841" max="3841" width="10.42578125" style="25" customWidth="1"/>
    <col min="3842" max="3842" width="50.42578125" style="25" customWidth="1"/>
    <col min="3843" max="3843" width="15.42578125" style="25" customWidth="1"/>
    <col min="3844" max="3847" width="10.42578125" style="25" customWidth="1"/>
    <col min="3848" max="3849" width="12.42578125" style="25" customWidth="1"/>
    <col min="3850" max="3850" width="15.42578125" style="25" customWidth="1"/>
    <col min="3851" max="3851" width="40.42578125" style="25" customWidth="1"/>
    <col min="3852" max="3852" width="15.42578125" style="25" customWidth="1"/>
    <col min="3853" max="4096" width="8.85546875" style="25"/>
    <col min="4097" max="4097" width="10.42578125" style="25" customWidth="1"/>
    <col min="4098" max="4098" width="50.42578125" style="25" customWidth="1"/>
    <col min="4099" max="4099" width="15.42578125" style="25" customWidth="1"/>
    <col min="4100" max="4103" width="10.42578125" style="25" customWidth="1"/>
    <col min="4104" max="4105" width="12.42578125" style="25" customWidth="1"/>
    <col min="4106" max="4106" width="15.42578125" style="25" customWidth="1"/>
    <col min="4107" max="4107" width="40.42578125" style="25" customWidth="1"/>
    <col min="4108" max="4108" width="15.42578125" style="25" customWidth="1"/>
    <col min="4109" max="4352" width="8.85546875" style="25"/>
    <col min="4353" max="4353" width="10.42578125" style="25" customWidth="1"/>
    <col min="4354" max="4354" width="50.42578125" style="25" customWidth="1"/>
    <col min="4355" max="4355" width="15.42578125" style="25" customWidth="1"/>
    <col min="4356" max="4359" width="10.42578125" style="25" customWidth="1"/>
    <col min="4360" max="4361" width="12.42578125" style="25" customWidth="1"/>
    <col min="4362" max="4362" width="15.42578125" style="25" customWidth="1"/>
    <col min="4363" max="4363" width="40.42578125" style="25" customWidth="1"/>
    <col min="4364" max="4364" width="15.42578125" style="25" customWidth="1"/>
    <col min="4365" max="4608" width="8.85546875" style="25"/>
    <col min="4609" max="4609" width="10.42578125" style="25" customWidth="1"/>
    <col min="4610" max="4610" width="50.42578125" style="25" customWidth="1"/>
    <col min="4611" max="4611" width="15.42578125" style="25" customWidth="1"/>
    <col min="4612" max="4615" width="10.42578125" style="25" customWidth="1"/>
    <col min="4616" max="4617" width="12.42578125" style="25" customWidth="1"/>
    <col min="4618" max="4618" width="15.42578125" style="25" customWidth="1"/>
    <col min="4619" max="4619" width="40.42578125" style="25" customWidth="1"/>
    <col min="4620" max="4620" width="15.42578125" style="25" customWidth="1"/>
    <col min="4621" max="4864" width="8.85546875" style="25"/>
    <col min="4865" max="4865" width="10.42578125" style="25" customWidth="1"/>
    <col min="4866" max="4866" width="50.42578125" style="25" customWidth="1"/>
    <col min="4867" max="4867" width="15.42578125" style="25" customWidth="1"/>
    <col min="4868" max="4871" width="10.42578125" style="25" customWidth="1"/>
    <col min="4872" max="4873" width="12.42578125" style="25" customWidth="1"/>
    <col min="4874" max="4874" width="15.42578125" style="25" customWidth="1"/>
    <col min="4875" max="4875" width="40.42578125" style="25" customWidth="1"/>
    <col min="4876" max="4876" width="15.42578125" style="25" customWidth="1"/>
    <col min="4877" max="5120" width="8.85546875" style="25"/>
    <col min="5121" max="5121" width="10.42578125" style="25" customWidth="1"/>
    <col min="5122" max="5122" width="50.42578125" style="25" customWidth="1"/>
    <col min="5123" max="5123" width="15.42578125" style="25" customWidth="1"/>
    <col min="5124" max="5127" width="10.42578125" style="25" customWidth="1"/>
    <col min="5128" max="5129" width="12.42578125" style="25" customWidth="1"/>
    <col min="5130" max="5130" width="15.42578125" style="25" customWidth="1"/>
    <col min="5131" max="5131" width="40.42578125" style="25" customWidth="1"/>
    <col min="5132" max="5132" width="15.42578125" style="25" customWidth="1"/>
    <col min="5133" max="5376" width="8.85546875" style="25"/>
    <col min="5377" max="5377" width="10.42578125" style="25" customWidth="1"/>
    <col min="5378" max="5378" width="50.42578125" style="25" customWidth="1"/>
    <col min="5379" max="5379" width="15.42578125" style="25" customWidth="1"/>
    <col min="5380" max="5383" width="10.42578125" style="25" customWidth="1"/>
    <col min="5384" max="5385" width="12.42578125" style="25" customWidth="1"/>
    <col min="5386" max="5386" width="15.42578125" style="25" customWidth="1"/>
    <col min="5387" max="5387" width="40.42578125" style="25" customWidth="1"/>
    <col min="5388" max="5388" width="15.42578125" style="25" customWidth="1"/>
    <col min="5389" max="5632" width="8.85546875" style="25"/>
    <col min="5633" max="5633" width="10.42578125" style="25" customWidth="1"/>
    <col min="5634" max="5634" width="50.42578125" style="25" customWidth="1"/>
    <col min="5635" max="5635" width="15.42578125" style="25" customWidth="1"/>
    <col min="5636" max="5639" width="10.42578125" style="25" customWidth="1"/>
    <col min="5640" max="5641" width="12.42578125" style="25" customWidth="1"/>
    <col min="5642" max="5642" width="15.42578125" style="25" customWidth="1"/>
    <col min="5643" max="5643" width="40.42578125" style="25" customWidth="1"/>
    <col min="5644" max="5644" width="15.42578125" style="25" customWidth="1"/>
    <col min="5645" max="5888" width="8.85546875" style="25"/>
    <col min="5889" max="5889" width="10.42578125" style="25" customWidth="1"/>
    <col min="5890" max="5890" width="50.42578125" style="25" customWidth="1"/>
    <col min="5891" max="5891" width="15.42578125" style="25" customWidth="1"/>
    <col min="5892" max="5895" width="10.42578125" style="25" customWidth="1"/>
    <col min="5896" max="5897" width="12.42578125" style="25" customWidth="1"/>
    <col min="5898" max="5898" width="15.42578125" style="25" customWidth="1"/>
    <col min="5899" max="5899" width="40.42578125" style="25" customWidth="1"/>
    <col min="5900" max="5900" width="15.42578125" style="25" customWidth="1"/>
    <col min="5901" max="6144" width="8.85546875" style="25"/>
    <col min="6145" max="6145" width="10.42578125" style="25" customWidth="1"/>
    <col min="6146" max="6146" width="50.42578125" style="25" customWidth="1"/>
    <col min="6147" max="6147" width="15.42578125" style="25" customWidth="1"/>
    <col min="6148" max="6151" width="10.42578125" style="25" customWidth="1"/>
    <col min="6152" max="6153" width="12.42578125" style="25" customWidth="1"/>
    <col min="6154" max="6154" width="15.42578125" style="25" customWidth="1"/>
    <col min="6155" max="6155" width="40.42578125" style="25" customWidth="1"/>
    <col min="6156" max="6156" width="15.42578125" style="25" customWidth="1"/>
    <col min="6157" max="6400" width="8.85546875" style="25"/>
    <col min="6401" max="6401" width="10.42578125" style="25" customWidth="1"/>
    <col min="6402" max="6402" width="50.42578125" style="25" customWidth="1"/>
    <col min="6403" max="6403" width="15.42578125" style="25" customWidth="1"/>
    <col min="6404" max="6407" width="10.42578125" style="25" customWidth="1"/>
    <col min="6408" max="6409" width="12.42578125" style="25" customWidth="1"/>
    <col min="6410" max="6410" width="15.42578125" style="25" customWidth="1"/>
    <col min="6411" max="6411" width="40.42578125" style="25" customWidth="1"/>
    <col min="6412" max="6412" width="15.42578125" style="25" customWidth="1"/>
    <col min="6413" max="6656" width="8.85546875" style="25"/>
    <col min="6657" max="6657" width="10.42578125" style="25" customWidth="1"/>
    <col min="6658" max="6658" width="50.42578125" style="25" customWidth="1"/>
    <col min="6659" max="6659" width="15.42578125" style="25" customWidth="1"/>
    <col min="6660" max="6663" width="10.42578125" style="25" customWidth="1"/>
    <col min="6664" max="6665" width="12.42578125" style="25" customWidth="1"/>
    <col min="6666" max="6666" width="15.42578125" style="25" customWidth="1"/>
    <col min="6667" max="6667" width="40.42578125" style="25" customWidth="1"/>
    <col min="6668" max="6668" width="15.42578125" style="25" customWidth="1"/>
    <col min="6669" max="6912" width="8.85546875" style="25"/>
    <col min="6913" max="6913" width="10.42578125" style="25" customWidth="1"/>
    <col min="6914" max="6914" width="50.42578125" style="25" customWidth="1"/>
    <col min="6915" max="6915" width="15.42578125" style="25" customWidth="1"/>
    <col min="6916" max="6919" width="10.42578125" style="25" customWidth="1"/>
    <col min="6920" max="6921" width="12.42578125" style="25" customWidth="1"/>
    <col min="6922" max="6922" width="15.42578125" style="25" customWidth="1"/>
    <col min="6923" max="6923" width="40.42578125" style="25" customWidth="1"/>
    <col min="6924" max="6924" width="15.42578125" style="25" customWidth="1"/>
    <col min="6925" max="7168" width="8.85546875" style="25"/>
    <col min="7169" max="7169" width="10.42578125" style="25" customWidth="1"/>
    <col min="7170" max="7170" width="50.42578125" style="25" customWidth="1"/>
    <col min="7171" max="7171" width="15.42578125" style="25" customWidth="1"/>
    <col min="7172" max="7175" width="10.42578125" style="25" customWidth="1"/>
    <col min="7176" max="7177" width="12.42578125" style="25" customWidth="1"/>
    <col min="7178" max="7178" width="15.42578125" style="25" customWidth="1"/>
    <col min="7179" max="7179" width="40.42578125" style="25" customWidth="1"/>
    <col min="7180" max="7180" width="15.42578125" style="25" customWidth="1"/>
    <col min="7181" max="7424" width="8.85546875" style="25"/>
    <col min="7425" max="7425" width="10.42578125" style="25" customWidth="1"/>
    <col min="7426" max="7426" width="50.42578125" style="25" customWidth="1"/>
    <col min="7427" max="7427" width="15.42578125" style="25" customWidth="1"/>
    <col min="7428" max="7431" width="10.42578125" style="25" customWidth="1"/>
    <col min="7432" max="7433" width="12.42578125" style="25" customWidth="1"/>
    <col min="7434" max="7434" width="15.42578125" style="25" customWidth="1"/>
    <col min="7435" max="7435" width="40.42578125" style="25" customWidth="1"/>
    <col min="7436" max="7436" width="15.42578125" style="25" customWidth="1"/>
    <col min="7437" max="7680" width="8.85546875" style="25"/>
    <col min="7681" max="7681" width="10.42578125" style="25" customWidth="1"/>
    <col min="7682" max="7682" width="50.42578125" style="25" customWidth="1"/>
    <col min="7683" max="7683" width="15.42578125" style="25" customWidth="1"/>
    <col min="7684" max="7687" width="10.42578125" style="25" customWidth="1"/>
    <col min="7688" max="7689" width="12.42578125" style="25" customWidth="1"/>
    <col min="7690" max="7690" width="15.42578125" style="25" customWidth="1"/>
    <col min="7691" max="7691" width="40.42578125" style="25" customWidth="1"/>
    <col min="7692" max="7692" width="15.42578125" style="25" customWidth="1"/>
    <col min="7693" max="7936" width="8.85546875" style="25"/>
    <col min="7937" max="7937" width="10.42578125" style="25" customWidth="1"/>
    <col min="7938" max="7938" width="50.42578125" style="25" customWidth="1"/>
    <col min="7939" max="7939" width="15.42578125" style="25" customWidth="1"/>
    <col min="7940" max="7943" width="10.42578125" style="25" customWidth="1"/>
    <col min="7944" max="7945" width="12.42578125" style="25" customWidth="1"/>
    <col min="7946" max="7946" width="15.42578125" style="25" customWidth="1"/>
    <col min="7947" max="7947" width="40.42578125" style="25" customWidth="1"/>
    <col min="7948" max="7948" width="15.42578125" style="25" customWidth="1"/>
    <col min="7949" max="8192" width="8.85546875" style="25"/>
    <col min="8193" max="8193" width="10.42578125" style="25" customWidth="1"/>
    <col min="8194" max="8194" width="50.42578125" style="25" customWidth="1"/>
    <col min="8195" max="8195" width="15.42578125" style="25" customWidth="1"/>
    <col min="8196" max="8199" width="10.42578125" style="25" customWidth="1"/>
    <col min="8200" max="8201" width="12.42578125" style="25" customWidth="1"/>
    <col min="8202" max="8202" width="15.42578125" style="25" customWidth="1"/>
    <col min="8203" max="8203" width="40.42578125" style="25" customWidth="1"/>
    <col min="8204" max="8204" width="15.42578125" style="25" customWidth="1"/>
    <col min="8205" max="8448" width="8.85546875" style="25"/>
    <col min="8449" max="8449" width="10.42578125" style="25" customWidth="1"/>
    <col min="8450" max="8450" width="50.42578125" style="25" customWidth="1"/>
    <col min="8451" max="8451" width="15.42578125" style="25" customWidth="1"/>
    <col min="8452" max="8455" width="10.42578125" style="25" customWidth="1"/>
    <col min="8456" max="8457" width="12.42578125" style="25" customWidth="1"/>
    <col min="8458" max="8458" width="15.42578125" style="25" customWidth="1"/>
    <col min="8459" max="8459" width="40.42578125" style="25" customWidth="1"/>
    <col min="8460" max="8460" width="15.42578125" style="25" customWidth="1"/>
    <col min="8461" max="8704" width="8.85546875" style="25"/>
    <col min="8705" max="8705" width="10.42578125" style="25" customWidth="1"/>
    <col min="8706" max="8706" width="50.42578125" style="25" customWidth="1"/>
    <col min="8707" max="8707" width="15.42578125" style="25" customWidth="1"/>
    <col min="8708" max="8711" width="10.42578125" style="25" customWidth="1"/>
    <col min="8712" max="8713" width="12.42578125" style="25" customWidth="1"/>
    <col min="8714" max="8714" width="15.42578125" style="25" customWidth="1"/>
    <col min="8715" max="8715" width="40.42578125" style="25" customWidth="1"/>
    <col min="8716" max="8716" width="15.42578125" style="25" customWidth="1"/>
    <col min="8717" max="8960" width="8.85546875" style="25"/>
    <col min="8961" max="8961" width="10.42578125" style="25" customWidth="1"/>
    <col min="8962" max="8962" width="50.42578125" style="25" customWidth="1"/>
    <col min="8963" max="8963" width="15.42578125" style="25" customWidth="1"/>
    <col min="8964" max="8967" width="10.42578125" style="25" customWidth="1"/>
    <col min="8968" max="8969" width="12.42578125" style="25" customWidth="1"/>
    <col min="8970" max="8970" width="15.42578125" style="25" customWidth="1"/>
    <col min="8971" max="8971" width="40.42578125" style="25" customWidth="1"/>
    <col min="8972" max="8972" width="15.42578125" style="25" customWidth="1"/>
    <col min="8973" max="9216" width="8.85546875" style="25"/>
    <col min="9217" max="9217" width="10.42578125" style="25" customWidth="1"/>
    <col min="9218" max="9218" width="50.42578125" style="25" customWidth="1"/>
    <col min="9219" max="9219" width="15.42578125" style="25" customWidth="1"/>
    <col min="9220" max="9223" width="10.42578125" style="25" customWidth="1"/>
    <col min="9224" max="9225" width="12.42578125" style="25" customWidth="1"/>
    <col min="9226" max="9226" width="15.42578125" style="25" customWidth="1"/>
    <col min="9227" max="9227" width="40.42578125" style="25" customWidth="1"/>
    <col min="9228" max="9228" width="15.42578125" style="25" customWidth="1"/>
    <col min="9229" max="9472" width="8.85546875" style="25"/>
    <col min="9473" max="9473" width="10.42578125" style="25" customWidth="1"/>
    <col min="9474" max="9474" width="50.42578125" style="25" customWidth="1"/>
    <col min="9475" max="9475" width="15.42578125" style="25" customWidth="1"/>
    <col min="9476" max="9479" width="10.42578125" style="25" customWidth="1"/>
    <col min="9480" max="9481" width="12.42578125" style="25" customWidth="1"/>
    <col min="9482" max="9482" width="15.42578125" style="25" customWidth="1"/>
    <col min="9483" max="9483" width="40.42578125" style="25" customWidth="1"/>
    <col min="9484" max="9484" width="15.42578125" style="25" customWidth="1"/>
    <col min="9485" max="9728" width="8.85546875" style="25"/>
    <col min="9729" max="9729" width="10.42578125" style="25" customWidth="1"/>
    <col min="9730" max="9730" width="50.42578125" style="25" customWidth="1"/>
    <col min="9731" max="9731" width="15.42578125" style="25" customWidth="1"/>
    <col min="9732" max="9735" width="10.42578125" style="25" customWidth="1"/>
    <col min="9736" max="9737" width="12.42578125" style="25" customWidth="1"/>
    <col min="9738" max="9738" width="15.42578125" style="25" customWidth="1"/>
    <col min="9739" max="9739" width="40.42578125" style="25" customWidth="1"/>
    <col min="9740" max="9740" width="15.42578125" style="25" customWidth="1"/>
    <col min="9741" max="9984" width="8.85546875" style="25"/>
    <col min="9985" max="9985" width="10.42578125" style="25" customWidth="1"/>
    <col min="9986" max="9986" width="50.42578125" style="25" customWidth="1"/>
    <col min="9987" max="9987" width="15.42578125" style="25" customWidth="1"/>
    <col min="9988" max="9991" width="10.42578125" style="25" customWidth="1"/>
    <col min="9992" max="9993" width="12.42578125" style="25" customWidth="1"/>
    <col min="9994" max="9994" width="15.42578125" style="25" customWidth="1"/>
    <col min="9995" max="9995" width="40.42578125" style="25" customWidth="1"/>
    <col min="9996" max="9996" width="15.42578125" style="25" customWidth="1"/>
    <col min="9997" max="10240" width="8.85546875" style="25"/>
    <col min="10241" max="10241" width="10.42578125" style="25" customWidth="1"/>
    <col min="10242" max="10242" width="50.42578125" style="25" customWidth="1"/>
    <col min="10243" max="10243" width="15.42578125" style="25" customWidth="1"/>
    <col min="10244" max="10247" width="10.42578125" style="25" customWidth="1"/>
    <col min="10248" max="10249" width="12.42578125" style="25" customWidth="1"/>
    <col min="10250" max="10250" width="15.42578125" style="25" customWidth="1"/>
    <col min="10251" max="10251" width="40.42578125" style="25" customWidth="1"/>
    <col min="10252" max="10252" width="15.42578125" style="25" customWidth="1"/>
    <col min="10253" max="10496" width="8.85546875" style="25"/>
    <col min="10497" max="10497" width="10.42578125" style="25" customWidth="1"/>
    <col min="10498" max="10498" width="50.42578125" style="25" customWidth="1"/>
    <col min="10499" max="10499" width="15.42578125" style="25" customWidth="1"/>
    <col min="10500" max="10503" width="10.42578125" style="25" customWidth="1"/>
    <col min="10504" max="10505" width="12.42578125" style="25" customWidth="1"/>
    <col min="10506" max="10506" width="15.42578125" style="25" customWidth="1"/>
    <col min="10507" max="10507" width="40.42578125" style="25" customWidth="1"/>
    <col min="10508" max="10508" width="15.42578125" style="25" customWidth="1"/>
    <col min="10509" max="10752" width="8.85546875" style="25"/>
    <col min="10753" max="10753" width="10.42578125" style="25" customWidth="1"/>
    <col min="10754" max="10754" width="50.42578125" style="25" customWidth="1"/>
    <col min="10755" max="10755" width="15.42578125" style="25" customWidth="1"/>
    <col min="10756" max="10759" width="10.42578125" style="25" customWidth="1"/>
    <col min="10760" max="10761" width="12.42578125" style="25" customWidth="1"/>
    <col min="10762" max="10762" width="15.42578125" style="25" customWidth="1"/>
    <col min="10763" max="10763" width="40.42578125" style="25" customWidth="1"/>
    <col min="10764" max="10764" width="15.42578125" style="25" customWidth="1"/>
    <col min="10765" max="11008" width="8.85546875" style="25"/>
    <col min="11009" max="11009" width="10.42578125" style="25" customWidth="1"/>
    <col min="11010" max="11010" width="50.42578125" style="25" customWidth="1"/>
    <col min="11011" max="11011" width="15.42578125" style="25" customWidth="1"/>
    <col min="11012" max="11015" width="10.42578125" style="25" customWidth="1"/>
    <col min="11016" max="11017" width="12.42578125" style="25" customWidth="1"/>
    <col min="11018" max="11018" width="15.42578125" style="25" customWidth="1"/>
    <col min="11019" max="11019" width="40.42578125" style="25" customWidth="1"/>
    <col min="11020" max="11020" width="15.42578125" style="25" customWidth="1"/>
    <col min="11021" max="11264" width="8.85546875" style="25"/>
    <col min="11265" max="11265" width="10.42578125" style="25" customWidth="1"/>
    <col min="11266" max="11266" width="50.42578125" style="25" customWidth="1"/>
    <col min="11267" max="11267" width="15.42578125" style="25" customWidth="1"/>
    <col min="11268" max="11271" width="10.42578125" style="25" customWidth="1"/>
    <col min="11272" max="11273" width="12.42578125" style="25" customWidth="1"/>
    <col min="11274" max="11274" width="15.42578125" style="25" customWidth="1"/>
    <col min="11275" max="11275" width="40.42578125" style="25" customWidth="1"/>
    <col min="11276" max="11276" width="15.42578125" style="25" customWidth="1"/>
    <col min="11277" max="11520" width="8.85546875" style="25"/>
    <col min="11521" max="11521" width="10.42578125" style="25" customWidth="1"/>
    <col min="11522" max="11522" width="50.42578125" style="25" customWidth="1"/>
    <col min="11523" max="11523" width="15.42578125" style="25" customWidth="1"/>
    <col min="11524" max="11527" width="10.42578125" style="25" customWidth="1"/>
    <col min="11528" max="11529" width="12.42578125" style="25" customWidth="1"/>
    <col min="11530" max="11530" width="15.42578125" style="25" customWidth="1"/>
    <col min="11531" max="11531" width="40.42578125" style="25" customWidth="1"/>
    <col min="11532" max="11532" width="15.42578125" style="25" customWidth="1"/>
    <col min="11533" max="11776" width="8.85546875" style="25"/>
    <col min="11777" max="11777" width="10.42578125" style="25" customWidth="1"/>
    <col min="11778" max="11778" width="50.42578125" style="25" customWidth="1"/>
    <col min="11779" max="11779" width="15.42578125" style="25" customWidth="1"/>
    <col min="11780" max="11783" width="10.42578125" style="25" customWidth="1"/>
    <col min="11784" max="11785" width="12.42578125" style="25" customWidth="1"/>
    <col min="11786" max="11786" width="15.42578125" style="25" customWidth="1"/>
    <col min="11787" max="11787" width="40.42578125" style="25" customWidth="1"/>
    <col min="11788" max="11788" width="15.42578125" style="25" customWidth="1"/>
    <col min="11789" max="12032" width="8.85546875" style="25"/>
    <col min="12033" max="12033" width="10.42578125" style="25" customWidth="1"/>
    <col min="12034" max="12034" width="50.42578125" style="25" customWidth="1"/>
    <col min="12035" max="12035" width="15.42578125" style="25" customWidth="1"/>
    <col min="12036" max="12039" width="10.42578125" style="25" customWidth="1"/>
    <col min="12040" max="12041" width="12.42578125" style="25" customWidth="1"/>
    <col min="12042" max="12042" width="15.42578125" style="25" customWidth="1"/>
    <col min="12043" max="12043" width="40.42578125" style="25" customWidth="1"/>
    <col min="12044" max="12044" width="15.42578125" style="25" customWidth="1"/>
    <col min="12045" max="12288" width="8.85546875" style="25"/>
    <col min="12289" max="12289" width="10.42578125" style="25" customWidth="1"/>
    <col min="12290" max="12290" width="50.42578125" style="25" customWidth="1"/>
    <col min="12291" max="12291" width="15.42578125" style="25" customWidth="1"/>
    <col min="12292" max="12295" width="10.42578125" style="25" customWidth="1"/>
    <col min="12296" max="12297" width="12.42578125" style="25" customWidth="1"/>
    <col min="12298" max="12298" width="15.42578125" style="25" customWidth="1"/>
    <col min="12299" max="12299" width="40.42578125" style="25" customWidth="1"/>
    <col min="12300" max="12300" width="15.42578125" style="25" customWidth="1"/>
    <col min="12301" max="12544" width="8.85546875" style="25"/>
    <col min="12545" max="12545" width="10.42578125" style="25" customWidth="1"/>
    <col min="12546" max="12546" width="50.42578125" style="25" customWidth="1"/>
    <col min="12547" max="12547" width="15.42578125" style="25" customWidth="1"/>
    <col min="12548" max="12551" width="10.42578125" style="25" customWidth="1"/>
    <col min="12552" max="12553" width="12.42578125" style="25" customWidth="1"/>
    <col min="12554" max="12554" width="15.42578125" style="25" customWidth="1"/>
    <col min="12555" max="12555" width="40.42578125" style="25" customWidth="1"/>
    <col min="12556" max="12556" width="15.42578125" style="25" customWidth="1"/>
    <col min="12557" max="12800" width="8.85546875" style="25"/>
    <col min="12801" max="12801" width="10.42578125" style="25" customWidth="1"/>
    <col min="12802" max="12802" width="50.42578125" style="25" customWidth="1"/>
    <col min="12803" max="12803" width="15.42578125" style="25" customWidth="1"/>
    <col min="12804" max="12807" width="10.42578125" style="25" customWidth="1"/>
    <col min="12808" max="12809" width="12.42578125" style="25" customWidth="1"/>
    <col min="12810" max="12810" width="15.42578125" style="25" customWidth="1"/>
    <col min="12811" max="12811" width="40.42578125" style="25" customWidth="1"/>
    <col min="12812" max="12812" width="15.42578125" style="25" customWidth="1"/>
    <col min="12813" max="13056" width="8.85546875" style="25"/>
    <col min="13057" max="13057" width="10.42578125" style="25" customWidth="1"/>
    <col min="13058" max="13058" width="50.42578125" style="25" customWidth="1"/>
    <col min="13059" max="13059" width="15.42578125" style="25" customWidth="1"/>
    <col min="13060" max="13063" width="10.42578125" style="25" customWidth="1"/>
    <col min="13064" max="13065" width="12.42578125" style="25" customWidth="1"/>
    <col min="13066" max="13066" width="15.42578125" style="25" customWidth="1"/>
    <col min="13067" max="13067" width="40.42578125" style="25" customWidth="1"/>
    <col min="13068" max="13068" width="15.42578125" style="25" customWidth="1"/>
    <col min="13069" max="13312" width="8.85546875" style="25"/>
    <col min="13313" max="13313" width="10.42578125" style="25" customWidth="1"/>
    <col min="13314" max="13314" width="50.42578125" style="25" customWidth="1"/>
    <col min="13315" max="13315" width="15.42578125" style="25" customWidth="1"/>
    <col min="13316" max="13319" width="10.42578125" style="25" customWidth="1"/>
    <col min="13320" max="13321" width="12.42578125" style="25" customWidth="1"/>
    <col min="13322" max="13322" width="15.42578125" style="25" customWidth="1"/>
    <col min="13323" max="13323" width="40.42578125" style="25" customWidth="1"/>
    <col min="13324" max="13324" width="15.42578125" style="25" customWidth="1"/>
    <col min="13325" max="13568" width="8.85546875" style="25"/>
    <col min="13569" max="13569" width="10.42578125" style="25" customWidth="1"/>
    <col min="13570" max="13570" width="50.42578125" style="25" customWidth="1"/>
    <col min="13571" max="13571" width="15.42578125" style="25" customWidth="1"/>
    <col min="13572" max="13575" width="10.42578125" style="25" customWidth="1"/>
    <col min="13576" max="13577" width="12.42578125" style="25" customWidth="1"/>
    <col min="13578" max="13578" width="15.42578125" style="25" customWidth="1"/>
    <col min="13579" max="13579" width="40.42578125" style="25" customWidth="1"/>
    <col min="13580" max="13580" width="15.42578125" style="25" customWidth="1"/>
    <col min="13581" max="13824" width="8.85546875" style="25"/>
    <col min="13825" max="13825" width="10.42578125" style="25" customWidth="1"/>
    <col min="13826" max="13826" width="50.42578125" style="25" customWidth="1"/>
    <col min="13827" max="13827" width="15.42578125" style="25" customWidth="1"/>
    <col min="13828" max="13831" width="10.42578125" style="25" customWidth="1"/>
    <col min="13832" max="13833" width="12.42578125" style="25" customWidth="1"/>
    <col min="13834" max="13834" width="15.42578125" style="25" customWidth="1"/>
    <col min="13835" max="13835" width="40.42578125" style="25" customWidth="1"/>
    <col min="13836" max="13836" width="15.42578125" style="25" customWidth="1"/>
    <col min="13837" max="14080" width="8.85546875" style="25"/>
    <col min="14081" max="14081" width="10.42578125" style="25" customWidth="1"/>
    <col min="14082" max="14082" width="50.42578125" style="25" customWidth="1"/>
    <col min="14083" max="14083" width="15.42578125" style="25" customWidth="1"/>
    <col min="14084" max="14087" width="10.42578125" style="25" customWidth="1"/>
    <col min="14088" max="14089" width="12.42578125" style="25" customWidth="1"/>
    <col min="14090" max="14090" width="15.42578125" style="25" customWidth="1"/>
    <col min="14091" max="14091" width="40.42578125" style="25" customWidth="1"/>
    <col min="14092" max="14092" width="15.42578125" style="25" customWidth="1"/>
    <col min="14093" max="14336" width="8.85546875" style="25"/>
    <col min="14337" max="14337" width="10.42578125" style="25" customWidth="1"/>
    <col min="14338" max="14338" width="50.42578125" style="25" customWidth="1"/>
    <col min="14339" max="14339" width="15.42578125" style="25" customWidth="1"/>
    <col min="14340" max="14343" width="10.42578125" style="25" customWidth="1"/>
    <col min="14344" max="14345" width="12.42578125" style="25" customWidth="1"/>
    <col min="14346" max="14346" width="15.42578125" style="25" customWidth="1"/>
    <col min="14347" max="14347" width="40.42578125" style="25" customWidth="1"/>
    <col min="14348" max="14348" width="15.42578125" style="25" customWidth="1"/>
    <col min="14349" max="14592" width="8.85546875" style="25"/>
    <col min="14593" max="14593" width="10.42578125" style="25" customWidth="1"/>
    <col min="14594" max="14594" width="50.42578125" style="25" customWidth="1"/>
    <col min="14595" max="14595" width="15.42578125" style="25" customWidth="1"/>
    <col min="14596" max="14599" width="10.42578125" style="25" customWidth="1"/>
    <col min="14600" max="14601" width="12.42578125" style="25" customWidth="1"/>
    <col min="14602" max="14602" width="15.42578125" style="25" customWidth="1"/>
    <col min="14603" max="14603" width="40.42578125" style="25" customWidth="1"/>
    <col min="14604" max="14604" width="15.42578125" style="25" customWidth="1"/>
    <col min="14605" max="14848" width="8.85546875" style="25"/>
    <col min="14849" max="14849" width="10.42578125" style="25" customWidth="1"/>
    <col min="14850" max="14850" width="50.42578125" style="25" customWidth="1"/>
    <col min="14851" max="14851" width="15.42578125" style="25" customWidth="1"/>
    <col min="14852" max="14855" width="10.42578125" style="25" customWidth="1"/>
    <col min="14856" max="14857" width="12.42578125" style="25" customWidth="1"/>
    <col min="14858" max="14858" width="15.42578125" style="25" customWidth="1"/>
    <col min="14859" max="14859" width="40.42578125" style="25" customWidth="1"/>
    <col min="14860" max="14860" width="15.42578125" style="25" customWidth="1"/>
    <col min="14861" max="15104" width="8.85546875" style="25"/>
    <col min="15105" max="15105" width="10.42578125" style="25" customWidth="1"/>
    <col min="15106" max="15106" width="50.42578125" style="25" customWidth="1"/>
    <col min="15107" max="15107" width="15.42578125" style="25" customWidth="1"/>
    <col min="15108" max="15111" width="10.42578125" style="25" customWidth="1"/>
    <col min="15112" max="15113" width="12.42578125" style="25" customWidth="1"/>
    <col min="15114" max="15114" width="15.42578125" style="25" customWidth="1"/>
    <col min="15115" max="15115" width="40.42578125" style="25" customWidth="1"/>
    <col min="15116" max="15116" width="15.42578125" style="25" customWidth="1"/>
    <col min="15117" max="15360" width="8.85546875" style="25"/>
    <col min="15361" max="15361" width="10.42578125" style="25" customWidth="1"/>
    <col min="15362" max="15362" width="50.42578125" style="25" customWidth="1"/>
    <col min="15363" max="15363" width="15.42578125" style="25" customWidth="1"/>
    <col min="15364" max="15367" width="10.42578125" style="25" customWidth="1"/>
    <col min="15368" max="15369" width="12.42578125" style="25" customWidth="1"/>
    <col min="15370" max="15370" width="15.42578125" style="25" customWidth="1"/>
    <col min="15371" max="15371" width="40.42578125" style="25" customWidth="1"/>
    <col min="15372" max="15372" width="15.42578125" style="25" customWidth="1"/>
    <col min="15373" max="15616" width="8.85546875" style="25"/>
    <col min="15617" max="15617" width="10.42578125" style="25" customWidth="1"/>
    <col min="15618" max="15618" width="50.42578125" style="25" customWidth="1"/>
    <col min="15619" max="15619" width="15.42578125" style="25" customWidth="1"/>
    <col min="15620" max="15623" width="10.42578125" style="25" customWidth="1"/>
    <col min="15624" max="15625" width="12.42578125" style="25" customWidth="1"/>
    <col min="15626" max="15626" width="15.42578125" style="25" customWidth="1"/>
    <col min="15627" max="15627" width="40.42578125" style="25" customWidth="1"/>
    <col min="15628" max="15628" width="15.42578125" style="25" customWidth="1"/>
    <col min="15629" max="15872" width="8.85546875" style="25"/>
    <col min="15873" max="15873" width="10.42578125" style="25" customWidth="1"/>
    <col min="15874" max="15874" width="50.42578125" style="25" customWidth="1"/>
    <col min="15875" max="15875" width="15.42578125" style="25" customWidth="1"/>
    <col min="15876" max="15879" width="10.42578125" style="25" customWidth="1"/>
    <col min="15880" max="15881" width="12.42578125" style="25" customWidth="1"/>
    <col min="15882" max="15882" width="15.42578125" style="25" customWidth="1"/>
    <col min="15883" max="15883" width="40.42578125" style="25" customWidth="1"/>
    <col min="15884" max="15884" width="15.42578125" style="25" customWidth="1"/>
    <col min="15885" max="16128" width="8.85546875" style="25"/>
    <col min="16129" max="16129" width="10.42578125" style="25" customWidth="1"/>
    <col min="16130" max="16130" width="50.42578125" style="25" customWidth="1"/>
    <col min="16131" max="16131" width="15.42578125" style="25" customWidth="1"/>
    <col min="16132" max="16135" width="10.42578125" style="25" customWidth="1"/>
    <col min="16136" max="16137" width="12.42578125" style="25" customWidth="1"/>
    <col min="16138" max="16138" width="15.42578125" style="25" customWidth="1"/>
    <col min="16139" max="16139" width="40.42578125" style="25" customWidth="1"/>
    <col min="16140" max="16140" width="15.42578125" style="25" customWidth="1"/>
    <col min="16141" max="16384" width="8.85546875" style="25"/>
  </cols>
  <sheetData>
    <row r="1" spans="1:12" ht="69.95" customHeight="1" thickBot="1" x14ac:dyDescent="0.25">
      <c r="A1" s="966" t="s">
        <v>888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6"/>
    </row>
    <row r="2" spans="1:12" s="493" customFormat="1" ht="15.95" customHeight="1" thickTop="1" x14ac:dyDescent="0.25">
      <c r="A2" s="570" t="s">
        <v>1019</v>
      </c>
      <c r="B2" s="437">
        <f>Resources!C10</f>
        <v>0</v>
      </c>
      <c r="C2" s="571" t="s">
        <v>776</v>
      </c>
      <c r="D2" s="573">
        <f ca="1">COUNTIF($J$9:$J$82,"Deliverable Still In Progress")</f>
        <v>11</v>
      </c>
      <c r="E2" s="574"/>
      <c r="F2" s="567"/>
      <c r="G2" s="567"/>
      <c r="H2" s="540"/>
      <c r="I2" s="569"/>
      <c r="J2" s="540"/>
      <c r="K2" s="505"/>
    </row>
    <row r="3" spans="1:12" s="493" customFormat="1" ht="15.95" customHeight="1" x14ac:dyDescent="0.25">
      <c r="A3" s="570" t="s">
        <v>1020</v>
      </c>
      <c r="B3" s="437">
        <f>Resources!E10</f>
        <v>0</v>
      </c>
      <c r="C3" s="571" t="s">
        <v>777</v>
      </c>
      <c r="D3" s="573">
        <f ca="1">COUNTIF($J$9:$J$82,"Deliverable Completed")</f>
        <v>0</v>
      </c>
      <c r="E3" s="449">
        <f ca="1">D3/D6</f>
        <v>0</v>
      </c>
      <c r="F3" s="567"/>
      <c r="G3" s="567"/>
      <c r="H3" s="540"/>
      <c r="I3" s="569"/>
      <c r="J3" s="540"/>
      <c r="K3" s="505"/>
    </row>
    <row r="4" spans="1:12" s="493" customFormat="1" ht="15.95" customHeight="1" x14ac:dyDescent="0.25">
      <c r="A4" s="570" t="s">
        <v>1021</v>
      </c>
      <c r="B4" s="621"/>
      <c r="C4" s="571" t="s">
        <v>778</v>
      </c>
      <c r="D4" s="573">
        <f ca="1">D7-COUNTIF($J$9:$J$51,"completed")</f>
        <v>32</v>
      </c>
      <c r="E4" s="574"/>
      <c r="F4" s="567"/>
      <c r="G4" s="567"/>
      <c r="H4" s="540"/>
      <c r="I4" s="569"/>
      <c r="J4" s="540"/>
      <c r="K4" s="505"/>
    </row>
    <row r="5" spans="1:12" s="493" customFormat="1" ht="15.95" customHeight="1" x14ac:dyDescent="0.25">
      <c r="A5" s="566"/>
      <c r="B5" s="450"/>
      <c r="C5" s="572" t="s">
        <v>779</v>
      </c>
      <c r="D5" s="573">
        <f ca="1">D7-D4</f>
        <v>0</v>
      </c>
      <c r="E5" s="449">
        <f ca="1">D5/D7</f>
        <v>0</v>
      </c>
      <c r="F5" s="567"/>
      <c r="G5" s="567"/>
      <c r="H5" s="540"/>
      <c r="I5" s="569"/>
      <c r="J5" s="540"/>
      <c r="K5" s="505"/>
    </row>
    <row r="6" spans="1:12" s="493" customFormat="1" ht="15.95" customHeight="1" thickBot="1" x14ac:dyDescent="0.3">
      <c r="A6" s="566"/>
      <c r="B6" s="450"/>
      <c r="C6" s="572" t="s">
        <v>780</v>
      </c>
      <c r="D6" s="573">
        <f ca="1">D2+D3</f>
        <v>11</v>
      </c>
      <c r="E6" s="449"/>
      <c r="F6" s="567"/>
      <c r="G6" s="567"/>
      <c r="H6" s="540"/>
      <c r="I6" s="569"/>
      <c r="J6" s="540"/>
      <c r="K6" s="505"/>
    </row>
    <row r="7" spans="1:12" s="493" customFormat="1" ht="15.95" customHeight="1" thickBot="1" x14ac:dyDescent="0.3">
      <c r="A7" s="566"/>
      <c r="B7" s="450"/>
      <c r="C7" s="572" t="s">
        <v>781</v>
      </c>
      <c r="D7" s="573">
        <f ca="1">COUNTA(B9:B51)-D6</f>
        <v>32</v>
      </c>
      <c r="E7" s="449"/>
      <c r="F7" s="544" t="s">
        <v>1017</v>
      </c>
      <c r="G7" s="567"/>
      <c r="H7" s="540"/>
      <c r="I7" s="569"/>
      <c r="J7" s="544" t="s">
        <v>1017</v>
      </c>
      <c r="K7" s="505"/>
    </row>
    <row r="8" spans="1:12" s="433" customFormat="1" ht="47.25" x14ac:dyDescent="0.25">
      <c r="A8" s="428" t="s">
        <v>90</v>
      </c>
      <c r="B8" s="429" t="s">
        <v>91</v>
      </c>
      <c r="C8" s="430" t="s">
        <v>48</v>
      </c>
      <c r="D8" s="431" t="s">
        <v>92</v>
      </c>
      <c r="E8" s="431" t="s">
        <v>782</v>
      </c>
      <c r="F8" s="431" t="s">
        <v>783</v>
      </c>
      <c r="G8" s="431" t="s">
        <v>53</v>
      </c>
      <c r="H8" s="431" t="s">
        <v>95</v>
      </c>
      <c r="I8" s="431" t="s">
        <v>54</v>
      </c>
      <c r="J8" s="429" t="s">
        <v>55</v>
      </c>
      <c r="K8" s="432" t="s">
        <v>56</v>
      </c>
    </row>
    <row r="9" spans="1:12" ht="15" x14ac:dyDescent="0.2">
      <c r="A9" s="969" t="s">
        <v>888</v>
      </c>
      <c r="B9" s="407" t="s">
        <v>117</v>
      </c>
      <c r="C9" s="145"/>
      <c r="D9" s="259"/>
      <c r="E9" s="259"/>
      <c r="F9" s="639">
        <f ca="1">IF(ISBLANK(G9),IF(ISERROR(DAYS360(TODAY(),E9))," ",(DAYS360(TODAY(),E9))),E9-G9)</f>
        <v>-43388</v>
      </c>
      <c r="G9" s="154"/>
      <c r="H9" s="173"/>
      <c r="I9" s="145"/>
      <c r="J9" s="138" t="str">
        <f ca="1">IF(AND(J10="completed"),"Deliverable Completed","DELIVERABLE STILL IN PROGRESS")</f>
        <v>DELIVERABLE STILL IN PROGRESS</v>
      </c>
      <c r="K9" s="169"/>
    </row>
    <row r="10" spans="1:12" ht="25.5" x14ac:dyDescent="0.2">
      <c r="A10" s="970"/>
      <c r="B10" s="160" t="s">
        <v>889</v>
      </c>
      <c r="C10" s="387"/>
      <c r="D10" s="188"/>
      <c r="E10" s="188"/>
      <c r="F10" s="638">
        <f t="shared" ref="F10:F55" ca="1" si="0">IF(ISBLANK(G10),IF(ISERROR(DAYS360(TODAY(),E10))," ",(DAYS360(TODAY(),E10))),E10-G10)</f>
        <v>-43388</v>
      </c>
      <c r="G10" s="175"/>
      <c r="H10" s="175"/>
      <c r="I10" s="152"/>
      <c r="J10" s="153" t="str">
        <f ca="1">IF(G10&gt;0,"COMPLETED",(IF(I10&gt;0,"ISSUE IDENTIFIED",(IF(TODAY()&gt;E10,"OVERDUE","In Progress")))))</f>
        <v>OVERDUE</v>
      </c>
      <c r="K10" s="170"/>
    </row>
    <row r="11" spans="1:12" ht="15" x14ac:dyDescent="0.2">
      <c r="A11" s="970"/>
      <c r="B11" s="407" t="s">
        <v>120</v>
      </c>
      <c r="C11" s="207"/>
      <c r="D11" s="261"/>
      <c r="E11" s="261"/>
      <c r="F11" s="614">
        <f t="shared" ca="1" si="0"/>
        <v>-43388</v>
      </c>
      <c r="G11" s="103"/>
      <c r="H11" s="116"/>
      <c r="I11" s="81"/>
      <c r="J11" s="141" t="str">
        <f ca="1">IF(AND(J12="completed",J13="completed",J14="completed",J15="completed",J16="completed"),"Deliverable Completed","DELIVERABLE STILL IN PROGRESS")</f>
        <v>DELIVERABLE STILL IN PROGRESS</v>
      </c>
      <c r="K11" s="82"/>
    </row>
    <row r="12" spans="1:12" ht="15" x14ac:dyDescent="0.2">
      <c r="A12" s="970"/>
      <c r="B12" s="146" t="s">
        <v>121</v>
      </c>
      <c r="C12" s="575"/>
      <c r="D12" s="101"/>
      <c r="E12" s="101"/>
      <c r="F12" s="615">
        <f t="shared" ca="1" si="0"/>
        <v>-43388</v>
      </c>
      <c r="G12" s="101"/>
      <c r="H12" s="38"/>
      <c r="I12" s="39"/>
      <c r="J12" s="40" t="str">
        <f ca="1">IF(G12&gt;0,"COMPLETED",(IF(I12&gt;0,"ISSUE IDENTIFIED",(IF(TODAY()&gt;E12,"OVERDUE","In Progress")))))</f>
        <v>OVERDUE</v>
      </c>
      <c r="K12" s="68"/>
    </row>
    <row r="13" spans="1:12" ht="15" x14ac:dyDescent="0.2">
      <c r="A13" s="970"/>
      <c r="B13" s="146" t="s">
        <v>890</v>
      </c>
      <c r="C13" s="575"/>
      <c r="D13" s="101"/>
      <c r="E13" s="101"/>
      <c r="F13" s="615">
        <f t="shared" ca="1" si="0"/>
        <v>-43388</v>
      </c>
      <c r="G13" s="101"/>
      <c r="H13" s="38"/>
      <c r="I13" s="39"/>
      <c r="J13" s="40" t="str">
        <f ca="1">IF(G13&gt;0,"COMPLETED",(IF(I13&gt;0,"ISSUE IDENTIFIED",(IF(TODAY()&gt;E13,"OVERDUE","In Progress")))))</f>
        <v>OVERDUE</v>
      </c>
      <c r="K13" s="68"/>
    </row>
    <row r="14" spans="1:12" ht="15" x14ac:dyDescent="0.2">
      <c r="A14" s="970"/>
      <c r="B14" s="155" t="s">
        <v>891</v>
      </c>
      <c r="C14" s="575"/>
      <c r="D14" s="101"/>
      <c r="E14" s="101"/>
      <c r="F14" s="615">
        <f t="shared" ca="1" si="0"/>
        <v>-43388</v>
      </c>
      <c r="G14" s="101"/>
      <c r="H14" s="38"/>
      <c r="I14" s="39"/>
      <c r="J14" s="40" t="str">
        <f ca="1">IF(G14&gt;0,"COMPLETED",(IF(I14&gt;0,"ISSUE IDENTIFIED",(IF(TODAY()&gt;E14,"OVERDUE","In Progress")))))</f>
        <v>OVERDUE</v>
      </c>
      <c r="K14" s="68"/>
    </row>
    <row r="15" spans="1:12" ht="15" x14ac:dyDescent="0.2">
      <c r="A15" s="970"/>
      <c r="B15" s="146" t="s">
        <v>892</v>
      </c>
      <c r="C15" s="575"/>
      <c r="D15" s="101"/>
      <c r="E15" s="101"/>
      <c r="F15" s="615">
        <f t="shared" ca="1" si="0"/>
        <v>-43388</v>
      </c>
      <c r="G15" s="101"/>
      <c r="H15" s="38"/>
      <c r="I15" s="39"/>
      <c r="J15" s="40" t="str">
        <f ca="1">IF(G15&gt;0,"COMPLETED",(IF(I15&gt;0,"ISSUE IDENTIFIED",(IF(TODAY()&gt;E15,"OVERDUE","In Progress")))))</f>
        <v>OVERDUE</v>
      </c>
      <c r="K15" s="68"/>
    </row>
    <row r="16" spans="1:12" ht="15" x14ac:dyDescent="0.2">
      <c r="A16" s="970"/>
      <c r="B16" s="146" t="s">
        <v>893</v>
      </c>
      <c r="C16" s="38"/>
      <c r="D16" s="101"/>
      <c r="E16" s="101"/>
      <c r="F16" s="615">
        <f t="shared" ca="1" si="0"/>
        <v>-43388</v>
      </c>
      <c r="G16" s="101"/>
      <c r="H16" s="388"/>
      <c r="I16" s="39"/>
      <c r="J16" s="40" t="str">
        <f ca="1">IF(G16&gt;0,"COMPLETED",(IF(I16&gt;0,"ISSUE IDENTIFIED",(IF(TODAY()&gt;E16,"OVERDUE","In Progress")))))</f>
        <v>OVERDUE</v>
      </c>
      <c r="K16" s="68"/>
    </row>
    <row r="17" spans="1:11" ht="15" x14ac:dyDescent="0.2">
      <c r="A17" s="970"/>
      <c r="B17" s="407" t="s">
        <v>118</v>
      </c>
      <c r="C17" s="260"/>
      <c r="D17" s="259"/>
      <c r="E17" s="259"/>
      <c r="F17" s="639">
        <f t="shared" ca="1" si="0"/>
        <v>-43388</v>
      </c>
      <c r="G17" s="154"/>
      <c r="H17" s="173"/>
      <c r="I17" s="145"/>
      <c r="J17" s="141" t="str">
        <f ca="1">IF(AND(J18="completed",J19="completed",J20="completed",J21="completed",J22="completed",J23="completed"),"Deliverable Completed","DELIVERABLE STILL IN PROGRESS")</f>
        <v>DELIVERABLE STILL IN PROGRESS</v>
      </c>
      <c r="K17" s="169"/>
    </row>
    <row r="18" spans="1:11" ht="15" x14ac:dyDescent="0.2">
      <c r="A18" s="970"/>
      <c r="B18" s="147" t="s">
        <v>894</v>
      </c>
      <c r="C18" s="38"/>
      <c r="D18" s="101"/>
      <c r="E18" s="101"/>
      <c r="F18" s="615">
        <f t="shared" ca="1" si="0"/>
        <v>-43388</v>
      </c>
      <c r="G18" s="101"/>
      <c r="H18" s="38"/>
      <c r="I18" s="39"/>
      <c r="J18" s="40" t="str">
        <f t="shared" ref="J18:J23" ca="1" si="1">IF(G18&gt;0,"COMPLETED",(IF(I18&gt;0,"ISSUE IDENTIFIED",(IF(TODAY()&gt;E18,"OVERDUE","In Progress")))))</f>
        <v>OVERDUE</v>
      </c>
      <c r="K18" s="68"/>
    </row>
    <row r="19" spans="1:11" ht="15" x14ac:dyDescent="0.2">
      <c r="A19" s="970"/>
      <c r="B19" s="146" t="s">
        <v>895</v>
      </c>
      <c r="C19" s="38"/>
      <c r="D19" s="101"/>
      <c r="E19" s="101"/>
      <c r="F19" s="615">
        <f t="shared" ca="1" si="0"/>
        <v>-43388</v>
      </c>
      <c r="G19" s="101"/>
      <c r="H19" s="38"/>
      <c r="I19" s="39"/>
      <c r="J19" s="40" t="str">
        <f t="shared" ca="1" si="1"/>
        <v>OVERDUE</v>
      </c>
      <c r="K19" s="68"/>
    </row>
    <row r="20" spans="1:11" ht="15" x14ac:dyDescent="0.2">
      <c r="A20" s="970"/>
      <c r="B20" s="155" t="s">
        <v>896</v>
      </c>
      <c r="C20" s="38"/>
      <c r="D20" s="101"/>
      <c r="E20" s="101"/>
      <c r="F20" s="615">
        <f t="shared" ca="1" si="0"/>
        <v>-43388</v>
      </c>
      <c r="G20" s="101"/>
      <c r="H20" s="38"/>
      <c r="I20" s="39"/>
      <c r="J20" s="40" t="str">
        <f t="shared" ca="1" si="1"/>
        <v>OVERDUE</v>
      </c>
      <c r="K20" s="68"/>
    </row>
    <row r="21" spans="1:11" ht="15" x14ac:dyDescent="0.2">
      <c r="A21" s="970"/>
      <c r="B21" s="155" t="s">
        <v>897</v>
      </c>
      <c r="C21" s="38"/>
      <c r="D21" s="101"/>
      <c r="E21" s="101"/>
      <c r="F21" s="615">
        <f t="shared" ca="1" si="0"/>
        <v>-43388</v>
      </c>
      <c r="G21" s="101"/>
      <c r="H21" s="38"/>
      <c r="I21" s="39"/>
      <c r="J21" s="40" t="str">
        <f t="shared" ca="1" si="1"/>
        <v>OVERDUE</v>
      </c>
      <c r="K21" s="68"/>
    </row>
    <row r="22" spans="1:11" ht="15" x14ac:dyDescent="0.2">
      <c r="A22" s="970"/>
      <c r="B22" s="155" t="s">
        <v>122</v>
      </c>
      <c r="C22" s="38"/>
      <c r="D22" s="101"/>
      <c r="E22" s="101"/>
      <c r="F22" s="615">
        <f t="shared" ca="1" si="0"/>
        <v>-43388</v>
      </c>
      <c r="G22" s="101"/>
      <c r="H22" s="38"/>
      <c r="I22" s="39"/>
      <c r="J22" s="40" t="str">
        <f t="shared" ca="1" si="1"/>
        <v>OVERDUE</v>
      </c>
      <c r="K22" s="68"/>
    </row>
    <row r="23" spans="1:11" ht="15" x14ac:dyDescent="0.2">
      <c r="A23" s="970"/>
      <c r="B23" s="146" t="s">
        <v>128</v>
      </c>
      <c r="C23" s="175"/>
      <c r="D23" s="101"/>
      <c r="E23" s="101"/>
      <c r="F23" s="638">
        <f t="shared" ca="1" si="0"/>
        <v>-43388</v>
      </c>
      <c r="G23" s="101"/>
      <c r="H23" s="175"/>
      <c r="I23" s="152"/>
      <c r="J23" s="153" t="str">
        <f t="shared" ca="1" si="1"/>
        <v>OVERDUE</v>
      </c>
      <c r="K23" s="389"/>
    </row>
    <row r="24" spans="1:11" ht="15" x14ac:dyDescent="0.2">
      <c r="A24" s="970"/>
      <c r="B24" s="407" t="s">
        <v>119</v>
      </c>
      <c r="C24" s="260"/>
      <c r="D24" s="259"/>
      <c r="E24" s="259"/>
      <c r="F24" s="639">
        <f t="shared" ca="1" si="0"/>
        <v>-43388</v>
      </c>
      <c r="G24" s="154"/>
      <c r="H24" s="173"/>
      <c r="I24" s="145"/>
      <c r="J24" s="138" t="str">
        <f ca="1">IF(AND(J25="completed",J26="completed",J27="completed"),"Deliverable Completed","DELIVERABLE STILL IN PROGRESS")</f>
        <v>DELIVERABLE STILL IN PROGRESS</v>
      </c>
      <c r="K24" s="169"/>
    </row>
    <row r="25" spans="1:11" ht="15" x14ac:dyDescent="0.2">
      <c r="A25" s="970"/>
      <c r="B25" s="146" t="s">
        <v>898</v>
      </c>
      <c r="C25" s="38"/>
      <c r="D25" s="101"/>
      <c r="E25" s="101"/>
      <c r="F25" s="615">
        <f t="shared" ca="1" si="0"/>
        <v>-43388</v>
      </c>
      <c r="G25" s="101"/>
      <c r="H25" s="38"/>
      <c r="I25" s="39"/>
      <c r="J25" s="40" t="str">
        <f ca="1">IF(G25&gt;0,"COMPLETED",(IF(I25&gt;0,"ISSUE IDENTIFIED",(IF(TODAY()&gt;E25,"OVERDUE","In Progress")))))</f>
        <v>OVERDUE</v>
      </c>
      <c r="K25" s="68"/>
    </row>
    <row r="26" spans="1:11" ht="15" x14ac:dyDescent="0.2">
      <c r="A26" s="970"/>
      <c r="B26" s="155" t="s">
        <v>899</v>
      </c>
      <c r="C26" s="38"/>
      <c r="D26" s="101"/>
      <c r="E26" s="101"/>
      <c r="F26" s="615">
        <f t="shared" ca="1" si="0"/>
        <v>-43388</v>
      </c>
      <c r="G26" s="101"/>
      <c r="H26" s="38"/>
      <c r="I26" s="39"/>
      <c r="J26" s="40" t="str">
        <f ca="1">IF(G26&gt;0,"COMPLETED",(IF(I26&gt;0,"ISSUE IDENTIFIED",(IF(TODAY()&gt;E26,"OVERDUE","In Progress")))))</f>
        <v>OVERDUE</v>
      </c>
      <c r="K26" s="68"/>
    </row>
    <row r="27" spans="1:11" ht="15" x14ac:dyDescent="0.2">
      <c r="A27" s="970"/>
      <c r="B27" s="160" t="s">
        <v>900</v>
      </c>
      <c r="C27" s="175"/>
      <c r="D27" s="149"/>
      <c r="E27" s="149"/>
      <c r="F27" s="638">
        <f t="shared" ca="1" si="0"/>
        <v>-43388</v>
      </c>
      <c r="G27" s="175"/>
      <c r="H27" s="175"/>
      <c r="I27" s="152"/>
      <c r="J27" s="153" t="str">
        <f ca="1">IF(G27&gt;0,"COMPLETED",(IF(I27&gt;0,"ISSUE IDENTIFIED",(IF(TODAY()&gt;E27,"OVERDUE","In Progress")))))</f>
        <v>OVERDUE</v>
      </c>
      <c r="K27" s="170"/>
    </row>
    <row r="28" spans="1:11" ht="15" x14ac:dyDescent="0.2">
      <c r="A28" s="970"/>
      <c r="B28" s="407" t="s">
        <v>901</v>
      </c>
      <c r="C28" s="116"/>
      <c r="D28" s="261"/>
      <c r="E28" s="261"/>
      <c r="F28" s="614">
        <f t="shared" ca="1" si="0"/>
        <v>-43388</v>
      </c>
      <c r="G28" s="103"/>
      <c r="H28" s="116"/>
      <c r="I28" s="81"/>
      <c r="J28" s="141" t="str">
        <f ca="1">IF(AND(J29="completed",J30="completed",J31="completed",J32="completed"),"Deliverable Completed","DELIVERABLE STILL IN PROGRESS")</f>
        <v>DELIVERABLE STILL IN PROGRESS</v>
      </c>
      <c r="K28" s="82"/>
    </row>
    <row r="29" spans="1:11" ht="15" x14ac:dyDescent="0.2">
      <c r="A29" s="970"/>
      <c r="B29" s="146" t="s">
        <v>123</v>
      </c>
      <c r="C29" s="38"/>
      <c r="D29" s="101"/>
      <c r="E29" s="101"/>
      <c r="F29" s="615">
        <f t="shared" ca="1" si="0"/>
        <v>-43388</v>
      </c>
      <c r="G29" s="101"/>
      <c r="H29" s="38"/>
      <c r="I29" s="39"/>
      <c r="J29" s="40" t="str">
        <f ca="1">IF(G29&gt;0,"COMPLETED",(IF(I29&gt;0,"ISSUE IDENTIFIED",(IF(TODAY()&gt;E29,"OVERDUE","In Progress")))))</f>
        <v>OVERDUE</v>
      </c>
      <c r="K29" s="68"/>
    </row>
    <row r="30" spans="1:11" ht="15" x14ac:dyDescent="0.2">
      <c r="A30" s="970"/>
      <c r="B30" s="146" t="s">
        <v>124</v>
      </c>
      <c r="C30" s="38"/>
      <c r="D30" s="101"/>
      <c r="E30" s="101"/>
      <c r="F30" s="615">
        <f t="shared" ca="1" si="0"/>
        <v>-43388</v>
      </c>
      <c r="G30" s="101"/>
      <c r="H30" s="38"/>
      <c r="I30" s="39"/>
      <c r="J30" s="40" t="str">
        <f ca="1">IF(G30&gt;0,"COMPLETED",(IF(I30&gt;0,"ISSUE IDENTIFIED",(IF(TODAY()&gt;E30,"OVERDUE","In Progress")))))</f>
        <v>OVERDUE</v>
      </c>
      <c r="K30" s="68"/>
    </row>
    <row r="31" spans="1:11" ht="15" x14ac:dyDescent="0.2">
      <c r="A31" s="970"/>
      <c r="B31" s="146" t="s">
        <v>902</v>
      </c>
      <c r="C31" s="38"/>
      <c r="D31" s="101"/>
      <c r="E31" s="101"/>
      <c r="F31" s="615">
        <f t="shared" ca="1" si="0"/>
        <v>-43388</v>
      </c>
      <c r="G31" s="101"/>
      <c r="H31" s="38"/>
      <c r="I31" s="39"/>
      <c r="J31" s="40" t="str">
        <f ca="1">IF(G31&gt;0,"COMPLETED",(IF(I31&gt;0,"ISSUE IDENTIFIED",(IF(TODAY()&gt;E31,"OVERDUE","In Progress")))))</f>
        <v>OVERDUE</v>
      </c>
      <c r="K31" s="68"/>
    </row>
    <row r="32" spans="1:11" ht="15" x14ac:dyDescent="0.2">
      <c r="A32" s="971"/>
      <c r="B32" s="160" t="s">
        <v>903</v>
      </c>
      <c r="C32" s="175"/>
      <c r="D32" s="149"/>
      <c r="E32" s="149"/>
      <c r="F32" s="638">
        <f t="shared" ca="1" si="0"/>
        <v>-43388</v>
      </c>
      <c r="G32" s="149"/>
      <c r="H32" s="175"/>
      <c r="I32" s="152"/>
      <c r="J32" s="153" t="str">
        <f ca="1">IF(G32&gt;0,"COMPLETED",(IF(I32&gt;0,"ISSUE IDENTIFIED",(IF(TODAY()&gt;E32,"OVERDUE","In Progress")))))</f>
        <v>OVERDUE</v>
      </c>
      <c r="K32" s="170"/>
    </row>
    <row r="33" spans="1:11" ht="18" customHeight="1" x14ac:dyDescent="0.2">
      <c r="A33" s="969" t="s">
        <v>904</v>
      </c>
      <c r="B33" s="407" t="s">
        <v>399</v>
      </c>
      <c r="C33" s="116"/>
      <c r="D33" s="261"/>
      <c r="E33" s="261"/>
      <c r="F33" s="614">
        <f t="shared" ca="1" si="0"/>
        <v>-43388</v>
      </c>
      <c r="G33" s="103"/>
      <c r="H33" s="116"/>
      <c r="I33" s="81"/>
      <c r="J33" s="141" t="str">
        <f ca="1">IF(AND(J34="completed"),"Deliverable Completed","DELIVERABLE STILL IN PROGRESS")</f>
        <v>DELIVERABLE STILL IN PROGRESS</v>
      </c>
      <c r="K33" s="82"/>
    </row>
    <row r="34" spans="1:11" ht="15" x14ac:dyDescent="0.2">
      <c r="A34" s="970"/>
      <c r="B34" s="192" t="s">
        <v>905</v>
      </c>
      <c r="C34" s="175"/>
      <c r="D34" s="101"/>
      <c r="E34" s="101"/>
      <c r="F34" s="638">
        <f t="shared" ca="1" si="0"/>
        <v>-43388</v>
      </c>
      <c r="G34" s="101"/>
      <c r="H34" s="38"/>
      <c r="I34" s="39"/>
      <c r="J34" s="40" t="str">
        <f ca="1">IF(G34&gt;0,"COMPLETED",(IF(I34&gt;0,"ISSUE IDENTIFIED",(IF(TODAY()&gt;E34,"OVERDUE","In Progress")))))</f>
        <v>OVERDUE</v>
      </c>
      <c r="K34" s="68"/>
    </row>
    <row r="35" spans="1:11" ht="15" customHeight="1" x14ac:dyDescent="0.2">
      <c r="A35" s="970"/>
      <c r="B35" s="407" t="s">
        <v>906</v>
      </c>
      <c r="C35" s="116"/>
      <c r="D35" s="259"/>
      <c r="E35" s="259"/>
      <c r="F35" s="639">
        <f t="shared" ca="1" si="0"/>
        <v>-43388</v>
      </c>
      <c r="G35" s="154"/>
      <c r="H35" s="173"/>
      <c r="I35" s="145"/>
      <c r="J35" s="138" t="str">
        <f ca="1">IF(AND(J36="completed",J37="completed"),"Deliverable Completed","DELIVERABLE STILL IN PROGRESS")</f>
        <v>DELIVERABLE STILL IN PROGRESS</v>
      </c>
      <c r="K35" s="169"/>
    </row>
    <row r="36" spans="1:11" ht="15" x14ac:dyDescent="0.2">
      <c r="A36" s="970"/>
      <c r="B36" s="192" t="s">
        <v>907</v>
      </c>
      <c r="C36" s="38"/>
      <c r="D36" s="101"/>
      <c r="E36" s="101"/>
      <c r="F36" s="615">
        <f t="shared" ca="1" si="0"/>
        <v>-43388</v>
      </c>
      <c r="G36" s="101"/>
      <c r="H36" s="38"/>
      <c r="I36" s="39"/>
      <c r="J36" s="40" t="str">
        <f ca="1">IF(G36&gt;0,"COMPLETED",(IF(I36&gt;0,"ISSUE IDENTIFIED",(IF(TODAY()&gt;E36,"OVERDUE","In Progress")))))</f>
        <v>OVERDUE</v>
      </c>
      <c r="K36" s="68"/>
    </row>
    <row r="37" spans="1:11" ht="15" x14ac:dyDescent="0.2">
      <c r="A37" s="970"/>
      <c r="B37" s="390" t="s">
        <v>908</v>
      </c>
      <c r="C37" s="173"/>
      <c r="D37" s="101"/>
      <c r="E37" s="101"/>
      <c r="F37" s="638">
        <f t="shared" ca="1" si="0"/>
        <v>-43388</v>
      </c>
      <c r="G37" s="149"/>
      <c r="H37" s="175"/>
      <c r="I37" s="152"/>
      <c r="J37" s="153" t="str">
        <f ca="1">IF(G37&gt;0,"COMPLETED",(IF(I37&gt;0,"ISSUE IDENTIFIED",(IF(TODAY()&gt;E37,"OVERDUE","In Progress")))))</f>
        <v>OVERDUE</v>
      </c>
      <c r="K37" s="170"/>
    </row>
    <row r="38" spans="1:11" ht="15" x14ac:dyDescent="0.2">
      <c r="A38" s="970"/>
      <c r="B38" s="407" t="s">
        <v>909</v>
      </c>
      <c r="C38" s="173"/>
      <c r="D38" s="259"/>
      <c r="E38" s="259"/>
      <c r="F38" s="639">
        <f t="shared" ca="1" si="0"/>
        <v>-43388</v>
      </c>
      <c r="G38" s="154"/>
      <c r="H38" s="173"/>
      <c r="I38" s="145"/>
      <c r="J38" s="138" t="str">
        <f ca="1">IF(AND(J39="completed",J40="completed"),"Deliverable Completed","DELIVERABLE STILL IN PROGRESS")</f>
        <v>DELIVERABLE STILL IN PROGRESS</v>
      </c>
      <c r="K38" s="82"/>
    </row>
    <row r="39" spans="1:11" ht="15" x14ac:dyDescent="0.2">
      <c r="A39" s="970"/>
      <c r="B39" s="192" t="s">
        <v>910</v>
      </c>
      <c r="C39" s="38"/>
      <c r="D39" s="101"/>
      <c r="E39" s="101"/>
      <c r="F39" s="615">
        <f t="shared" ca="1" si="0"/>
        <v>-43388</v>
      </c>
      <c r="G39" s="101"/>
      <c r="H39" s="38"/>
      <c r="I39" s="39"/>
      <c r="J39" s="40" t="str">
        <f ca="1">IF(G39&gt;0,"COMPLETED",(IF(I39&gt;0,"ISSUE IDENTIFIED",(IF(TODAY()&gt;E39,"OVERDUE","In Progress")))))</f>
        <v>OVERDUE</v>
      </c>
      <c r="K39" s="68"/>
    </row>
    <row r="40" spans="1:11" ht="15" x14ac:dyDescent="0.2">
      <c r="A40" s="970"/>
      <c r="B40" s="160" t="s">
        <v>911</v>
      </c>
      <c r="C40" s="175"/>
      <c r="D40" s="149"/>
      <c r="E40" s="149"/>
      <c r="F40" s="638">
        <f t="shared" ca="1" si="0"/>
        <v>-43388</v>
      </c>
      <c r="G40" s="149"/>
      <c r="H40" s="175"/>
      <c r="I40" s="152"/>
      <c r="J40" s="153" t="str">
        <f ca="1">IF(G40&gt;0,"COMPLETED",(IF(I40&gt;0,"ISSUE IDENTIFIED",(IF(TODAY()&gt;E40,"OVERDUE","In Progress")))))</f>
        <v>OVERDUE</v>
      </c>
      <c r="K40" s="68"/>
    </row>
    <row r="41" spans="1:11" ht="15" x14ac:dyDescent="0.2">
      <c r="A41" s="970"/>
      <c r="B41" s="407" t="s">
        <v>912</v>
      </c>
      <c r="C41" s="173"/>
      <c r="D41" s="259"/>
      <c r="E41" s="259"/>
      <c r="F41" s="639">
        <f t="shared" ca="1" si="0"/>
        <v>-43388</v>
      </c>
      <c r="G41" s="154"/>
      <c r="H41" s="173"/>
      <c r="I41" s="145"/>
      <c r="J41" s="138" t="str">
        <f ca="1">IF(AND(J42="completed",J43="completed",J44="completed",J45="completed"),"Deliverable Completed","DELIVERABLE STILL IN PROGRESS")</f>
        <v>DELIVERABLE STILL IN PROGRESS</v>
      </c>
      <c r="K41" s="169"/>
    </row>
    <row r="42" spans="1:11" ht="15" x14ac:dyDescent="0.2">
      <c r="A42" s="970"/>
      <c r="B42" s="146" t="s">
        <v>144</v>
      </c>
      <c r="C42" s="38"/>
      <c r="D42" s="101"/>
      <c r="E42" s="101"/>
      <c r="F42" s="615">
        <f t="shared" ca="1" si="0"/>
        <v>-43388</v>
      </c>
      <c r="G42" s="101"/>
      <c r="H42" s="38"/>
      <c r="I42" s="39"/>
      <c r="J42" s="40" t="str">
        <f ca="1">IF(G42&gt;0,"COMPLETED",(IF(I42&gt;0,"ISSUE IDENTIFIED",(IF(TODAY()&gt;E42,"OVERDUE","In Progress")))))</f>
        <v>OVERDUE</v>
      </c>
      <c r="K42" s="68"/>
    </row>
    <row r="43" spans="1:11" ht="15" x14ac:dyDescent="0.2">
      <c r="A43" s="970"/>
      <c r="B43" s="146" t="s">
        <v>145</v>
      </c>
      <c r="C43" s="38"/>
      <c r="D43" s="101"/>
      <c r="E43" s="101"/>
      <c r="F43" s="615">
        <f t="shared" ca="1" si="0"/>
        <v>-43388</v>
      </c>
      <c r="G43" s="101"/>
      <c r="H43" s="38"/>
      <c r="I43" s="39"/>
      <c r="J43" s="40" t="str">
        <f ca="1">IF(G43&gt;0,"COMPLETED",(IF(I43&gt;0,"ISSUE IDENTIFIED",(IF(TODAY()&gt;E43,"OVERDUE","In Progress")))))</f>
        <v>OVERDUE</v>
      </c>
      <c r="K43" s="68"/>
    </row>
    <row r="44" spans="1:11" ht="15" x14ac:dyDescent="0.2">
      <c r="A44" s="970"/>
      <c r="B44" s="305" t="s">
        <v>913</v>
      </c>
      <c r="C44" s="38"/>
      <c r="D44" s="101"/>
      <c r="E44" s="101"/>
      <c r="F44" s="615">
        <f t="shared" ca="1" si="0"/>
        <v>-43388</v>
      </c>
      <c r="G44" s="101"/>
      <c r="H44" s="38"/>
      <c r="I44" s="39"/>
      <c r="J44" s="40" t="str">
        <f ca="1">IF(G44&gt;0,"COMPLETED",(IF(I44&gt;0,"ISSUE IDENTIFIED",(IF(TODAY()&gt;E44,"OVERDUE","In Progress")))))</f>
        <v>OVERDUE</v>
      </c>
      <c r="K44" s="68"/>
    </row>
    <row r="45" spans="1:11" ht="15" x14ac:dyDescent="0.2">
      <c r="A45" s="970"/>
      <c r="B45" s="148" t="s">
        <v>914</v>
      </c>
      <c r="C45" s="175"/>
      <c r="D45" s="149"/>
      <c r="E45" s="149"/>
      <c r="F45" s="615">
        <f t="shared" ca="1" si="0"/>
        <v>-43388</v>
      </c>
      <c r="G45" s="149"/>
      <c r="H45" s="175"/>
      <c r="I45" s="152"/>
      <c r="J45" s="153" t="str">
        <f ca="1">IF(G45&gt;0,"COMPLETED",(IF(I45&gt;0,"ISSUE IDENTIFIED",(IF(TODAY()&gt;E45,"OVERDUE","In Progress")))))</f>
        <v>OVERDUE</v>
      </c>
      <c r="K45" s="170"/>
    </row>
    <row r="46" spans="1:11" ht="15" x14ac:dyDescent="0.2">
      <c r="A46" s="970"/>
      <c r="B46" s="407" t="s">
        <v>915</v>
      </c>
      <c r="C46" s="116"/>
      <c r="D46" s="259"/>
      <c r="E46" s="259"/>
      <c r="F46" s="639">
        <f t="shared" ca="1" si="0"/>
        <v>-43388</v>
      </c>
      <c r="G46" s="103"/>
      <c r="H46" s="116"/>
      <c r="I46" s="81"/>
      <c r="J46" s="40" t="str">
        <f ca="1">IF(AND(J47="completed"),"Deliverable Completed","DELIVERABLE STILL IN PROGRESS")</f>
        <v>DELIVERABLE STILL IN PROGRESS</v>
      </c>
      <c r="K46" s="82"/>
    </row>
    <row r="47" spans="1:11" ht="15" x14ac:dyDescent="0.2">
      <c r="A47" s="970"/>
      <c r="B47" s="160" t="s">
        <v>916</v>
      </c>
      <c r="C47" s="175"/>
      <c r="D47" s="149"/>
      <c r="E47" s="149"/>
      <c r="F47" s="638">
        <f t="shared" ca="1" si="0"/>
        <v>-43388</v>
      </c>
      <c r="G47" s="149"/>
      <c r="H47" s="175"/>
      <c r="I47" s="152"/>
      <c r="J47" s="153" t="str">
        <f ca="1">IF(G47&gt;0,"COMPLETED",(IF(I47&gt;0,"ISSUE IDENTIFIED",(IF(TODAY()&gt;E47,"OVERDUE","In Progress")))))</f>
        <v>OVERDUE</v>
      </c>
      <c r="K47" s="170"/>
    </row>
    <row r="48" spans="1:11" ht="15" x14ac:dyDescent="0.2">
      <c r="A48" s="970"/>
      <c r="B48" s="407" t="s">
        <v>917</v>
      </c>
      <c r="C48" s="391"/>
      <c r="D48" s="259"/>
      <c r="E48" s="259"/>
      <c r="F48" s="646">
        <f t="shared" ca="1" si="0"/>
        <v>-43388</v>
      </c>
      <c r="G48" s="392"/>
      <c r="H48" s="391"/>
      <c r="I48" s="278"/>
      <c r="J48" s="138" t="str">
        <f ca="1">IF(AND(J49="completed",J50="completed",J51="completed",J52="completed",J53="completed",J54="completed",J55="completed"),"Deliverable Completed","DELIVERABLE STILL IN PROGRESS")</f>
        <v>DELIVERABLE STILL IN PROGRESS</v>
      </c>
      <c r="K48" s="393"/>
    </row>
    <row r="49" spans="1:11" ht="15" x14ac:dyDescent="0.2">
      <c r="A49" s="970"/>
      <c r="B49" s="192" t="s">
        <v>918</v>
      </c>
      <c r="C49" s="38"/>
      <c r="D49" s="101"/>
      <c r="E49" s="101"/>
      <c r="F49" s="615">
        <f t="shared" ca="1" si="0"/>
        <v>-43388</v>
      </c>
      <c r="G49" s="101"/>
      <c r="H49" s="38"/>
      <c r="I49" s="39"/>
      <c r="J49" s="40" t="str">
        <f ca="1">IF(G49&gt;0,"COMPLETED",(IF(I49&gt;0,"ISSUE IDENTIFIED",(IF(TODAY()&gt;E49,"OVERDUE","In Progress")))))</f>
        <v>OVERDUE</v>
      </c>
      <c r="K49" s="68"/>
    </row>
    <row r="50" spans="1:11" ht="15" x14ac:dyDescent="0.2">
      <c r="A50" s="970"/>
      <c r="B50" s="580" t="s">
        <v>919</v>
      </c>
      <c r="C50" s="38"/>
      <c r="D50" s="101"/>
      <c r="E50" s="101"/>
      <c r="F50" s="615">
        <f t="shared" ca="1" si="0"/>
        <v>-43388</v>
      </c>
      <c r="G50" s="101"/>
      <c r="H50" s="38"/>
      <c r="I50" s="39"/>
      <c r="J50" s="40" t="str">
        <f ca="1">IF(G50&gt;0,"COMPLETED",(IF(I50&gt;0,"ISSUE IDENTIFIED",(IF(TODAY()&gt;E50,"OVERDUE","In Progress")))))</f>
        <v>OVERDUE</v>
      </c>
      <c r="K50" s="68"/>
    </row>
    <row r="51" spans="1:11" ht="15" x14ac:dyDescent="0.2">
      <c r="A51" s="970"/>
      <c r="B51" s="192" t="s">
        <v>920</v>
      </c>
      <c r="C51" s="38"/>
      <c r="D51" s="101"/>
      <c r="E51" s="101"/>
      <c r="F51" s="615">
        <f t="shared" ca="1" si="0"/>
        <v>-43388</v>
      </c>
      <c r="G51" s="101"/>
      <c r="H51" s="38"/>
      <c r="I51" s="39"/>
      <c r="J51" s="40" t="str">
        <f ca="1">IF(G51&gt;0,"COMPLETED",(IF(I51&gt;0,"ISSUE IDENTIFIED",(IF(TODAY()&gt;E51,"OVERDUE","In Progress")))))</f>
        <v>OVERDUE</v>
      </c>
      <c r="K51" s="68"/>
    </row>
    <row r="52" spans="1:11" ht="15" x14ac:dyDescent="0.2">
      <c r="A52" s="970"/>
      <c r="B52" s="305" t="s">
        <v>1039</v>
      </c>
      <c r="C52" s="207"/>
      <c r="D52" s="101"/>
      <c r="E52" s="101"/>
      <c r="F52" s="614">
        <f t="shared" ca="1" si="0"/>
        <v>-43388</v>
      </c>
      <c r="G52" s="101"/>
      <c r="H52" s="116"/>
      <c r="I52" s="81"/>
      <c r="J52" s="138" t="str">
        <f t="shared" ref="J52:J55" ca="1" si="2">IF(G52&gt;0,"COMPLETED",(IF(I52&gt;0,"ISSUE IDENTIFIED",(IF(TODAY()&gt;E52,"OVERDUE","In Progress")))))</f>
        <v>OVERDUE</v>
      </c>
      <c r="K52" s="82"/>
    </row>
    <row r="53" spans="1:11" ht="15" x14ac:dyDescent="0.2">
      <c r="A53" s="970"/>
      <c r="B53" s="146" t="s">
        <v>1039</v>
      </c>
      <c r="C53" s="197"/>
      <c r="D53" s="101"/>
      <c r="E53" s="101"/>
      <c r="F53" s="615">
        <f t="shared" ca="1" si="0"/>
        <v>-43388</v>
      </c>
      <c r="G53" s="101"/>
      <c r="H53" s="38"/>
      <c r="I53" s="39"/>
      <c r="J53" s="40" t="str">
        <f t="shared" ca="1" si="2"/>
        <v>OVERDUE</v>
      </c>
      <c r="K53" s="68"/>
    </row>
    <row r="54" spans="1:11" ht="15" x14ac:dyDescent="0.2">
      <c r="A54" s="970"/>
      <c r="B54" s="146" t="s">
        <v>1039</v>
      </c>
      <c r="C54" s="197"/>
      <c r="D54" s="101"/>
      <c r="E54" s="101"/>
      <c r="F54" s="615">
        <f t="shared" ca="1" si="0"/>
        <v>-43388</v>
      </c>
      <c r="G54" s="38"/>
      <c r="H54" s="38"/>
      <c r="I54" s="39"/>
      <c r="J54" s="40" t="str">
        <f t="shared" ca="1" si="2"/>
        <v>OVERDUE</v>
      </c>
      <c r="K54" s="68"/>
    </row>
    <row r="55" spans="1:11" ht="15.75" thickBot="1" x14ac:dyDescent="0.25">
      <c r="A55" s="972"/>
      <c r="B55" s="208" t="s">
        <v>1039</v>
      </c>
      <c r="C55" s="262"/>
      <c r="D55" s="211"/>
      <c r="E55" s="211"/>
      <c r="F55" s="616">
        <f t="shared" ca="1" si="0"/>
        <v>-43388</v>
      </c>
      <c r="G55" s="581"/>
      <c r="H55" s="212"/>
      <c r="I55" s="213"/>
      <c r="J55" s="74" t="str">
        <f t="shared" ca="1" si="2"/>
        <v>OVERDUE</v>
      </c>
      <c r="K55" s="214"/>
    </row>
    <row r="56" spans="1:11" x14ac:dyDescent="0.2">
      <c r="A56" s="645"/>
    </row>
    <row r="57" spans="1:11" x14ac:dyDescent="0.2">
      <c r="A57" s="645"/>
    </row>
    <row r="58" spans="1:11" x14ac:dyDescent="0.2">
      <c r="A58" s="645"/>
    </row>
    <row r="59" spans="1:11" x14ac:dyDescent="0.2">
      <c r="A59" s="645"/>
    </row>
    <row r="60" spans="1:11" x14ac:dyDescent="0.2">
      <c r="A60" s="645"/>
    </row>
    <row r="61" spans="1:11" x14ac:dyDescent="0.2">
      <c r="A61" s="645"/>
    </row>
    <row r="62" spans="1:11" x14ac:dyDescent="0.2">
      <c r="A62" s="645"/>
    </row>
    <row r="63" spans="1:11" x14ac:dyDescent="0.2">
      <c r="A63" s="645"/>
    </row>
    <row r="64" spans="1:11" x14ac:dyDescent="0.2">
      <c r="A64" s="645"/>
    </row>
    <row r="65" spans="1:2" x14ac:dyDescent="0.2">
      <c r="A65" s="645"/>
    </row>
    <row r="66" spans="1:2" x14ac:dyDescent="0.2">
      <c r="A66" s="645"/>
    </row>
    <row r="67" spans="1:2" x14ac:dyDescent="0.2">
      <c r="A67" s="645"/>
    </row>
    <row r="68" spans="1:2" x14ac:dyDescent="0.2">
      <c r="A68" s="645"/>
    </row>
    <row r="69" spans="1:2" x14ac:dyDescent="0.2">
      <c r="A69" s="645"/>
    </row>
    <row r="70" spans="1:2" x14ac:dyDescent="0.2">
      <c r="A70" s="645"/>
    </row>
    <row r="71" spans="1:2" x14ac:dyDescent="0.2">
      <c r="A71" s="645"/>
      <c r="B71" s="395"/>
    </row>
    <row r="72" spans="1:2" x14ac:dyDescent="0.2">
      <c r="A72" s="645"/>
      <c r="B72" s="396"/>
    </row>
    <row r="73" spans="1:2" x14ac:dyDescent="0.2">
      <c r="A73" s="645"/>
      <c r="B73" s="396"/>
    </row>
    <row r="74" spans="1:2" x14ac:dyDescent="0.2">
      <c r="A74" s="645"/>
      <c r="B74" s="396"/>
    </row>
    <row r="75" spans="1:2" x14ac:dyDescent="0.2">
      <c r="A75" s="645"/>
    </row>
    <row r="76" spans="1:2" x14ac:dyDescent="0.2">
      <c r="A76" s="645"/>
    </row>
    <row r="77" spans="1:2" x14ac:dyDescent="0.2">
      <c r="A77" s="645"/>
    </row>
    <row r="78" spans="1:2" x14ac:dyDescent="0.2">
      <c r="A78" s="645"/>
    </row>
  </sheetData>
  <sheetProtection algorithmName="SHA-512" hashValue="SRJ8pdNSKyn8VIoGZLHCjS1XQw2Uo+5CRBJdEnQC/ZEGbBImoMX5Z+vEPjA90b4KaDFu+WnygOgBLxG7df1dlg==" saltValue="GjQM8HC8sywUMVbr0Ve+qw==" spinCount="100000" sheet="1" insertRows="0" deleteRows="0" sort="0" autoFilter="0"/>
  <mergeCells count="3">
    <mergeCell ref="A1:K1"/>
    <mergeCell ref="A9:A32"/>
    <mergeCell ref="A33:A55"/>
  </mergeCells>
  <conditionalFormatting sqref="D9:E55">
    <cfRule type="cellIs" dxfId="146" priority="3" operator="equal">
      <formula>0</formula>
    </cfRule>
  </conditionalFormatting>
  <conditionalFormatting sqref="F9:F150">
    <cfRule type="cellIs" dxfId="145" priority="1" stopIfTrue="1" operator="lessThan">
      <formula>-1000</formula>
    </cfRule>
  </conditionalFormatting>
  <conditionalFormatting sqref="J9:J150">
    <cfRule type="containsText" dxfId="144" priority="8" operator="containsText" text="DELIVERABLE STILL IN PROGRESS">
      <formula>NOT(ISERROR(SEARCH("DELIVERABLE STILL IN PROGRESS",J9)))</formula>
    </cfRule>
    <cfRule type="containsText" dxfId="143" priority="9" operator="containsText" text="DELIVERABLE COMPLETED">
      <formula>NOT(ISERROR(SEARCH("DELIVERABLE COMPLETED",J9)))</formula>
    </cfRule>
    <cfRule type="cellIs" dxfId="142" priority="10" stopIfTrue="1" operator="equal">
      <formula>"OVERDUE"</formula>
    </cfRule>
    <cfRule type="cellIs" dxfId="141" priority="11" stopIfTrue="1" operator="equal">
      <formula>"COMPLETED"</formula>
    </cfRule>
    <cfRule type="cellIs" dxfId="140" priority="12" stopIfTrue="1" operator="equal">
      <formula>"ISSUE IDENTIFIED"</formula>
    </cfRule>
  </conditionalFormatting>
  <printOptions horizontalCentered="1"/>
  <pageMargins left="0.25" right="0.25" top="0.5" bottom="1" header="0.25" footer="0.5"/>
  <pageSetup scale="43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0C3964"/>
    <pageSetUpPr fitToPage="1"/>
  </sheetPr>
  <dimension ref="A1:L7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sqref="A1:XFD1"/>
    </sheetView>
  </sheetViews>
  <sheetFormatPr defaultRowHeight="12.75" x14ac:dyDescent="0.2"/>
  <cols>
    <col min="1" max="1" width="18.42578125" style="25" bestFit="1" customWidth="1"/>
    <col min="2" max="2" width="87.7109375" style="27" customWidth="1"/>
    <col min="3" max="3" width="33.5703125" style="25" bestFit="1" customWidth="1"/>
    <col min="4" max="5" width="13.7109375" style="111" customWidth="1"/>
    <col min="6" max="6" width="13.7109375" style="5" customWidth="1"/>
    <col min="7" max="7" width="13.7109375" style="221" customWidth="1"/>
    <col min="8" max="8" width="14.5703125" style="25" bestFit="1" customWidth="1"/>
    <col min="9" max="9" width="12.7109375" style="27" customWidth="1"/>
    <col min="10" max="10" width="26" style="25" bestFit="1" customWidth="1"/>
    <col min="11" max="11" width="40.7109375" style="25" customWidth="1"/>
    <col min="12" max="12" width="15.5703125" style="25" customWidth="1"/>
    <col min="13" max="256" width="9.140625" style="25"/>
    <col min="257" max="257" width="10.7109375" style="25" customWidth="1"/>
    <col min="258" max="258" width="50.7109375" style="25" customWidth="1"/>
    <col min="259" max="259" width="15.5703125" style="25" customWidth="1"/>
    <col min="260" max="263" width="10.7109375" style="25" customWidth="1"/>
    <col min="264" max="265" width="12.7109375" style="25" customWidth="1"/>
    <col min="266" max="266" width="15.7109375" style="25" customWidth="1"/>
    <col min="267" max="267" width="40.7109375" style="25" customWidth="1"/>
    <col min="268" max="268" width="15.5703125" style="25" customWidth="1"/>
    <col min="269" max="512" width="9.140625" style="25"/>
    <col min="513" max="513" width="10.7109375" style="25" customWidth="1"/>
    <col min="514" max="514" width="50.7109375" style="25" customWidth="1"/>
    <col min="515" max="515" width="15.5703125" style="25" customWidth="1"/>
    <col min="516" max="519" width="10.7109375" style="25" customWidth="1"/>
    <col min="520" max="521" width="12.7109375" style="25" customWidth="1"/>
    <col min="522" max="522" width="15.7109375" style="25" customWidth="1"/>
    <col min="523" max="523" width="40.7109375" style="25" customWidth="1"/>
    <col min="524" max="524" width="15.5703125" style="25" customWidth="1"/>
    <col min="525" max="768" width="9.140625" style="25"/>
    <col min="769" max="769" width="10.7109375" style="25" customWidth="1"/>
    <col min="770" max="770" width="50.7109375" style="25" customWidth="1"/>
    <col min="771" max="771" width="15.5703125" style="25" customWidth="1"/>
    <col min="772" max="775" width="10.7109375" style="25" customWidth="1"/>
    <col min="776" max="777" width="12.7109375" style="25" customWidth="1"/>
    <col min="778" max="778" width="15.7109375" style="25" customWidth="1"/>
    <col min="779" max="779" width="40.7109375" style="25" customWidth="1"/>
    <col min="780" max="780" width="15.5703125" style="25" customWidth="1"/>
    <col min="781" max="1024" width="9.140625" style="25"/>
    <col min="1025" max="1025" width="10.7109375" style="25" customWidth="1"/>
    <col min="1026" max="1026" width="50.7109375" style="25" customWidth="1"/>
    <col min="1027" max="1027" width="15.5703125" style="25" customWidth="1"/>
    <col min="1028" max="1031" width="10.7109375" style="25" customWidth="1"/>
    <col min="1032" max="1033" width="12.7109375" style="25" customWidth="1"/>
    <col min="1034" max="1034" width="15.7109375" style="25" customWidth="1"/>
    <col min="1035" max="1035" width="40.7109375" style="25" customWidth="1"/>
    <col min="1036" max="1036" width="15.5703125" style="25" customWidth="1"/>
    <col min="1037" max="1280" width="9.140625" style="25"/>
    <col min="1281" max="1281" width="10.7109375" style="25" customWidth="1"/>
    <col min="1282" max="1282" width="50.7109375" style="25" customWidth="1"/>
    <col min="1283" max="1283" width="15.5703125" style="25" customWidth="1"/>
    <col min="1284" max="1287" width="10.7109375" style="25" customWidth="1"/>
    <col min="1288" max="1289" width="12.7109375" style="25" customWidth="1"/>
    <col min="1290" max="1290" width="15.7109375" style="25" customWidth="1"/>
    <col min="1291" max="1291" width="40.7109375" style="25" customWidth="1"/>
    <col min="1292" max="1292" width="15.5703125" style="25" customWidth="1"/>
    <col min="1293" max="1536" width="9.140625" style="25"/>
    <col min="1537" max="1537" width="10.7109375" style="25" customWidth="1"/>
    <col min="1538" max="1538" width="50.7109375" style="25" customWidth="1"/>
    <col min="1539" max="1539" width="15.5703125" style="25" customWidth="1"/>
    <col min="1540" max="1543" width="10.7109375" style="25" customWidth="1"/>
    <col min="1544" max="1545" width="12.7109375" style="25" customWidth="1"/>
    <col min="1546" max="1546" width="15.7109375" style="25" customWidth="1"/>
    <col min="1547" max="1547" width="40.7109375" style="25" customWidth="1"/>
    <col min="1548" max="1548" width="15.5703125" style="25" customWidth="1"/>
    <col min="1549" max="1792" width="9.140625" style="25"/>
    <col min="1793" max="1793" width="10.7109375" style="25" customWidth="1"/>
    <col min="1794" max="1794" width="50.7109375" style="25" customWidth="1"/>
    <col min="1795" max="1795" width="15.5703125" style="25" customWidth="1"/>
    <col min="1796" max="1799" width="10.7109375" style="25" customWidth="1"/>
    <col min="1800" max="1801" width="12.7109375" style="25" customWidth="1"/>
    <col min="1802" max="1802" width="15.7109375" style="25" customWidth="1"/>
    <col min="1803" max="1803" width="40.7109375" style="25" customWidth="1"/>
    <col min="1804" max="1804" width="15.5703125" style="25" customWidth="1"/>
    <col min="1805" max="2048" width="9.140625" style="25"/>
    <col min="2049" max="2049" width="10.7109375" style="25" customWidth="1"/>
    <col min="2050" max="2050" width="50.7109375" style="25" customWidth="1"/>
    <col min="2051" max="2051" width="15.5703125" style="25" customWidth="1"/>
    <col min="2052" max="2055" width="10.7109375" style="25" customWidth="1"/>
    <col min="2056" max="2057" width="12.7109375" style="25" customWidth="1"/>
    <col min="2058" max="2058" width="15.7109375" style="25" customWidth="1"/>
    <col min="2059" max="2059" width="40.7109375" style="25" customWidth="1"/>
    <col min="2060" max="2060" width="15.5703125" style="25" customWidth="1"/>
    <col min="2061" max="2304" width="9.140625" style="25"/>
    <col min="2305" max="2305" width="10.7109375" style="25" customWidth="1"/>
    <col min="2306" max="2306" width="50.7109375" style="25" customWidth="1"/>
    <col min="2307" max="2307" width="15.5703125" style="25" customWidth="1"/>
    <col min="2308" max="2311" width="10.7109375" style="25" customWidth="1"/>
    <col min="2312" max="2313" width="12.7109375" style="25" customWidth="1"/>
    <col min="2314" max="2314" width="15.7109375" style="25" customWidth="1"/>
    <col min="2315" max="2315" width="40.7109375" style="25" customWidth="1"/>
    <col min="2316" max="2316" width="15.5703125" style="25" customWidth="1"/>
    <col min="2317" max="2560" width="9.140625" style="25"/>
    <col min="2561" max="2561" width="10.7109375" style="25" customWidth="1"/>
    <col min="2562" max="2562" width="50.7109375" style="25" customWidth="1"/>
    <col min="2563" max="2563" width="15.5703125" style="25" customWidth="1"/>
    <col min="2564" max="2567" width="10.7109375" style="25" customWidth="1"/>
    <col min="2568" max="2569" width="12.7109375" style="25" customWidth="1"/>
    <col min="2570" max="2570" width="15.7109375" style="25" customWidth="1"/>
    <col min="2571" max="2571" width="40.7109375" style="25" customWidth="1"/>
    <col min="2572" max="2572" width="15.5703125" style="25" customWidth="1"/>
    <col min="2573" max="2816" width="9.140625" style="25"/>
    <col min="2817" max="2817" width="10.7109375" style="25" customWidth="1"/>
    <col min="2818" max="2818" width="50.7109375" style="25" customWidth="1"/>
    <col min="2819" max="2819" width="15.5703125" style="25" customWidth="1"/>
    <col min="2820" max="2823" width="10.7109375" style="25" customWidth="1"/>
    <col min="2824" max="2825" width="12.7109375" style="25" customWidth="1"/>
    <col min="2826" max="2826" width="15.7109375" style="25" customWidth="1"/>
    <col min="2827" max="2827" width="40.7109375" style="25" customWidth="1"/>
    <col min="2828" max="2828" width="15.5703125" style="25" customWidth="1"/>
    <col min="2829" max="3072" width="9.140625" style="25"/>
    <col min="3073" max="3073" width="10.7109375" style="25" customWidth="1"/>
    <col min="3074" max="3074" width="50.7109375" style="25" customWidth="1"/>
    <col min="3075" max="3075" width="15.5703125" style="25" customWidth="1"/>
    <col min="3076" max="3079" width="10.7109375" style="25" customWidth="1"/>
    <col min="3080" max="3081" width="12.7109375" style="25" customWidth="1"/>
    <col min="3082" max="3082" width="15.7109375" style="25" customWidth="1"/>
    <col min="3083" max="3083" width="40.7109375" style="25" customWidth="1"/>
    <col min="3084" max="3084" width="15.5703125" style="25" customWidth="1"/>
    <col min="3085" max="3328" width="9.140625" style="25"/>
    <col min="3329" max="3329" width="10.7109375" style="25" customWidth="1"/>
    <col min="3330" max="3330" width="50.7109375" style="25" customWidth="1"/>
    <col min="3331" max="3331" width="15.5703125" style="25" customWidth="1"/>
    <col min="3332" max="3335" width="10.7109375" style="25" customWidth="1"/>
    <col min="3336" max="3337" width="12.7109375" style="25" customWidth="1"/>
    <col min="3338" max="3338" width="15.7109375" style="25" customWidth="1"/>
    <col min="3339" max="3339" width="40.7109375" style="25" customWidth="1"/>
    <col min="3340" max="3340" width="15.5703125" style="25" customWidth="1"/>
    <col min="3341" max="3584" width="9.140625" style="25"/>
    <col min="3585" max="3585" width="10.7109375" style="25" customWidth="1"/>
    <col min="3586" max="3586" width="50.7109375" style="25" customWidth="1"/>
    <col min="3587" max="3587" width="15.5703125" style="25" customWidth="1"/>
    <col min="3588" max="3591" width="10.7109375" style="25" customWidth="1"/>
    <col min="3592" max="3593" width="12.7109375" style="25" customWidth="1"/>
    <col min="3594" max="3594" width="15.7109375" style="25" customWidth="1"/>
    <col min="3595" max="3595" width="40.7109375" style="25" customWidth="1"/>
    <col min="3596" max="3596" width="15.5703125" style="25" customWidth="1"/>
    <col min="3597" max="3840" width="9.140625" style="25"/>
    <col min="3841" max="3841" width="10.7109375" style="25" customWidth="1"/>
    <col min="3842" max="3842" width="50.7109375" style="25" customWidth="1"/>
    <col min="3843" max="3843" width="15.5703125" style="25" customWidth="1"/>
    <col min="3844" max="3847" width="10.7109375" style="25" customWidth="1"/>
    <col min="3848" max="3849" width="12.7109375" style="25" customWidth="1"/>
    <col min="3850" max="3850" width="15.7109375" style="25" customWidth="1"/>
    <col min="3851" max="3851" width="40.7109375" style="25" customWidth="1"/>
    <col min="3852" max="3852" width="15.5703125" style="25" customWidth="1"/>
    <col min="3853" max="4096" width="9.140625" style="25"/>
    <col min="4097" max="4097" width="10.7109375" style="25" customWidth="1"/>
    <col min="4098" max="4098" width="50.7109375" style="25" customWidth="1"/>
    <col min="4099" max="4099" width="15.5703125" style="25" customWidth="1"/>
    <col min="4100" max="4103" width="10.7109375" style="25" customWidth="1"/>
    <col min="4104" max="4105" width="12.7109375" style="25" customWidth="1"/>
    <col min="4106" max="4106" width="15.7109375" style="25" customWidth="1"/>
    <col min="4107" max="4107" width="40.7109375" style="25" customWidth="1"/>
    <col min="4108" max="4108" width="15.5703125" style="25" customWidth="1"/>
    <col min="4109" max="4352" width="9.140625" style="25"/>
    <col min="4353" max="4353" width="10.7109375" style="25" customWidth="1"/>
    <col min="4354" max="4354" width="50.7109375" style="25" customWidth="1"/>
    <col min="4355" max="4355" width="15.5703125" style="25" customWidth="1"/>
    <col min="4356" max="4359" width="10.7109375" style="25" customWidth="1"/>
    <col min="4360" max="4361" width="12.7109375" style="25" customWidth="1"/>
    <col min="4362" max="4362" width="15.7109375" style="25" customWidth="1"/>
    <col min="4363" max="4363" width="40.7109375" style="25" customWidth="1"/>
    <col min="4364" max="4364" width="15.5703125" style="25" customWidth="1"/>
    <col min="4365" max="4608" width="9.140625" style="25"/>
    <col min="4609" max="4609" width="10.7109375" style="25" customWidth="1"/>
    <col min="4610" max="4610" width="50.7109375" style="25" customWidth="1"/>
    <col min="4611" max="4611" width="15.5703125" style="25" customWidth="1"/>
    <col min="4612" max="4615" width="10.7109375" style="25" customWidth="1"/>
    <col min="4616" max="4617" width="12.7109375" style="25" customWidth="1"/>
    <col min="4618" max="4618" width="15.7109375" style="25" customWidth="1"/>
    <col min="4619" max="4619" width="40.7109375" style="25" customWidth="1"/>
    <col min="4620" max="4620" width="15.5703125" style="25" customWidth="1"/>
    <col min="4621" max="4864" width="9.140625" style="25"/>
    <col min="4865" max="4865" width="10.7109375" style="25" customWidth="1"/>
    <col min="4866" max="4866" width="50.7109375" style="25" customWidth="1"/>
    <col min="4867" max="4867" width="15.5703125" style="25" customWidth="1"/>
    <col min="4868" max="4871" width="10.7109375" style="25" customWidth="1"/>
    <col min="4872" max="4873" width="12.7109375" style="25" customWidth="1"/>
    <col min="4874" max="4874" width="15.7109375" style="25" customWidth="1"/>
    <col min="4875" max="4875" width="40.7109375" style="25" customWidth="1"/>
    <col min="4876" max="4876" width="15.5703125" style="25" customWidth="1"/>
    <col min="4877" max="5120" width="9.140625" style="25"/>
    <col min="5121" max="5121" width="10.7109375" style="25" customWidth="1"/>
    <col min="5122" max="5122" width="50.7109375" style="25" customWidth="1"/>
    <col min="5123" max="5123" width="15.5703125" style="25" customWidth="1"/>
    <col min="5124" max="5127" width="10.7109375" style="25" customWidth="1"/>
    <col min="5128" max="5129" width="12.7109375" style="25" customWidth="1"/>
    <col min="5130" max="5130" width="15.7109375" style="25" customWidth="1"/>
    <col min="5131" max="5131" width="40.7109375" style="25" customWidth="1"/>
    <col min="5132" max="5132" width="15.5703125" style="25" customWidth="1"/>
    <col min="5133" max="5376" width="9.140625" style="25"/>
    <col min="5377" max="5377" width="10.7109375" style="25" customWidth="1"/>
    <col min="5378" max="5378" width="50.7109375" style="25" customWidth="1"/>
    <col min="5379" max="5379" width="15.5703125" style="25" customWidth="1"/>
    <col min="5380" max="5383" width="10.7109375" style="25" customWidth="1"/>
    <col min="5384" max="5385" width="12.7109375" style="25" customWidth="1"/>
    <col min="5386" max="5386" width="15.7109375" style="25" customWidth="1"/>
    <col min="5387" max="5387" width="40.7109375" style="25" customWidth="1"/>
    <col min="5388" max="5388" width="15.5703125" style="25" customWidth="1"/>
    <col min="5389" max="5632" width="9.140625" style="25"/>
    <col min="5633" max="5633" width="10.7109375" style="25" customWidth="1"/>
    <col min="5634" max="5634" width="50.7109375" style="25" customWidth="1"/>
    <col min="5635" max="5635" width="15.5703125" style="25" customWidth="1"/>
    <col min="5636" max="5639" width="10.7109375" style="25" customWidth="1"/>
    <col min="5640" max="5641" width="12.7109375" style="25" customWidth="1"/>
    <col min="5642" max="5642" width="15.7109375" style="25" customWidth="1"/>
    <col min="5643" max="5643" width="40.7109375" style="25" customWidth="1"/>
    <col min="5644" max="5644" width="15.5703125" style="25" customWidth="1"/>
    <col min="5645" max="5888" width="9.140625" style="25"/>
    <col min="5889" max="5889" width="10.7109375" style="25" customWidth="1"/>
    <col min="5890" max="5890" width="50.7109375" style="25" customWidth="1"/>
    <col min="5891" max="5891" width="15.5703125" style="25" customWidth="1"/>
    <col min="5892" max="5895" width="10.7109375" style="25" customWidth="1"/>
    <col min="5896" max="5897" width="12.7109375" style="25" customWidth="1"/>
    <col min="5898" max="5898" width="15.7109375" style="25" customWidth="1"/>
    <col min="5899" max="5899" width="40.7109375" style="25" customWidth="1"/>
    <col min="5900" max="5900" width="15.5703125" style="25" customWidth="1"/>
    <col min="5901" max="6144" width="9.140625" style="25"/>
    <col min="6145" max="6145" width="10.7109375" style="25" customWidth="1"/>
    <col min="6146" max="6146" width="50.7109375" style="25" customWidth="1"/>
    <col min="6147" max="6147" width="15.5703125" style="25" customWidth="1"/>
    <col min="6148" max="6151" width="10.7109375" style="25" customWidth="1"/>
    <col min="6152" max="6153" width="12.7109375" style="25" customWidth="1"/>
    <col min="6154" max="6154" width="15.7109375" style="25" customWidth="1"/>
    <col min="6155" max="6155" width="40.7109375" style="25" customWidth="1"/>
    <col min="6156" max="6156" width="15.5703125" style="25" customWidth="1"/>
    <col min="6157" max="6400" width="9.140625" style="25"/>
    <col min="6401" max="6401" width="10.7109375" style="25" customWidth="1"/>
    <col min="6402" max="6402" width="50.7109375" style="25" customWidth="1"/>
    <col min="6403" max="6403" width="15.5703125" style="25" customWidth="1"/>
    <col min="6404" max="6407" width="10.7109375" style="25" customWidth="1"/>
    <col min="6408" max="6409" width="12.7109375" style="25" customWidth="1"/>
    <col min="6410" max="6410" width="15.7109375" style="25" customWidth="1"/>
    <col min="6411" max="6411" width="40.7109375" style="25" customWidth="1"/>
    <col min="6412" max="6412" width="15.5703125" style="25" customWidth="1"/>
    <col min="6413" max="6656" width="9.140625" style="25"/>
    <col min="6657" max="6657" width="10.7109375" style="25" customWidth="1"/>
    <col min="6658" max="6658" width="50.7109375" style="25" customWidth="1"/>
    <col min="6659" max="6659" width="15.5703125" style="25" customWidth="1"/>
    <col min="6660" max="6663" width="10.7109375" style="25" customWidth="1"/>
    <col min="6664" max="6665" width="12.7109375" style="25" customWidth="1"/>
    <col min="6666" max="6666" width="15.7109375" style="25" customWidth="1"/>
    <col min="6667" max="6667" width="40.7109375" style="25" customWidth="1"/>
    <col min="6668" max="6668" width="15.5703125" style="25" customWidth="1"/>
    <col min="6669" max="6912" width="9.140625" style="25"/>
    <col min="6913" max="6913" width="10.7109375" style="25" customWidth="1"/>
    <col min="6914" max="6914" width="50.7109375" style="25" customWidth="1"/>
    <col min="6915" max="6915" width="15.5703125" style="25" customWidth="1"/>
    <col min="6916" max="6919" width="10.7109375" style="25" customWidth="1"/>
    <col min="6920" max="6921" width="12.7109375" style="25" customWidth="1"/>
    <col min="6922" max="6922" width="15.7109375" style="25" customWidth="1"/>
    <col min="6923" max="6923" width="40.7109375" style="25" customWidth="1"/>
    <col min="6924" max="6924" width="15.5703125" style="25" customWidth="1"/>
    <col min="6925" max="7168" width="9.140625" style="25"/>
    <col min="7169" max="7169" width="10.7109375" style="25" customWidth="1"/>
    <col min="7170" max="7170" width="50.7109375" style="25" customWidth="1"/>
    <col min="7171" max="7171" width="15.5703125" style="25" customWidth="1"/>
    <col min="7172" max="7175" width="10.7109375" style="25" customWidth="1"/>
    <col min="7176" max="7177" width="12.7109375" style="25" customWidth="1"/>
    <col min="7178" max="7178" width="15.7109375" style="25" customWidth="1"/>
    <col min="7179" max="7179" width="40.7109375" style="25" customWidth="1"/>
    <col min="7180" max="7180" width="15.5703125" style="25" customWidth="1"/>
    <col min="7181" max="7424" width="9.140625" style="25"/>
    <col min="7425" max="7425" width="10.7109375" style="25" customWidth="1"/>
    <col min="7426" max="7426" width="50.7109375" style="25" customWidth="1"/>
    <col min="7427" max="7427" width="15.5703125" style="25" customWidth="1"/>
    <col min="7428" max="7431" width="10.7109375" style="25" customWidth="1"/>
    <col min="7432" max="7433" width="12.7109375" style="25" customWidth="1"/>
    <col min="7434" max="7434" width="15.7109375" style="25" customWidth="1"/>
    <col min="7435" max="7435" width="40.7109375" style="25" customWidth="1"/>
    <col min="7436" max="7436" width="15.5703125" style="25" customWidth="1"/>
    <col min="7437" max="7680" width="9.140625" style="25"/>
    <col min="7681" max="7681" width="10.7109375" style="25" customWidth="1"/>
    <col min="7682" max="7682" width="50.7109375" style="25" customWidth="1"/>
    <col min="7683" max="7683" width="15.5703125" style="25" customWidth="1"/>
    <col min="7684" max="7687" width="10.7109375" style="25" customWidth="1"/>
    <col min="7688" max="7689" width="12.7109375" style="25" customWidth="1"/>
    <col min="7690" max="7690" width="15.7109375" style="25" customWidth="1"/>
    <col min="7691" max="7691" width="40.7109375" style="25" customWidth="1"/>
    <col min="7692" max="7692" width="15.5703125" style="25" customWidth="1"/>
    <col min="7693" max="7936" width="9.140625" style="25"/>
    <col min="7937" max="7937" width="10.7109375" style="25" customWidth="1"/>
    <col min="7938" max="7938" width="50.7109375" style="25" customWidth="1"/>
    <col min="7939" max="7939" width="15.5703125" style="25" customWidth="1"/>
    <col min="7940" max="7943" width="10.7109375" style="25" customWidth="1"/>
    <col min="7944" max="7945" width="12.7109375" style="25" customWidth="1"/>
    <col min="7946" max="7946" width="15.7109375" style="25" customWidth="1"/>
    <col min="7947" max="7947" width="40.7109375" style="25" customWidth="1"/>
    <col min="7948" max="7948" width="15.5703125" style="25" customWidth="1"/>
    <col min="7949" max="8192" width="9.140625" style="25"/>
    <col min="8193" max="8193" width="10.7109375" style="25" customWidth="1"/>
    <col min="8194" max="8194" width="50.7109375" style="25" customWidth="1"/>
    <col min="8195" max="8195" width="15.5703125" style="25" customWidth="1"/>
    <col min="8196" max="8199" width="10.7109375" style="25" customWidth="1"/>
    <col min="8200" max="8201" width="12.7109375" style="25" customWidth="1"/>
    <col min="8202" max="8202" width="15.7109375" style="25" customWidth="1"/>
    <col min="8203" max="8203" width="40.7109375" style="25" customWidth="1"/>
    <col min="8204" max="8204" width="15.5703125" style="25" customWidth="1"/>
    <col min="8205" max="8448" width="9.140625" style="25"/>
    <col min="8449" max="8449" width="10.7109375" style="25" customWidth="1"/>
    <col min="8450" max="8450" width="50.7109375" style="25" customWidth="1"/>
    <col min="8451" max="8451" width="15.5703125" style="25" customWidth="1"/>
    <col min="8452" max="8455" width="10.7109375" style="25" customWidth="1"/>
    <col min="8456" max="8457" width="12.7109375" style="25" customWidth="1"/>
    <col min="8458" max="8458" width="15.7109375" style="25" customWidth="1"/>
    <col min="8459" max="8459" width="40.7109375" style="25" customWidth="1"/>
    <col min="8460" max="8460" width="15.5703125" style="25" customWidth="1"/>
    <col min="8461" max="8704" width="9.140625" style="25"/>
    <col min="8705" max="8705" width="10.7109375" style="25" customWidth="1"/>
    <col min="8706" max="8706" width="50.7109375" style="25" customWidth="1"/>
    <col min="8707" max="8707" width="15.5703125" style="25" customWidth="1"/>
    <col min="8708" max="8711" width="10.7109375" style="25" customWidth="1"/>
    <col min="8712" max="8713" width="12.7109375" style="25" customWidth="1"/>
    <col min="8714" max="8714" width="15.7109375" style="25" customWidth="1"/>
    <col min="8715" max="8715" width="40.7109375" style="25" customWidth="1"/>
    <col min="8716" max="8716" width="15.5703125" style="25" customWidth="1"/>
    <col min="8717" max="8960" width="9.140625" style="25"/>
    <col min="8961" max="8961" width="10.7109375" style="25" customWidth="1"/>
    <col min="8962" max="8962" width="50.7109375" style="25" customWidth="1"/>
    <col min="8963" max="8963" width="15.5703125" style="25" customWidth="1"/>
    <col min="8964" max="8967" width="10.7109375" style="25" customWidth="1"/>
    <col min="8968" max="8969" width="12.7109375" style="25" customWidth="1"/>
    <col min="8970" max="8970" width="15.7109375" style="25" customWidth="1"/>
    <col min="8971" max="8971" width="40.7109375" style="25" customWidth="1"/>
    <col min="8972" max="8972" width="15.5703125" style="25" customWidth="1"/>
    <col min="8973" max="9216" width="9.140625" style="25"/>
    <col min="9217" max="9217" width="10.7109375" style="25" customWidth="1"/>
    <col min="9218" max="9218" width="50.7109375" style="25" customWidth="1"/>
    <col min="9219" max="9219" width="15.5703125" style="25" customWidth="1"/>
    <col min="9220" max="9223" width="10.7109375" style="25" customWidth="1"/>
    <col min="9224" max="9225" width="12.7109375" style="25" customWidth="1"/>
    <col min="9226" max="9226" width="15.7109375" style="25" customWidth="1"/>
    <col min="9227" max="9227" width="40.7109375" style="25" customWidth="1"/>
    <col min="9228" max="9228" width="15.5703125" style="25" customWidth="1"/>
    <col min="9229" max="9472" width="9.140625" style="25"/>
    <col min="9473" max="9473" width="10.7109375" style="25" customWidth="1"/>
    <col min="9474" max="9474" width="50.7109375" style="25" customWidth="1"/>
    <col min="9475" max="9475" width="15.5703125" style="25" customWidth="1"/>
    <col min="9476" max="9479" width="10.7109375" style="25" customWidth="1"/>
    <col min="9480" max="9481" width="12.7109375" style="25" customWidth="1"/>
    <col min="9482" max="9482" width="15.7109375" style="25" customWidth="1"/>
    <col min="9483" max="9483" width="40.7109375" style="25" customWidth="1"/>
    <col min="9484" max="9484" width="15.5703125" style="25" customWidth="1"/>
    <col min="9485" max="9728" width="9.140625" style="25"/>
    <col min="9729" max="9729" width="10.7109375" style="25" customWidth="1"/>
    <col min="9730" max="9730" width="50.7109375" style="25" customWidth="1"/>
    <col min="9731" max="9731" width="15.5703125" style="25" customWidth="1"/>
    <col min="9732" max="9735" width="10.7109375" style="25" customWidth="1"/>
    <col min="9736" max="9737" width="12.7109375" style="25" customWidth="1"/>
    <col min="9738" max="9738" width="15.7109375" style="25" customWidth="1"/>
    <col min="9739" max="9739" width="40.7109375" style="25" customWidth="1"/>
    <col min="9740" max="9740" width="15.5703125" style="25" customWidth="1"/>
    <col min="9741" max="9984" width="9.140625" style="25"/>
    <col min="9985" max="9985" width="10.7109375" style="25" customWidth="1"/>
    <col min="9986" max="9986" width="50.7109375" style="25" customWidth="1"/>
    <col min="9987" max="9987" width="15.5703125" style="25" customWidth="1"/>
    <col min="9988" max="9991" width="10.7109375" style="25" customWidth="1"/>
    <col min="9992" max="9993" width="12.7109375" style="25" customWidth="1"/>
    <col min="9994" max="9994" width="15.7109375" style="25" customWidth="1"/>
    <col min="9995" max="9995" width="40.7109375" style="25" customWidth="1"/>
    <col min="9996" max="9996" width="15.5703125" style="25" customWidth="1"/>
    <col min="9997" max="10240" width="9.140625" style="25"/>
    <col min="10241" max="10241" width="10.7109375" style="25" customWidth="1"/>
    <col min="10242" max="10242" width="50.7109375" style="25" customWidth="1"/>
    <col min="10243" max="10243" width="15.5703125" style="25" customWidth="1"/>
    <col min="10244" max="10247" width="10.7109375" style="25" customWidth="1"/>
    <col min="10248" max="10249" width="12.7109375" style="25" customWidth="1"/>
    <col min="10250" max="10250" width="15.7109375" style="25" customWidth="1"/>
    <col min="10251" max="10251" width="40.7109375" style="25" customWidth="1"/>
    <col min="10252" max="10252" width="15.5703125" style="25" customWidth="1"/>
    <col min="10253" max="10496" width="9.140625" style="25"/>
    <col min="10497" max="10497" width="10.7109375" style="25" customWidth="1"/>
    <col min="10498" max="10498" width="50.7109375" style="25" customWidth="1"/>
    <col min="10499" max="10499" width="15.5703125" style="25" customWidth="1"/>
    <col min="10500" max="10503" width="10.7109375" style="25" customWidth="1"/>
    <col min="10504" max="10505" width="12.7109375" style="25" customWidth="1"/>
    <col min="10506" max="10506" width="15.7109375" style="25" customWidth="1"/>
    <col min="10507" max="10507" width="40.7109375" style="25" customWidth="1"/>
    <col min="10508" max="10508" width="15.5703125" style="25" customWidth="1"/>
    <col min="10509" max="10752" width="9.140625" style="25"/>
    <col min="10753" max="10753" width="10.7109375" style="25" customWidth="1"/>
    <col min="10754" max="10754" width="50.7109375" style="25" customWidth="1"/>
    <col min="10755" max="10755" width="15.5703125" style="25" customWidth="1"/>
    <col min="10756" max="10759" width="10.7109375" style="25" customWidth="1"/>
    <col min="10760" max="10761" width="12.7109375" style="25" customWidth="1"/>
    <col min="10762" max="10762" width="15.7109375" style="25" customWidth="1"/>
    <col min="10763" max="10763" width="40.7109375" style="25" customWidth="1"/>
    <col min="10764" max="10764" width="15.5703125" style="25" customWidth="1"/>
    <col min="10765" max="11008" width="9.140625" style="25"/>
    <col min="11009" max="11009" width="10.7109375" style="25" customWidth="1"/>
    <col min="11010" max="11010" width="50.7109375" style="25" customWidth="1"/>
    <col min="11011" max="11011" width="15.5703125" style="25" customWidth="1"/>
    <col min="11012" max="11015" width="10.7109375" style="25" customWidth="1"/>
    <col min="11016" max="11017" width="12.7109375" style="25" customWidth="1"/>
    <col min="11018" max="11018" width="15.7109375" style="25" customWidth="1"/>
    <col min="11019" max="11019" width="40.7109375" style="25" customWidth="1"/>
    <col min="11020" max="11020" width="15.5703125" style="25" customWidth="1"/>
    <col min="11021" max="11264" width="9.140625" style="25"/>
    <col min="11265" max="11265" width="10.7109375" style="25" customWidth="1"/>
    <col min="11266" max="11266" width="50.7109375" style="25" customWidth="1"/>
    <col min="11267" max="11267" width="15.5703125" style="25" customWidth="1"/>
    <col min="11268" max="11271" width="10.7109375" style="25" customWidth="1"/>
    <col min="11272" max="11273" width="12.7109375" style="25" customWidth="1"/>
    <col min="11274" max="11274" width="15.7109375" style="25" customWidth="1"/>
    <col min="11275" max="11275" width="40.7109375" style="25" customWidth="1"/>
    <col min="11276" max="11276" width="15.5703125" style="25" customWidth="1"/>
    <col min="11277" max="11520" width="9.140625" style="25"/>
    <col min="11521" max="11521" width="10.7109375" style="25" customWidth="1"/>
    <col min="11522" max="11522" width="50.7109375" style="25" customWidth="1"/>
    <col min="11523" max="11523" width="15.5703125" style="25" customWidth="1"/>
    <col min="11524" max="11527" width="10.7109375" style="25" customWidth="1"/>
    <col min="11528" max="11529" width="12.7109375" style="25" customWidth="1"/>
    <col min="11530" max="11530" width="15.7109375" style="25" customWidth="1"/>
    <col min="11531" max="11531" width="40.7109375" style="25" customWidth="1"/>
    <col min="11532" max="11532" width="15.5703125" style="25" customWidth="1"/>
    <col min="11533" max="11776" width="9.140625" style="25"/>
    <col min="11777" max="11777" width="10.7109375" style="25" customWidth="1"/>
    <col min="11778" max="11778" width="50.7109375" style="25" customWidth="1"/>
    <col min="11779" max="11779" width="15.5703125" style="25" customWidth="1"/>
    <col min="11780" max="11783" width="10.7109375" style="25" customWidth="1"/>
    <col min="11784" max="11785" width="12.7109375" style="25" customWidth="1"/>
    <col min="11786" max="11786" width="15.7109375" style="25" customWidth="1"/>
    <col min="11787" max="11787" width="40.7109375" style="25" customWidth="1"/>
    <col min="11788" max="11788" width="15.5703125" style="25" customWidth="1"/>
    <col min="11789" max="12032" width="9.140625" style="25"/>
    <col min="12033" max="12033" width="10.7109375" style="25" customWidth="1"/>
    <col min="12034" max="12034" width="50.7109375" style="25" customWidth="1"/>
    <col min="12035" max="12035" width="15.5703125" style="25" customWidth="1"/>
    <col min="12036" max="12039" width="10.7109375" style="25" customWidth="1"/>
    <col min="12040" max="12041" width="12.7109375" style="25" customWidth="1"/>
    <col min="12042" max="12042" width="15.7109375" style="25" customWidth="1"/>
    <col min="12043" max="12043" width="40.7109375" style="25" customWidth="1"/>
    <col min="12044" max="12044" width="15.5703125" style="25" customWidth="1"/>
    <col min="12045" max="12288" width="9.140625" style="25"/>
    <col min="12289" max="12289" width="10.7109375" style="25" customWidth="1"/>
    <col min="12290" max="12290" width="50.7109375" style="25" customWidth="1"/>
    <col min="12291" max="12291" width="15.5703125" style="25" customWidth="1"/>
    <col min="12292" max="12295" width="10.7109375" style="25" customWidth="1"/>
    <col min="12296" max="12297" width="12.7109375" style="25" customWidth="1"/>
    <col min="12298" max="12298" width="15.7109375" style="25" customWidth="1"/>
    <col min="12299" max="12299" width="40.7109375" style="25" customWidth="1"/>
    <col min="12300" max="12300" width="15.5703125" style="25" customWidth="1"/>
    <col min="12301" max="12544" width="9.140625" style="25"/>
    <col min="12545" max="12545" width="10.7109375" style="25" customWidth="1"/>
    <col min="12546" max="12546" width="50.7109375" style="25" customWidth="1"/>
    <col min="12547" max="12547" width="15.5703125" style="25" customWidth="1"/>
    <col min="12548" max="12551" width="10.7109375" style="25" customWidth="1"/>
    <col min="12552" max="12553" width="12.7109375" style="25" customWidth="1"/>
    <col min="12554" max="12554" width="15.7109375" style="25" customWidth="1"/>
    <col min="12555" max="12555" width="40.7109375" style="25" customWidth="1"/>
    <col min="12556" max="12556" width="15.5703125" style="25" customWidth="1"/>
    <col min="12557" max="12800" width="9.140625" style="25"/>
    <col min="12801" max="12801" width="10.7109375" style="25" customWidth="1"/>
    <col min="12802" max="12802" width="50.7109375" style="25" customWidth="1"/>
    <col min="12803" max="12803" width="15.5703125" style="25" customWidth="1"/>
    <col min="12804" max="12807" width="10.7109375" style="25" customWidth="1"/>
    <col min="12808" max="12809" width="12.7109375" style="25" customWidth="1"/>
    <col min="12810" max="12810" width="15.7109375" style="25" customWidth="1"/>
    <col min="12811" max="12811" width="40.7109375" style="25" customWidth="1"/>
    <col min="12812" max="12812" width="15.5703125" style="25" customWidth="1"/>
    <col min="12813" max="13056" width="9.140625" style="25"/>
    <col min="13057" max="13057" width="10.7109375" style="25" customWidth="1"/>
    <col min="13058" max="13058" width="50.7109375" style="25" customWidth="1"/>
    <col min="13059" max="13059" width="15.5703125" style="25" customWidth="1"/>
    <col min="13060" max="13063" width="10.7109375" style="25" customWidth="1"/>
    <col min="13064" max="13065" width="12.7109375" style="25" customWidth="1"/>
    <col min="13066" max="13066" width="15.7109375" style="25" customWidth="1"/>
    <col min="13067" max="13067" width="40.7109375" style="25" customWidth="1"/>
    <col min="13068" max="13068" width="15.5703125" style="25" customWidth="1"/>
    <col min="13069" max="13312" width="9.140625" style="25"/>
    <col min="13313" max="13313" width="10.7109375" style="25" customWidth="1"/>
    <col min="13314" max="13314" width="50.7109375" style="25" customWidth="1"/>
    <col min="13315" max="13315" width="15.5703125" style="25" customWidth="1"/>
    <col min="13316" max="13319" width="10.7109375" style="25" customWidth="1"/>
    <col min="13320" max="13321" width="12.7109375" style="25" customWidth="1"/>
    <col min="13322" max="13322" width="15.7109375" style="25" customWidth="1"/>
    <col min="13323" max="13323" width="40.7109375" style="25" customWidth="1"/>
    <col min="13324" max="13324" width="15.5703125" style="25" customWidth="1"/>
    <col min="13325" max="13568" width="9.140625" style="25"/>
    <col min="13569" max="13569" width="10.7109375" style="25" customWidth="1"/>
    <col min="13570" max="13570" width="50.7109375" style="25" customWidth="1"/>
    <col min="13571" max="13571" width="15.5703125" style="25" customWidth="1"/>
    <col min="13572" max="13575" width="10.7109375" style="25" customWidth="1"/>
    <col min="13576" max="13577" width="12.7109375" style="25" customWidth="1"/>
    <col min="13578" max="13578" width="15.7109375" style="25" customWidth="1"/>
    <col min="13579" max="13579" width="40.7109375" style="25" customWidth="1"/>
    <col min="13580" max="13580" width="15.5703125" style="25" customWidth="1"/>
    <col min="13581" max="13824" width="9.140625" style="25"/>
    <col min="13825" max="13825" width="10.7109375" style="25" customWidth="1"/>
    <col min="13826" max="13826" width="50.7109375" style="25" customWidth="1"/>
    <col min="13827" max="13827" width="15.5703125" style="25" customWidth="1"/>
    <col min="13828" max="13831" width="10.7109375" style="25" customWidth="1"/>
    <col min="13832" max="13833" width="12.7109375" style="25" customWidth="1"/>
    <col min="13834" max="13834" width="15.7109375" style="25" customWidth="1"/>
    <col min="13835" max="13835" width="40.7109375" style="25" customWidth="1"/>
    <col min="13836" max="13836" width="15.5703125" style="25" customWidth="1"/>
    <col min="13837" max="14080" width="9.140625" style="25"/>
    <col min="14081" max="14081" width="10.7109375" style="25" customWidth="1"/>
    <col min="14082" max="14082" width="50.7109375" style="25" customWidth="1"/>
    <col min="14083" max="14083" width="15.5703125" style="25" customWidth="1"/>
    <col min="14084" max="14087" width="10.7109375" style="25" customWidth="1"/>
    <col min="14088" max="14089" width="12.7109375" style="25" customWidth="1"/>
    <col min="14090" max="14090" width="15.7109375" style="25" customWidth="1"/>
    <col min="14091" max="14091" width="40.7109375" style="25" customWidth="1"/>
    <col min="14092" max="14092" width="15.5703125" style="25" customWidth="1"/>
    <col min="14093" max="14336" width="9.140625" style="25"/>
    <col min="14337" max="14337" width="10.7109375" style="25" customWidth="1"/>
    <col min="14338" max="14338" width="50.7109375" style="25" customWidth="1"/>
    <col min="14339" max="14339" width="15.5703125" style="25" customWidth="1"/>
    <col min="14340" max="14343" width="10.7109375" style="25" customWidth="1"/>
    <col min="14344" max="14345" width="12.7109375" style="25" customWidth="1"/>
    <col min="14346" max="14346" width="15.7109375" style="25" customWidth="1"/>
    <col min="14347" max="14347" width="40.7109375" style="25" customWidth="1"/>
    <col min="14348" max="14348" width="15.5703125" style="25" customWidth="1"/>
    <col min="14349" max="14592" width="9.140625" style="25"/>
    <col min="14593" max="14593" width="10.7109375" style="25" customWidth="1"/>
    <col min="14594" max="14594" width="50.7109375" style="25" customWidth="1"/>
    <col min="14595" max="14595" width="15.5703125" style="25" customWidth="1"/>
    <col min="14596" max="14599" width="10.7109375" style="25" customWidth="1"/>
    <col min="14600" max="14601" width="12.7109375" style="25" customWidth="1"/>
    <col min="14602" max="14602" width="15.7109375" style="25" customWidth="1"/>
    <col min="14603" max="14603" width="40.7109375" style="25" customWidth="1"/>
    <col min="14604" max="14604" width="15.5703125" style="25" customWidth="1"/>
    <col min="14605" max="14848" width="9.140625" style="25"/>
    <col min="14849" max="14849" width="10.7109375" style="25" customWidth="1"/>
    <col min="14850" max="14850" width="50.7109375" style="25" customWidth="1"/>
    <col min="14851" max="14851" width="15.5703125" style="25" customWidth="1"/>
    <col min="14852" max="14855" width="10.7109375" style="25" customWidth="1"/>
    <col min="14856" max="14857" width="12.7109375" style="25" customWidth="1"/>
    <col min="14858" max="14858" width="15.7109375" style="25" customWidth="1"/>
    <col min="14859" max="14859" width="40.7109375" style="25" customWidth="1"/>
    <col min="14860" max="14860" width="15.5703125" style="25" customWidth="1"/>
    <col min="14861" max="15104" width="9.140625" style="25"/>
    <col min="15105" max="15105" width="10.7109375" style="25" customWidth="1"/>
    <col min="15106" max="15106" width="50.7109375" style="25" customWidth="1"/>
    <col min="15107" max="15107" width="15.5703125" style="25" customWidth="1"/>
    <col min="15108" max="15111" width="10.7109375" style="25" customWidth="1"/>
    <col min="15112" max="15113" width="12.7109375" style="25" customWidth="1"/>
    <col min="15114" max="15114" width="15.7109375" style="25" customWidth="1"/>
    <col min="15115" max="15115" width="40.7109375" style="25" customWidth="1"/>
    <col min="15116" max="15116" width="15.5703125" style="25" customWidth="1"/>
    <col min="15117" max="15360" width="9.140625" style="25"/>
    <col min="15361" max="15361" width="10.7109375" style="25" customWidth="1"/>
    <col min="15362" max="15362" width="50.7109375" style="25" customWidth="1"/>
    <col min="15363" max="15363" width="15.5703125" style="25" customWidth="1"/>
    <col min="15364" max="15367" width="10.7109375" style="25" customWidth="1"/>
    <col min="15368" max="15369" width="12.7109375" style="25" customWidth="1"/>
    <col min="15370" max="15370" width="15.7109375" style="25" customWidth="1"/>
    <col min="15371" max="15371" width="40.7109375" style="25" customWidth="1"/>
    <col min="15372" max="15372" width="15.5703125" style="25" customWidth="1"/>
    <col min="15373" max="15616" width="9.140625" style="25"/>
    <col min="15617" max="15617" width="10.7109375" style="25" customWidth="1"/>
    <col min="15618" max="15618" width="50.7109375" style="25" customWidth="1"/>
    <col min="15619" max="15619" width="15.5703125" style="25" customWidth="1"/>
    <col min="15620" max="15623" width="10.7109375" style="25" customWidth="1"/>
    <col min="15624" max="15625" width="12.7109375" style="25" customWidth="1"/>
    <col min="15626" max="15626" width="15.7109375" style="25" customWidth="1"/>
    <col min="15627" max="15627" width="40.7109375" style="25" customWidth="1"/>
    <col min="15628" max="15628" width="15.5703125" style="25" customWidth="1"/>
    <col min="15629" max="15872" width="9.140625" style="25"/>
    <col min="15873" max="15873" width="10.7109375" style="25" customWidth="1"/>
    <col min="15874" max="15874" width="50.7109375" style="25" customWidth="1"/>
    <col min="15875" max="15875" width="15.5703125" style="25" customWidth="1"/>
    <col min="15876" max="15879" width="10.7109375" style="25" customWidth="1"/>
    <col min="15880" max="15881" width="12.7109375" style="25" customWidth="1"/>
    <col min="15882" max="15882" width="15.7109375" style="25" customWidth="1"/>
    <col min="15883" max="15883" width="40.7109375" style="25" customWidth="1"/>
    <col min="15884" max="15884" width="15.5703125" style="25" customWidth="1"/>
    <col min="15885" max="16128" width="9.140625" style="25"/>
    <col min="16129" max="16129" width="10.7109375" style="25" customWidth="1"/>
    <col min="16130" max="16130" width="50.7109375" style="25" customWidth="1"/>
    <col min="16131" max="16131" width="15.5703125" style="25" customWidth="1"/>
    <col min="16132" max="16135" width="10.7109375" style="25" customWidth="1"/>
    <col min="16136" max="16137" width="12.7109375" style="25" customWidth="1"/>
    <col min="16138" max="16138" width="15.7109375" style="25" customWidth="1"/>
    <col min="16139" max="16139" width="40.7109375" style="25" customWidth="1"/>
    <col min="16140" max="16140" width="15.5703125" style="25" customWidth="1"/>
    <col min="16141" max="16384" width="9.140625" style="25"/>
  </cols>
  <sheetData>
    <row r="1" spans="1:12" ht="69.95" customHeight="1" thickBot="1" x14ac:dyDescent="0.25">
      <c r="A1" s="966" t="s">
        <v>61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6"/>
    </row>
    <row r="2" spans="1:12" s="493" customFormat="1" ht="15.95" customHeight="1" thickTop="1" x14ac:dyDescent="0.25">
      <c r="A2" s="436" t="s">
        <v>1019</v>
      </c>
      <c r="B2" s="437">
        <f>Resources!C11</f>
        <v>0</v>
      </c>
      <c r="C2" s="438" t="s">
        <v>776</v>
      </c>
      <c r="D2" s="439">
        <f ca="1">COUNTIF($J$9:$J$100,"Deliverable Still In Progress")</f>
        <v>10</v>
      </c>
      <c r="E2" s="440"/>
      <c r="F2" s="441"/>
      <c r="G2" s="504"/>
      <c r="H2" s="454"/>
      <c r="I2" s="490"/>
      <c r="J2" s="454"/>
      <c r="K2" s="505"/>
      <c r="L2" s="492"/>
    </row>
    <row r="3" spans="1:12" s="493" customFormat="1" ht="15.95" customHeight="1" x14ac:dyDescent="0.25">
      <c r="A3" s="436" t="s">
        <v>1020</v>
      </c>
      <c r="B3" s="437">
        <f>Resources!E11</f>
        <v>0</v>
      </c>
      <c r="C3" s="438" t="s">
        <v>777</v>
      </c>
      <c r="D3" s="439">
        <f ca="1">COUNTIF($J$9:$J$100,"Deliverable Completed")</f>
        <v>0</v>
      </c>
      <c r="E3" s="449">
        <f ca="1">D3/D6</f>
        <v>0</v>
      </c>
      <c r="F3" s="441"/>
      <c r="G3" s="504"/>
      <c r="H3" s="454"/>
      <c r="I3" s="490"/>
      <c r="J3" s="454"/>
      <c r="K3" s="505"/>
      <c r="L3" s="492"/>
    </row>
    <row r="4" spans="1:12" s="493" customFormat="1" ht="15.95" customHeight="1" x14ac:dyDescent="0.25">
      <c r="A4" s="436" t="s">
        <v>1021</v>
      </c>
      <c r="B4" s="450"/>
      <c r="C4" s="438" t="s">
        <v>778</v>
      </c>
      <c r="D4" s="439">
        <f ca="1">D7-COUNTIF($J$9:$J$100,"completed")</f>
        <v>39</v>
      </c>
      <c r="E4" s="440"/>
      <c r="F4" s="441"/>
      <c r="G4" s="504"/>
      <c r="H4" s="454"/>
      <c r="I4" s="490"/>
      <c r="J4" s="454"/>
      <c r="K4" s="505"/>
      <c r="L4" s="492"/>
    </row>
    <row r="5" spans="1:12" s="493" customFormat="1" ht="15.95" customHeight="1" x14ac:dyDescent="0.25">
      <c r="A5" s="451"/>
      <c r="B5" s="450"/>
      <c r="C5" s="452" t="s">
        <v>779</v>
      </c>
      <c r="D5" s="439">
        <f ca="1">D7-D4</f>
        <v>0</v>
      </c>
      <c r="E5" s="449">
        <f ca="1">D5/D7</f>
        <v>0</v>
      </c>
      <c r="F5" s="441"/>
      <c r="G5" s="504"/>
      <c r="H5" s="454"/>
      <c r="I5" s="490"/>
      <c r="J5" s="454"/>
      <c r="K5" s="505"/>
      <c r="L5" s="492"/>
    </row>
    <row r="6" spans="1:12" s="493" customFormat="1" ht="15.95" customHeight="1" thickBot="1" x14ac:dyDescent="0.3">
      <c r="A6" s="451"/>
      <c r="B6" s="450"/>
      <c r="C6" s="452" t="s">
        <v>780</v>
      </c>
      <c r="D6" s="439">
        <f ca="1">D2+D3</f>
        <v>10</v>
      </c>
      <c r="E6" s="449"/>
      <c r="F6" s="441"/>
      <c r="G6" s="504"/>
      <c r="H6" s="454"/>
      <c r="I6" s="490"/>
      <c r="J6" s="454"/>
      <c r="K6" s="505"/>
      <c r="L6" s="492"/>
    </row>
    <row r="7" spans="1:12" s="493" customFormat="1" ht="15.95" customHeight="1" thickBot="1" x14ac:dyDescent="0.3">
      <c r="A7" s="451"/>
      <c r="B7" s="506"/>
      <c r="C7" s="452" t="s">
        <v>781</v>
      </c>
      <c r="D7" s="439">
        <f ca="1">COUNTA(B9:B88)-D6</f>
        <v>39</v>
      </c>
      <c r="E7" s="449"/>
      <c r="F7" s="544" t="s">
        <v>1017</v>
      </c>
      <c r="G7" s="504"/>
      <c r="H7" s="454"/>
      <c r="I7" s="490"/>
      <c r="J7" s="544" t="s">
        <v>1017</v>
      </c>
      <c r="K7" s="505"/>
      <c r="L7" s="492"/>
    </row>
    <row r="8" spans="1:12" s="127" customFormat="1" ht="47.25" x14ac:dyDescent="0.25">
      <c r="A8" s="352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529" t="s">
        <v>53</v>
      </c>
      <c r="H8" s="496" t="s">
        <v>95</v>
      </c>
      <c r="I8" s="496" t="s">
        <v>54</v>
      </c>
      <c r="J8" s="528" t="s">
        <v>55</v>
      </c>
      <c r="K8" s="356" t="s">
        <v>56</v>
      </c>
      <c r="L8" s="126"/>
    </row>
    <row r="9" spans="1:12" ht="14.25" customHeight="1" x14ac:dyDescent="0.2">
      <c r="A9" s="516"/>
      <c r="B9" s="520" t="s">
        <v>129</v>
      </c>
      <c r="C9" s="145"/>
      <c r="D9" s="172"/>
      <c r="E9" s="184"/>
      <c r="F9" s="409">
        <f ca="1">IF(ISBLANK(G9),IF(ISERROR(DAYS360(TODAY(),E9))," ",(DAYS360(TODAY(),E9))),E9-G9)</f>
        <v>-43388</v>
      </c>
      <c r="G9" s="154"/>
      <c r="H9" s="173"/>
      <c r="I9" s="145"/>
      <c r="J9" s="173" t="str">
        <f ca="1">IF(AND(J10="completed",J11="completed"),"Deliverable Completed","DELIVERABLE STILL IN PROGRESS")</f>
        <v>DELIVERABLE STILL IN PROGRESS</v>
      </c>
      <c r="K9" s="107"/>
    </row>
    <row r="10" spans="1:12" ht="15" x14ac:dyDescent="0.2">
      <c r="A10" s="517"/>
      <c r="B10" s="156"/>
      <c r="C10" s="39"/>
      <c r="D10" s="185"/>
      <c r="E10" s="185"/>
      <c r="F10" s="231">
        <f t="shared" ref="F10:F59" ca="1" si="0">IF(ISBLANK(G10),IF(ISERROR(DAYS360(TODAY(),E10))," ",(DAYS360(TODAY(),E10))),E10-G10)</f>
        <v>-43388</v>
      </c>
      <c r="G10" s="200"/>
      <c r="H10" s="38"/>
      <c r="I10" s="39"/>
      <c r="J10" s="38" t="str">
        <f t="shared" ref="J10:J59" ca="1" si="1">IF(G10&gt;0,"COMPLETED",(IF(I10&gt;0,"ISSUE IDENTIFIED",(IF(TODAY()&gt;E10,"OVERDUE","In Progress")))))</f>
        <v>OVERDUE</v>
      </c>
      <c r="K10" s="107"/>
    </row>
    <row r="11" spans="1:12" ht="15" x14ac:dyDescent="0.2">
      <c r="A11" s="517"/>
      <c r="B11" s="155"/>
      <c r="C11" s="152"/>
      <c r="D11" s="186"/>
      <c r="E11" s="186"/>
      <c r="F11" s="410">
        <f t="shared" ca="1" si="0"/>
        <v>-43388</v>
      </c>
      <c r="G11" s="219"/>
      <c r="H11" s="175"/>
      <c r="I11" s="152"/>
      <c r="J11" s="175" t="str">
        <f t="shared" ca="1" si="1"/>
        <v>OVERDUE</v>
      </c>
      <c r="K11" s="264"/>
    </row>
    <row r="12" spans="1:12" ht="15.75" customHeight="1" x14ac:dyDescent="0.2">
      <c r="A12" s="969" t="s">
        <v>130</v>
      </c>
      <c r="B12" s="520" t="s">
        <v>131</v>
      </c>
      <c r="C12" s="81"/>
      <c r="D12" s="171"/>
      <c r="E12" s="523"/>
      <c r="F12" s="411">
        <f t="shared" ca="1" si="0"/>
        <v>-43388</v>
      </c>
      <c r="G12" s="220"/>
      <c r="H12" s="116"/>
      <c r="I12" s="81"/>
      <c r="J12" s="116" t="str">
        <f ca="1">IF(AND(J13="completed",J14="completed",J15="completed",J16="completed"),"Deliverable Completed","DELIVERABLE STILL IN PROGRESS")</f>
        <v>DELIVERABLE STILL IN PROGRESS</v>
      </c>
      <c r="K12" s="107"/>
    </row>
    <row r="13" spans="1:12" ht="15" x14ac:dyDescent="0.2">
      <c r="A13" s="970"/>
      <c r="B13" s="156" t="s">
        <v>132</v>
      </c>
      <c r="C13" s="39"/>
      <c r="D13" s="185"/>
      <c r="E13" s="185"/>
      <c r="F13" s="231">
        <f t="shared" ca="1" si="0"/>
        <v>-43388</v>
      </c>
      <c r="G13" s="200"/>
      <c r="H13" s="38"/>
      <c r="I13" s="39"/>
      <c r="J13" s="394" t="str">
        <f t="shared" ref="J13:J15" ca="1" si="2">IF(G13&gt;0,"COMPLETED",(IF(I13&gt;0,"ISSUE IDENTIFIED",(IF(TODAY()&gt;E13,"OVERDUE","In Progress")))))</f>
        <v>OVERDUE</v>
      </c>
      <c r="K13" s="107"/>
    </row>
    <row r="14" spans="1:12" ht="15" x14ac:dyDescent="0.2">
      <c r="A14" s="970"/>
      <c r="B14" s="155" t="s">
        <v>133</v>
      </c>
      <c r="C14" s="39"/>
      <c r="D14" s="185"/>
      <c r="E14" s="185"/>
      <c r="F14" s="231">
        <f t="shared" ca="1" si="0"/>
        <v>-43388</v>
      </c>
      <c r="G14" s="200"/>
      <c r="H14" s="38"/>
      <c r="I14" s="39"/>
      <c r="J14" s="394" t="str">
        <f t="shared" ca="1" si="2"/>
        <v>OVERDUE</v>
      </c>
      <c r="K14" s="256"/>
    </row>
    <row r="15" spans="1:12" ht="15" x14ac:dyDescent="0.2">
      <c r="A15" s="970"/>
      <c r="B15" s="155" t="s">
        <v>134</v>
      </c>
      <c r="C15" s="39"/>
      <c r="D15" s="185"/>
      <c r="E15" s="185"/>
      <c r="F15" s="231">
        <f t="shared" ca="1" si="0"/>
        <v>-43388</v>
      </c>
      <c r="G15" s="200"/>
      <c r="H15" s="38"/>
      <c r="I15" s="39"/>
      <c r="J15" s="394" t="str">
        <f t="shared" ca="1" si="2"/>
        <v>OVERDUE</v>
      </c>
      <c r="K15" s="107"/>
    </row>
    <row r="16" spans="1:12" s="128" customFormat="1" ht="15" x14ac:dyDescent="0.2">
      <c r="A16" s="970"/>
      <c r="B16" s="148" t="s">
        <v>135</v>
      </c>
      <c r="C16" s="152"/>
      <c r="D16" s="186"/>
      <c r="E16" s="186"/>
      <c r="F16" s="410">
        <f t="shared" ca="1" si="0"/>
        <v>-43388</v>
      </c>
      <c r="G16" s="219"/>
      <c r="H16" s="175"/>
      <c r="I16" s="152"/>
      <c r="J16" s="527" t="str">
        <f ca="1">IF(G16&gt;0,"COMPLETED",(IF(I16&gt;0,"ISSUE IDENTIFIED",(IF(TODAY()&gt;E16,"OVERDUE","In Progress")))))</f>
        <v>OVERDUE</v>
      </c>
      <c r="K16" s="201"/>
    </row>
    <row r="17" spans="1:11" ht="15" x14ac:dyDescent="0.2">
      <c r="A17" s="970"/>
      <c r="B17" s="520" t="s">
        <v>136</v>
      </c>
      <c r="C17" s="81"/>
      <c r="D17" s="171"/>
      <c r="E17" s="523"/>
      <c r="F17" s="411">
        <f t="shared" ca="1" si="0"/>
        <v>-43388</v>
      </c>
      <c r="G17" s="220"/>
      <c r="H17" s="116"/>
      <c r="I17" s="81"/>
      <c r="J17" s="116" t="str">
        <f ca="1">IF(AND(J18="completed",J19="completed",J20="completed"),"Deliverable Completed","DELIVERABLE STILL IN PROGRESS")</f>
        <v>DELIVERABLE STILL IN PROGRESS</v>
      </c>
      <c r="K17" s="107"/>
    </row>
    <row r="18" spans="1:11" ht="25.5" x14ac:dyDescent="0.2">
      <c r="A18" s="970"/>
      <c r="B18" s="146" t="s">
        <v>137</v>
      </c>
      <c r="C18" s="39"/>
      <c r="D18" s="185"/>
      <c r="E18" s="185"/>
      <c r="F18" s="231">
        <f t="shared" ca="1" si="0"/>
        <v>-43388</v>
      </c>
      <c r="G18" s="200"/>
      <c r="H18" s="38"/>
      <c r="I18" s="39"/>
      <c r="J18" s="38" t="str">
        <f t="shared" ca="1" si="1"/>
        <v>OVERDUE</v>
      </c>
      <c r="K18" s="107"/>
    </row>
    <row r="19" spans="1:11" ht="15" x14ac:dyDescent="0.2">
      <c r="A19" s="970"/>
      <c r="B19" s="146" t="s">
        <v>138</v>
      </c>
      <c r="C19" s="39"/>
      <c r="D19" s="185"/>
      <c r="E19" s="185"/>
      <c r="F19" s="231">
        <f t="shared" ca="1" si="0"/>
        <v>-43388</v>
      </c>
      <c r="G19" s="200"/>
      <c r="H19" s="38"/>
      <c r="I19" s="39"/>
      <c r="J19" s="38" t="str">
        <f t="shared" ca="1" si="1"/>
        <v>OVERDUE</v>
      </c>
      <c r="K19" s="107"/>
    </row>
    <row r="20" spans="1:11" ht="15" x14ac:dyDescent="0.2">
      <c r="A20" s="970"/>
      <c r="B20" s="160" t="s">
        <v>139</v>
      </c>
      <c r="C20" s="152"/>
      <c r="D20" s="174"/>
      <c r="E20" s="186"/>
      <c r="F20" s="410">
        <f t="shared" ca="1" si="0"/>
        <v>-43388</v>
      </c>
      <c r="G20" s="219"/>
      <c r="H20" s="175"/>
      <c r="I20" s="152"/>
      <c r="J20" s="175" t="str">
        <f t="shared" ca="1" si="1"/>
        <v>OVERDUE</v>
      </c>
      <c r="K20" s="201"/>
    </row>
    <row r="21" spans="1:11" ht="15" x14ac:dyDescent="0.2">
      <c r="A21" s="970"/>
      <c r="B21" s="520" t="s">
        <v>140</v>
      </c>
      <c r="C21" s="81"/>
      <c r="D21" s="171"/>
      <c r="E21" s="523"/>
      <c r="F21" s="411">
        <f t="shared" ca="1" si="0"/>
        <v>-43388</v>
      </c>
      <c r="G21" s="220"/>
      <c r="H21" s="116"/>
      <c r="I21" s="81"/>
      <c r="J21" s="116" t="str">
        <f ca="1">IF(AND(J22="completed",J23="completed"),"Deliverable Completed","DELIVERABLE STILL IN PROGRESS")</f>
        <v>DELIVERABLE STILL IN PROGRESS</v>
      </c>
      <c r="K21" s="107"/>
    </row>
    <row r="22" spans="1:11" ht="15" x14ac:dyDescent="0.2">
      <c r="A22" s="970"/>
      <c r="B22" s="146" t="s">
        <v>141</v>
      </c>
      <c r="C22" s="39"/>
      <c r="D22" s="185"/>
      <c r="E22" s="185"/>
      <c r="F22" s="231">
        <f t="shared" ca="1" si="0"/>
        <v>-43388</v>
      </c>
      <c r="G22" s="200"/>
      <c r="H22" s="38"/>
      <c r="I22" s="39"/>
      <c r="J22" s="38" t="str">
        <f ca="1">IF(G22&gt;0,"COMPLETED",(IF(I22&gt;0,"ISSUE IDENTIFIED",(IF(TODAY()&gt;E22,"OVERDUE","In Progress")))))</f>
        <v>OVERDUE</v>
      </c>
      <c r="K22" s="107"/>
    </row>
    <row r="23" spans="1:11" ht="15" x14ac:dyDescent="0.2">
      <c r="A23" s="970"/>
      <c r="B23" s="183" t="s">
        <v>142</v>
      </c>
      <c r="C23" s="152"/>
      <c r="D23" s="174"/>
      <c r="E23" s="186"/>
      <c r="F23" s="410">
        <f t="shared" ca="1" si="0"/>
        <v>-43388</v>
      </c>
      <c r="G23" s="219"/>
      <c r="H23" s="175"/>
      <c r="I23" s="152"/>
      <c r="J23" s="175" t="str">
        <f ca="1">IF(G23&gt;0,"COMPLETED",(IF(I23&gt;0,"ISSUE IDENTIFIED",(IF(TODAY()&gt;E23,"OVERDUE","In Progress")))))</f>
        <v>OVERDUE</v>
      </c>
      <c r="K23" s="201"/>
    </row>
    <row r="24" spans="1:11" ht="15" x14ac:dyDescent="0.2">
      <c r="A24" s="970"/>
      <c r="B24" s="520" t="s">
        <v>143</v>
      </c>
      <c r="C24" s="81"/>
      <c r="D24" s="171"/>
      <c r="E24" s="523"/>
      <c r="F24" s="411">
        <f t="shared" ca="1" si="0"/>
        <v>-43388</v>
      </c>
      <c r="G24" s="220"/>
      <c r="H24" s="116"/>
      <c r="I24" s="81"/>
      <c r="J24" s="116" t="str">
        <f ca="1">IF(AND(J25="completed",J26="completed",J27="completed",J28="completed",J29="completed"),"Deliverable Completed","DELIVERABLE STILL IN PROGRESS")</f>
        <v>DELIVERABLE STILL IN PROGRESS</v>
      </c>
      <c r="K24" s="107"/>
    </row>
    <row r="25" spans="1:11" ht="15" x14ac:dyDescent="0.2">
      <c r="A25" s="970"/>
      <c r="B25" s="146" t="s">
        <v>144</v>
      </c>
      <c r="C25" s="39"/>
      <c r="D25" s="185"/>
      <c r="E25" s="185"/>
      <c r="F25" s="231">
        <f t="shared" ca="1" si="0"/>
        <v>-43388</v>
      </c>
      <c r="G25" s="200"/>
      <c r="H25" s="38"/>
      <c r="I25" s="39"/>
      <c r="J25" s="38" t="str">
        <f t="shared" ca="1" si="1"/>
        <v>OVERDUE</v>
      </c>
      <c r="K25" s="107"/>
    </row>
    <row r="26" spans="1:11" ht="15" x14ac:dyDescent="0.2">
      <c r="A26" s="970"/>
      <c r="B26" s="146" t="s">
        <v>145</v>
      </c>
      <c r="C26" s="39"/>
      <c r="D26" s="185"/>
      <c r="E26" s="185"/>
      <c r="F26" s="231">
        <f t="shared" ca="1" si="0"/>
        <v>-43388</v>
      </c>
      <c r="G26" s="200"/>
      <c r="H26" s="38"/>
      <c r="I26" s="39"/>
      <c r="J26" s="38" t="str">
        <f t="shared" ca="1" si="1"/>
        <v>OVERDUE</v>
      </c>
      <c r="K26" s="107"/>
    </row>
    <row r="27" spans="1:11" ht="15" customHeight="1" x14ac:dyDescent="0.2">
      <c r="A27" s="970"/>
      <c r="B27" s="146" t="s">
        <v>146</v>
      </c>
      <c r="C27" s="39"/>
      <c r="D27" s="185"/>
      <c r="E27" s="185"/>
      <c r="F27" s="231">
        <f t="shared" ca="1" si="0"/>
        <v>-43388</v>
      </c>
      <c r="G27" s="200"/>
      <c r="H27" s="38"/>
      <c r="I27" s="39"/>
      <c r="J27" s="38" t="str">
        <f t="shared" ca="1" si="1"/>
        <v>OVERDUE</v>
      </c>
      <c r="K27" s="107"/>
    </row>
    <row r="28" spans="1:11" ht="15" x14ac:dyDescent="0.2">
      <c r="A28" s="970"/>
      <c r="B28" s="146" t="s">
        <v>147</v>
      </c>
      <c r="C28" s="39"/>
      <c r="D28" s="185"/>
      <c r="E28" s="185"/>
      <c r="F28" s="231">
        <f t="shared" ca="1" si="0"/>
        <v>-43388</v>
      </c>
      <c r="G28" s="200"/>
      <c r="H28" s="38"/>
      <c r="I28" s="39"/>
      <c r="J28" s="38" t="str">
        <f t="shared" ca="1" si="1"/>
        <v>OVERDUE</v>
      </c>
      <c r="K28" s="107"/>
    </row>
    <row r="29" spans="1:11" ht="15" x14ac:dyDescent="0.2">
      <c r="A29" s="970"/>
      <c r="B29" s="160" t="s">
        <v>148</v>
      </c>
      <c r="C29" s="152"/>
      <c r="D29" s="174"/>
      <c r="E29" s="186"/>
      <c r="F29" s="410">
        <f t="shared" ca="1" si="0"/>
        <v>-43388</v>
      </c>
      <c r="G29" s="219"/>
      <c r="H29" s="175"/>
      <c r="I29" s="152"/>
      <c r="J29" s="175" t="str">
        <f t="shared" ca="1" si="1"/>
        <v>OVERDUE</v>
      </c>
      <c r="K29" s="201"/>
    </row>
    <row r="30" spans="1:11" ht="15" x14ac:dyDescent="0.2">
      <c r="A30" s="970"/>
      <c r="B30" s="520" t="s">
        <v>149</v>
      </c>
      <c r="C30" s="81"/>
      <c r="D30" s="171"/>
      <c r="E30" s="523"/>
      <c r="F30" s="411">
        <f t="shared" ca="1" si="0"/>
        <v>-43388</v>
      </c>
      <c r="G30" s="220"/>
      <c r="H30" s="116"/>
      <c r="I30" s="81"/>
      <c r="J30" s="116" t="str">
        <f ca="1">IF(AND(J32="completed",J33="completed",J34="completed",J35="completed"),"Deliverable Completed","DELIVERABLE STILL IN PROGRESS")</f>
        <v>DELIVERABLE STILL IN PROGRESS</v>
      </c>
      <c r="K30" s="107"/>
    </row>
    <row r="31" spans="1:11" ht="15" x14ac:dyDescent="0.2">
      <c r="A31" s="970"/>
      <c r="B31" s="192" t="s">
        <v>150</v>
      </c>
      <c r="C31" s="39"/>
      <c r="D31" s="185"/>
      <c r="E31" s="185"/>
      <c r="F31" s="231">
        <f t="shared" ca="1" si="0"/>
        <v>-43388</v>
      </c>
      <c r="G31" s="200"/>
      <c r="H31" s="38"/>
      <c r="I31" s="39"/>
      <c r="J31" s="38" t="str">
        <f t="shared" ref="J31:J35" ca="1" si="3">IF(G31&gt;0,"COMPLETED",(IF(I31&gt;0,"ISSUE IDENTIFIED",(IF(TODAY()&gt;E31,"OVERDUE","In Progress")))))</f>
        <v>OVERDUE</v>
      </c>
      <c r="K31" s="107"/>
    </row>
    <row r="32" spans="1:11" ht="15" x14ac:dyDescent="0.2">
      <c r="A32" s="970"/>
      <c r="B32" s="146" t="s">
        <v>151</v>
      </c>
      <c r="C32" s="39"/>
      <c r="D32" s="185"/>
      <c r="E32" s="185"/>
      <c r="F32" s="231">
        <f t="shared" ca="1" si="0"/>
        <v>-43388</v>
      </c>
      <c r="G32" s="200"/>
      <c r="H32" s="38"/>
      <c r="I32" s="39"/>
      <c r="J32" s="38" t="str">
        <f t="shared" ca="1" si="3"/>
        <v>OVERDUE</v>
      </c>
      <c r="K32" s="107"/>
    </row>
    <row r="33" spans="1:11" ht="25.5" x14ac:dyDescent="0.2">
      <c r="A33" s="970"/>
      <c r="B33" s="146" t="s">
        <v>152</v>
      </c>
      <c r="C33" s="39"/>
      <c r="D33" s="185"/>
      <c r="E33" s="185"/>
      <c r="F33" s="231">
        <f t="shared" ca="1" si="0"/>
        <v>-43388</v>
      </c>
      <c r="G33" s="200"/>
      <c r="H33" s="38"/>
      <c r="I33" s="39"/>
      <c r="J33" s="38" t="str">
        <f t="shared" ca="1" si="3"/>
        <v>OVERDUE</v>
      </c>
      <c r="K33" s="107"/>
    </row>
    <row r="34" spans="1:11" ht="15" x14ac:dyDescent="0.2">
      <c r="A34" s="970"/>
      <c r="B34" s="179" t="s">
        <v>153</v>
      </c>
      <c r="C34" s="39"/>
      <c r="D34" s="185"/>
      <c r="E34" s="185"/>
      <c r="F34" s="231">
        <f t="shared" ca="1" si="0"/>
        <v>-43388</v>
      </c>
      <c r="G34" s="200"/>
      <c r="H34" s="38"/>
      <c r="I34" s="39"/>
      <c r="J34" s="38" t="str">
        <f t="shared" ca="1" si="3"/>
        <v>OVERDUE</v>
      </c>
      <c r="K34" s="107"/>
    </row>
    <row r="35" spans="1:11" ht="15" x14ac:dyDescent="0.2">
      <c r="A35" s="971"/>
      <c r="B35" s="146" t="s">
        <v>154</v>
      </c>
      <c r="C35" s="152"/>
      <c r="D35" s="174"/>
      <c r="E35" s="193"/>
      <c r="F35" s="410">
        <f t="shared" ca="1" si="0"/>
        <v>-43388</v>
      </c>
      <c r="G35" s="219"/>
      <c r="H35" s="175"/>
      <c r="I35" s="152"/>
      <c r="J35" s="175" t="str">
        <f t="shared" ca="1" si="3"/>
        <v>OVERDUE</v>
      </c>
      <c r="K35" s="201"/>
    </row>
    <row r="36" spans="1:11" ht="16.5" customHeight="1" x14ac:dyDescent="0.2">
      <c r="A36" s="969" t="s">
        <v>155</v>
      </c>
      <c r="B36" s="520" t="s">
        <v>156</v>
      </c>
      <c r="C36" s="81"/>
      <c r="D36" s="171"/>
      <c r="E36" s="523"/>
      <c r="F36" s="411">
        <f t="shared" ca="1" si="0"/>
        <v>-43388</v>
      </c>
      <c r="G36" s="220"/>
      <c r="H36" s="116"/>
      <c r="I36" s="81"/>
      <c r="J36" s="116" t="str">
        <f ca="1">IF(AND(J37="completed",J38="completed",J39="completed",J40="completed",J41="completed"),"Deliverable Completed","DELIVERABLE STILL IN PROGRESS")</f>
        <v>DELIVERABLE STILL IN PROGRESS</v>
      </c>
      <c r="K36" s="107"/>
    </row>
    <row r="37" spans="1:11" ht="25.5" x14ac:dyDescent="0.2">
      <c r="A37" s="970"/>
      <c r="B37" s="146" t="s">
        <v>157</v>
      </c>
      <c r="C37" s="39"/>
      <c r="D37" s="185"/>
      <c r="E37" s="185"/>
      <c r="F37" s="231">
        <f t="shared" ca="1" si="0"/>
        <v>-43388</v>
      </c>
      <c r="G37" s="200"/>
      <c r="H37" s="38"/>
      <c r="I37" s="39"/>
      <c r="J37" s="38" t="str">
        <f t="shared" ca="1" si="1"/>
        <v>OVERDUE</v>
      </c>
      <c r="K37" s="107"/>
    </row>
    <row r="38" spans="1:11" ht="15" x14ac:dyDescent="0.2">
      <c r="A38" s="970"/>
      <c r="B38" s="146" t="s">
        <v>158</v>
      </c>
      <c r="C38" s="39"/>
      <c r="D38" s="185"/>
      <c r="E38" s="185"/>
      <c r="F38" s="231">
        <f t="shared" ca="1" si="0"/>
        <v>-43388</v>
      </c>
      <c r="G38" s="200"/>
      <c r="H38" s="38"/>
      <c r="I38" s="39"/>
      <c r="J38" s="38" t="str">
        <f t="shared" ca="1" si="1"/>
        <v>OVERDUE</v>
      </c>
      <c r="K38" s="107"/>
    </row>
    <row r="39" spans="1:11" ht="15" x14ac:dyDescent="0.2">
      <c r="A39" s="970"/>
      <c r="B39" s="146" t="s">
        <v>159</v>
      </c>
      <c r="C39" s="39"/>
      <c r="D39" s="185"/>
      <c r="E39" s="185"/>
      <c r="F39" s="231">
        <f t="shared" ca="1" si="0"/>
        <v>-43388</v>
      </c>
      <c r="G39" s="200"/>
      <c r="H39" s="38"/>
      <c r="I39" s="39"/>
      <c r="J39" s="38" t="str">
        <f t="shared" ca="1" si="1"/>
        <v>OVERDUE</v>
      </c>
      <c r="K39" s="256"/>
    </row>
    <row r="40" spans="1:11" ht="15" x14ac:dyDescent="0.2">
      <c r="A40" s="970"/>
      <c r="B40" s="146" t="s">
        <v>160</v>
      </c>
      <c r="C40" s="39"/>
      <c r="D40" s="185"/>
      <c r="E40" s="185"/>
      <c r="F40" s="231">
        <f t="shared" ca="1" si="0"/>
        <v>-43388</v>
      </c>
      <c r="G40" s="200"/>
      <c r="H40" s="38"/>
      <c r="I40" s="39"/>
      <c r="J40" s="38" t="str">
        <f t="shared" ca="1" si="1"/>
        <v>OVERDUE</v>
      </c>
      <c r="K40" s="107"/>
    </row>
    <row r="41" spans="1:11" ht="15" x14ac:dyDescent="0.2">
      <c r="A41" s="970"/>
      <c r="B41" s="160" t="s">
        <v>161</v>
      </c>
      <c r="C41" s="152"/>
      <c r="D41" s="186"/>
      <c r="E41" s="186"/>
      <c r="F41" s="410">
        <f t="shared" ca="1" si="0"/>
        <v>-43388</v>
      </c>
      <c r="G41" s="219"/>
      <c r="H41" s="175"/>
      <c r="I41" s="152"/>
      <c r="J41" s="175" t="str">
        <f t="shared" ca="1" si="1"/>
        <v>OVERDUE</v>
      </c>
      <c r="K41" s="201"/>
    </row>
    <row r="42" spans="1:11" ht="15" x14ac:dyDescent="0.2">
      <c r="A42" s="970"/>
      <c r="B42" s="520" t="s">
        <v>162</v>
      </c>
      <c r="C42" s="81"/>
      <c r="D42" s="171"/>
      <c r="E42" s="523"/>
      <c r="F42" s="411">
        <f t="shared" ca="1" si="0"/>
        <v>-43388</v>
      </c>
      <c r="G42" s="220"/>
      <c r="H42" s="116"/>
      <c r="I42" s="81"/>
      <c r="J42" s="116" t="str">
        <f ca="1">IF(AND(J43="completed",J44="completed",J45="completed",J46="completed",J47="completed",J48="completed",J49="completed"),"Deliverable Completed","DELIVERABLE STILL IN PROGRESS")</f>
        <v>DELIVERABLE STILL IN PROGRESS</v>
      </c>
      <c r="K42" s="107"/>
    </row>
    <row r="43" spans="1:11" ht="25.5" x14ac:dyDescent="0.2">
      <c r="A43" s="970"/>
      <c r="B43" s="146" t="s">
        <v>163</v>
      </c>
      <c r="C43" s="39"/>
      <c r="D43" s="185"/>
      <c r="E43" s="185"/>
      <c r="F43" s="231">
        <f t="shared" ca="1" si="0"/>
        <v>-43388</v>
      </c>
      <c r="G43" s="200"/>
      <c r="H43" s="38"/>
      <c r="I43" s="39"/>
      <c r="J43" s="38" t="str">
        <f t="shared" ca="1" si="1"/>
        <v>OVERDUE</v>
      </c>
      <c r="K43" s="107"/>
    </row>
    <row r="44" spans="1:11" ht="15" x14ac:dyDescent="0.2">
      <c r="A44" s="970"/>
      <c r="B44" s="146" t="s">
        <v>164</v>
      </c>
      <c r="C44" s="39"/>
      <c r="D44" s="185"/>
      <c r="E44" s="185"/>
      <c r="F44" s="231">
        <f t="shared" ca="1" si="0"/>
        <v>-43388</v>
      </c>
      <c r="G44" s="200"/>
      <c r="H44" s="38"/>
      <c r="I44" s="39"/>
      <c r="J44" s="38" t="str">
        <f t="shared" ca="1" si="1"/>
        <v>OVERDUE</v>
      </c>
      <c r="K44" s="107"/>
    </row>
    <row r="45" spans="1:11" x14ac:dyDescent="0.2">
      <c r="A45" s="970"/>
      <c r="B45" s="155" t="s">
        <v>165</v>
      </c>
      <c r="C45" s="39"/>
      <c r="D45" s="185"/>
      <c r="E45" s="185"/>
      <c r="F45" s="564">
        <f t="shared" ca="1" si="0"/>
        <v>-43388</v>
      </c>
      <c r="G45" s="200"/>
      <c r="H45" s="38"/>
      <c r="I45" s="39"/>
      <c r="J45" s="38" t="str">
        <f t="shared" ca="1" si="1"/>
        <v>OVERDUE</v>
      </c>
      <c r="K45" s="107"/>
    </row>
    <row r="46" spans="1:11" x14ac:dyDescent="0.2">
      <c r="A46" s="970"/>
      <c r="B46" s="155" t="s">
        <v>166</v>
      </c>
      <c r="C46" s="39"/>
      <c r="D46" s="185"/>
      <c r="E46" s="185"/>
      <c r="F46" s="564">
        <f t="shared" ca="1" si="0"/>
        <v>-43388</v>
      </c>
      <c r="G46" s="200"/>
      <c r="H46" s="38"/>
      <c r="I46" s="39"/>
      <c r="J46" s="38" t="str">
        <f t="shared" ca="1" si="1"/>
        <v>OVERDUE</v>
      </c>
      <c r="K46" s="107"/>
    </row>
    <row r="47" spans="1:11" x14ac:dyDescent="0.2">
      <c r="A47" s="970"/>
      <c r="B47" s="155" t="s">
        <v>167</v>
      </c>
      <c r="C47" s="39"/>
      <c r="D47" s="185"/>
      <c r="E47" s="185"/>
      <c r="F47" s="564">
        <f t="shared" ca="1" si="0"/>
        <v>-43388</v>
      </c>
      <c r="G47" s="200"/>
      <c r="H47" s="38"/>
      <c r="I47" s="39"/>
      <c r="J47" s="38" t="str">
        <f t="shared" ca="1" si="1"/>
        <v>OVERDUE</v>
      </c>
      <c r="K47" s="107"/>
    </row>
    <row r="48" spans="1:11" ht="15" x14ac:dyDescent="0.2">
      <c r="A48" s="970"/>
      <c r="B48" s="146" t="s">
        <v>168</v>
      </c>
      <c r="C48" s="39"/>
      <c r="D48" s="185"/>
      <c r="E48" s="185"/>
      <c r="F48" s="231">
        <f t="shared" ca="1" si="0"/>
        <v>-43388</v>
      </c>
      <c r="G48" s="200"/>
      <c r="H48" s="38"/>
      <c r="I48" s="39"/>
      <c r="J48" s="38" t="str">
        <f t="shared" ca="1" si="1"/>
        <v>OVERDUE</v>
      </c>
      <c r="K48" s="107"/>
    </row>
    <row r="49" spans="1:11" ht="15" x14ac:dyDescent="0.2">
      <c r="A49" s="970"/>
      <c r="B49" s="160" t="s">
        <v>169</v>
      </c>
      <c r="C49" s="152"/>
      <c r="D49" s="174"/>
      <c r="E49" s="186"/>
      <c r="F49" s="410">
        <f t="shared" ca="1" si="0"/>
        <v>-43388</v>
      </c>
      <c r="G49" s="219"/>
      <c r="H49" s="175"/>
      <c r="I49" s="152"/>
      <c r="J49" s="175" t="str">
        <f t="shared" ca="1" si="1"/>
        <v>OVERDUE</v>
      </c>
      <c r="K49" s="201"/>
    </row>
    <row r="50" spans="1:11" ht="15" x14ac:dyDescent="0.2">
      <c r="A50" s="970"/>
      <c r="B50" s="520" t="s">
        <v>170</v>
      </c>
      <c r="C50" s="81"/>
      <c r="D50" s="171"/>
      <c r="E50" s="524"/>
      <c r="F50" s="411">
        <f t="shared" ca="1" si="0"/>
        <v>-43388</v>
      </c>
      <c r="G50" s="220"/>
      <c r="H50" s="116"/>
      <c r="I50" s="81"/>
      <c r="J50" s="116" t="str">
        <f ca="1">IF(AND(J51="completed",J52="completed",J53="completed",J54="completed"),"Deliverable Completed","DELIVERABLE STILL IN PROGRESS")</f>
        <v>DELIVERABLE STILL IN PROGRESS</v>
      </c>
      <c r="K50" s="107"/>
    </row>
    <row r="51" spans="1:11" ht="15" x14ac:dyDescent="0.2">
      <c r="A51" s="970"/>
      <c r="B51" s="146" t="s">
        <v>171</v>
      </c>
      <c r="C51" s="39"/>
      <c r="D51" s="185"/>
      <c r="E51" s="185"/>
      <c r="F51" s="231">
        <f t="shared" ca="1" si="0"/>
        <v>-43388</v>
      </c>
      <c r="G51" s="200"/>
      <c r="H51" s="38"/>
      <c r="I51" s="39"/>
      <c r="J51" s="38" t="str">
        <f t="shared" ca="1" si="1"/>
        <v>OVERDUE</v>
      </c>
      <c r="K51" s="107"/>
    </row>
    <row r="52" spans="1:11" ht="15" x14ac:dyDescent="0.2">
      <c r="A52" s="970"/>
      <c r="B52" s="146" t="s">
        <v>172</v>
      </c>
      <c r="C52" s="39"/>
      <c r="D52" s="185"/>
      <c r="E52" s="185"/>
      <c r="F52" s="231">
        <f t="shared" ca="1" si="0"/>
        <v>-43388</v>
      </c>
      <c r="G52" s="200"/>
      <c r="H52" s="38"/>
      <c r="I52" s="39"/>
      <c r="J52" s="38" t="str">
        <f t="shared" ca="1" si="1"/>
        <v>OVERDUE</v>
      </c>
      <c r="K52" s="107"/>
    </row>
    <row r="53" spans="1:11" ht="15" x14ac:dyDescent="0.2">
      <c r="A53" s="970"/>
      <c r="B53" s="179" t="s">
        <v>173</v>
      </c>
      <c r="C53" s="39"/>
      <c r="D53" s="185"/>
      <c r="E53" s="185"/>
      <c r="F53" s="231">
        <f t="shared" ca="1" si="0"/>
        <v>-43388</v>
      </c>
      <c r="G53" s="200"/>
      <c r="H53" s="38"/>
      <c r="I53" s="39"/>
      <c r="J53" s="38" t="str">
        <f t="shared" ca="1" si="1"/>
        <v>OVERDUE</v>
      </c>
      <c r="K53" s="107"/>
    </row>
    <row r="54" spans="1:11" ht="15" x14ac:dyDescent="0.2">
      <c r="A54" s="970"/>
      <c r="B54" s="147" t="s">
        <v>174</v>
      </c>
      <c r="C54" s="216"/>
      <c r="D54" s="534"/>
      <c r="E54" s="534"/>
      <c r="F54" s="419">
        <f t="shared" ca="1" si="0"/>
        <v>-43388</v>
      </c>
      <c r="G54" s="219"/>
      <c r="H54" s="215"/>
      <c r="I54" s="216"/>
      <c r="J54" s="215" t="str">
        <f t="shared" ca="1" si="1"/>
        <v>OVERDUE</v>
      </c>
      <c r="K54" s="264"/>
    </row>
    <row r="55" spans="1:11" ht="15" x14ac:dyDescent="0.2">
      <c r="A55" s="970"/>
      <c r="B55" s="520" t="s">
        <v>175</v>
      </c>
      <c r="C55" s="145"/>
      <c r="D55" s="265"/>
      <c r="E55" s="265"/>
      <c r="F55" s="525">
        <f t="shared" ca="1" si="0"/>
        <v>-43388</v>
      </c>
      <c r="G55" s="177"/>
      <c r="H55" s="178"/>
      <c r="I55" s="180"/>
      <c r="J55" s="173" t="str">
        <f ca="1">IF(AND(J56="completed",J57="completed",J58="completed",J59="completed"),"Deliverable Completed","DELIVERABLE STILL IN PROGRESS")</f>
        <v>DELIVERABLE STILL IN PROGRESS</v>
      </c>
      <c r="K55" s="107"/>
    </row>
    <row r="56" spans="1:11" ht="15" x14ac:dyDescent="0.2">
      <c r="A56" s="970"/>
      <c r="B56" s="146" t="s">
        <v>176</v>
      </c>
      <c r="C56" s="39"/>
      <c r="D56" s="185"/>
      <c r="E56" s="185"/>
      <c r="F56" s="231">
        <f t="shared" ca="1" si="0"/>
        <v>-43388</v>
      </c>
      <c r="G56" s="200"/>
      <c r="H56" s="38"/>
      <c r="I56" s="38"/>
      <c r="J56" s="38" t="str">
        <f t="shared" ca="1" si="1"/>
        <v>OVERDUE</v>
      </c>
      <c r="K56" s="107"/>
    </row>
    <row r="57" spans="1:11" ht="15" x14ac:dyDescent="0.2">
      <c r="A57" s="970"/>
      <c r="B57" s="146" t="s">
        <v>177</v>
      </c>
      <c r="C57" s="39"/>
      <c r="D57" s="185"/>
      <c r="E57" s="185"/>
      <c r="F57" s="231">
        <f t="shared" ca="1" si="0"/>
        <v>-43388</v>
      </c>
      <c r="G57" s="200"/>
      <c r="H57" s="38"/>
      <c r="I57" s="38"/>
      <c r="J57" s="38" t="str">
        <f t="shared" ca="1" si="1"/>
        <v>OVERDUE</v>
      </c>
      <c r="K57" s="107"/>
    </row>
    <row r="58" spans="1:11" ht="15" x14ac:dyDescent="0.2">
      <c r="A58" s="970"/>
      <c r="B58" s="155" t="s">
        <v>178</v>
      </c>
      <c r="C58" s="39"/>
      <c r="D58" s="185"/>
      <c r="E58" s="185"/>
      <c r="F58" s="231">
        <f t="shared" ca="1" si="0"/>
        <v>-43388</v>
      </c>
      <c r="G58" s="200"/>
      <c r="H58" s="38"/>
      <c r="I58" s="38"/>
      <c r="J58" s="38" t="str">
        <f t="shared" ca="1" si="1"/>
        <v>OVERDUE</v>
      </c>
      <c r="K58" s="107"/>
    </row>
    <row r="59" spans="1:11" ht="15.75" thickBot="1" x14ac:dyDescent="0.25">
      <c r="A59" s="972"/>
      <c r="B59" s="288" t="s">
        <v>179</v>
      </c>
      <c r="C59" s="59"/>
      <c r="D59" s="272"/>
      <c r="E59" s="209"/>
      <c r="F59" s="526">
        <f t="shared" ca="1" si="0"/>
        <v>-43388</v>
      </c>
      <c r="G59" s="209"/>
      <c r="H59" s="59"/>
      <c r="I59" s="63"/>
      <c r="J59" s="212" t="str">
        <f t="shared" ca="1" si="1"/>
        <v>OVERDUE</v>
      </c>
      <c r="K59" s="66"/>
    </row>
    <row r="60" spans="1:11" x14ac:dyDescent="0.2">
      <c r="A60" s="644"/>
      <c r="B60" s="7"/>
      <c r="C60" s="3"/>
      <c r="D60" s="110"/>
      <c r="E60" s="110"/>
      <c r="F60" s="4"/>
      <c r="G60" s="133"/>
      <c r="H60" s="3"/>
      <c r="I60" s="7"/>
      <c r="J60" s="3"/>
      <c r="K60" s="3"/>
    </row>
    <row r="61" spans="1:11" x14ac:dyDescent="0.2">
      <c r="A61" s="644"/>
      <c r="B61" s="7"/>
      <c r="C61" s="3"/>
      <c r="D61" s="110"/>
      <c r="E61" s="110"/>
      <c r="F61" s="4"/>
      <c r="G61" s="133"/>
      <c r="H61" s="3"/>
      <c r="I61" s="7"/>
      <c r="J61" s="3"/>
      <c r="K61" s="3"/>
    </row>
    <row r="62" spans="1:11" x14ac:dyDescent="0.2">
      <c r="A62" s="645"/>
    </row>
    <row r="63" spans="1:11" x14ac:dyDescent="0.2">
      <c r="A63" s="645"/>
    </row>
    <row r="64" spans="1:11" x14ac:dyDescent="0.2">
      <c r="A64" s="645"/>
    </row>
    <row r="65" spans="1:1" x14ac:dyDescent="0.2">
      <c r="A65" s="645"/>
    </row>
    <row r="66" spans="1:1" x14ac:dyDescent="0.2">
      <c r="A66" s="645"/>
    </row>
    <row r="67" spans="1:1" x14ac:dyDescent="0.2">
      <c r="A67" s="645"/>
    </row>
    <row r="68" spans="1:1" x14ac:dyDescent="0.2">
      <c r="A68" s="645"/>
    </row>
    <row r="69" spans="1:1" x14ac:dyDescent="0.2">
      <c r="A69" s="645"/>
    </row>
    <row r="70" spans="1:1" x14ac:dyDescent="0.2">
      <c r="A70" s="645"/>
    </row>
    <row r="71" spans="1:1" x14ac:dyDescent="0.2">
      <c r="A71" s="645"/>
    </row>
    <row r="72" spans="1:1" x14ac:dyDescent="0.2">
      <c r="A72" s="645"/>
    </row>
    <row r="73" spans="1:1" x14ac:dyDescent="0.2">
      <c r="A73" s="645"/>
    </row>
    <row r="74" spans="1:1" x14ac:dyDescent="0.2">
      <c r="A74" s="645"/>
    </row>
    <row r="75" spans="1:1" x14ac:dyDescent="0.2">
      <c r="A75" s="645"/>
    </row>
    <row r="76" spans="1:1" x14ac:dyDescent="0.2">
      <c r="A76" s="645"/>
    </row>
    <row r="77" spans="1:1" x14ac:dyDescent="0.2">
      <c r="A77" s="645"/>
    </row>
    <row r="78" spans="1:1" x14ac:dyDescent="0.2">
      <c r="A78" s="645"/>
    </row>
    <row r="79" spans="1:1" x14ac:dyDescent="0.2">
      <c r="A79" s="645"/>
    </row>
  </sheetData>
  <sheetProtection algorithmName="SHA-512" hashValue="hmgQBYNprRkXrKDxQWlEiGMfSioQbxxnMkLtMGlw+z/VcwTaAkBjGMcs/fw+l4tyNbsFCpaSaPS0bL/6aLTBdQ==" saltValue="76PEl8rmIZZfGkN4Rwrtfw==" spinCount="100000" sheet="1" insertRows="0" deleteRows="0" sort="0" autoFilter="0"/>
  <mergeCells count="3">
    <mergeCell ref="A1:K1"/>
    <mergeCell ref="A36:A59"/>
    <mergeCell ref="A12:A35"/>
  </mergeCells>
  <conditionalFormatting sqref="F9:F150">
    <cfRule type="cellIs" dxfId="139" priority="2" stopIfTrue="1" operator="lessThan">
      <formula>-1000</formula>
    </cfRule>
  </conditionalFormatting>
  <conditionalFormatting sqref="D9:E59">
    <cfRule type="cellIs" dxfId="138" priority="1" operator="equal">
      <formula>0</formula>
    </cfRule>
  </conditionalFormatting>
  <conditionalFormatting sqref="J9:J150">
    <cfRule type="cellIs" dxfId="137" priority="7" stopIfTrue="1" operator="equal">
      <formula>"OVERDUE"</formula>
    </cfRule>
    <cfRule type="cellIs" dxfId="136" priority="8" stopIfTrue="1" operator="equal">
      <formula>"COMPLETED"</formula>
    </cfRule>
    <cfRule type="cellIs" dxfId="135" priority="9" stopIfTrue="1" operator="equal">
      <formula>"ISSUE IDENTIFIED"</formula>
    </cfRule>
    <cfRule type="containsText" dxfId="134" priority="12" operator="containsText" text="DELIVERABLE STILL IN PROGRESS">
      <formula>NOT(ISERROR(SEARCH("DELIVERABLE STILL IN PROGRESS",J9)))</formula>
    </cfRule>
    <cfRule type="containsText" dxfId="133" priority="13" operator="containsText" text="DELIVERABLE COMPLETED">
      <formula>NOT(ISERROR(SEARCH("DELIVERABLE COMPLETED",J9)))</formula>
    </cfRule>
  </conditionalFormatting>
  <printOptions horizontalCentered="1"/>
  <pageMargins left="0.25" right="0.25" top="0.5" bottom="0.75" header="0.25" footer="0.5"/>
  <pageSetup scale="46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A789A-8456-4B01-93C2-F53BD655A318}">
  <sheetPr codeName="Sheet24">
    <tabColor rgb="FF0C3964"/>
    <pageSetUpPr fitToPage="1"/>
  </sheetPr>
  <dimension ref="A1:L88"/>
  <sheetViews>
    <sheetView showGridLines="0" zoomScaleNormal="100" zoomScalePageLayoutView="110" workbookViewId="0">
      <pane xSplit="3" ySplit="8" topLeftCell="J85" activePane="bottomRight" state="frozen"/>
      <selection pane="topRight" activeCell="D1" sqref="D1"/>
      <selection pane="bottomLeft" activeCell="A9" sqref="A9"/>
      <selection pane="bottomRight" activeCell="B3" sqref="B3"/>
    </sheetView>
  </sheetViews>
  <sheetFormatPr defaultColWidth="8.85546875" defaultRowHeight="12.75" x14ac:dyDescent="0.2"/>
  <cols>
    <col min="1" max="1" width="18.42578125" style="25" bestFit="1" customWidth="1"/>
    <col min="2" max="2" width="87.7109375" style="27" customWidth="1"/>
    <col min="3" max="3" width="32.85546875" style="25" customWidth="1"/>
    <col min="4" max="7" width="13.7109375" style="5" customWidth="1"/>
    <col min="8" max="8" width="28" style="25" customWidth="1"/>
    <col min="9" max="9" width="28.42578125" style="27" bestFit="1" customWidth="1"/>
    <col min="10" max="10" width="33.42578125" style="25" bestFit="1" customWidth="1"/>
    <col min="11" max="11" width="40.42578125" style="25" customWidth="1"/>
    <col min="12" max="12" width="15.42578125" style="25" customWidth="1"/>
    <col min="13" max="13" width="7" style="25" customWidth="1"/>
    <col min="14" max="256" width="8.85546875" style="25"/>
    <col min="257" max="257" width="10.42578125" style="25" customWidth="1"/>
    <col min="258" max="258" width="50.42578125" style="25" customWidth="1"/>
    <col min="259" max="259" width="15.42578125" style="25" customWidth="1"/>
    <col min="260" max="263" width="10.42578125" style="25" customWidth="1"/>
    <col min="264" max="265" width="12.42578125" style="25" customWidth="1"/>
    <col min="266" max="266" width="15.42578125" style="25" customWidth="1"/>
    <col min="267" max="267" width="40.42578125" style="25" customWidth="1"/>
    <col min="268" max="268" width="15.42578125" style="25" customWidth="1"/>
    <col min="269" max="512" width="8.85546875" style="25"/>
    <col min="513" max="513" width="10.42578125" style="25" customWidth="1"/>
    <col min="514" max="514" width="50.42578125" style="25" customWidth="1"/>
    <col min="515" max="515" width="15.42578125" style="25" customWidth="1"/>
    <col min="516" max="519" width="10.42578125" style="25" customWidth="1"/>
    <col min="520" max="521" width="12.42578125" style="25" customWidth="1"/>
    <col min="522" max="522" width="15.42578125" style="25" customWidth="1"/>
    <col min="523" max="523" width="40.42578125" style="25" customWidth="1"/>
    <col min="524" max="524" width="15.42578125" style="25" customWidth="1"/>
    <col min="525" max="768" width="8.85546875" style="25"/>
    <col min="769" max="769" width="10.42578125" style="25" customWidth="1"/>
    <col min="770" max="770" width="50.42578125" style="25" customWidth="1"/>
    <col min="771" max="771" width="15.42578125" style="25" customWidth="1"/>
    <col min="772" max="775" width="10.42578125" style="25" customWidth="1"/>
    <col min="776" max="777" width="12.42578125" style="25" customWidth="1"/>
    <col min="778" max="778" width="15.42578125" style="25" customWidth="1"/>
    <col min="779" max="779" width="40.42578125" style="25" customWidth="1"/>
    <col min="780" max="780" width="15.42578125" style="25" customWidth="1"/>
    <col min="781" max="1024" width="8.85546875" style="25"/>
    <col min="1025" max="1025" width="10.42578125" style="25" customWidth="1"/>
    <col min="1026" max="1026" width="50.42578125" style="25" customWidth="1"/>
    <col min="1027" max="1027" width="15.42578125" style="25" customWidth="1"/>
    <col min="1028" max="1031" width="10.42578125" style="25" customWidth="1"/>
    <col min="1032" max="1033" width="12.42578125" style="25" customWidth="1"/>
    <col min="1034" max="1034" width="15.42578125" style="25" customWidth="1"/>
    <col min="1035" max="1035" width="40.42578125" style="25" customWidth="1"/>
    <col min="1036" max="1036" width="15.42578125" style="25" customWidth="1"/>
    <col min="1037" max="1280" width="8.85546875" style="25"/>
    <col min="1281" max="1281" width="10.42578125" style="25" customWidth="1"/>
    <col min="1282" max="1282" width="50.42578125" style="25" customWidth="1"/>
    <col min="1283" max="1283" width="15.42578125" style="25" customWidth="1"/>
    <col min="1284" max="1287" width="10.42578125" style="25" customWidth="1"/>
    <col min="1288" max="1289" width="12.42578125" style="25" customWidth="1"/>
    <col min="1290" max="1290" width="15.42578125" style="25" customWidth="1"/>
    <col min="1291" max="1291" width="40.42578125" style="25" customWidth="1"/>
    <col min="1292" max="1292" width="15.42578125" style="25" customWidth="1"/>
    <col min="1293" max="1536" width="8.85546875" style="25"/>
    <col min="1537" max="1537" width="10.42578125" style="25" customWidth="1"/>
    <col min="1538" max="1538" width="50.42578125" style="25" customWidth="1"/>
    <col min="1539" max="1539" width="15.42578125" style="25" customWidth="1"/>
    <col min="1540" max="1543" width="10.42578125" style="25" customWidth="1"/>
    <col min="1544" max="1545" width="12.42578125" style="25" customWidth="1"/>
    <col min="1546" max="1546" width="15.42578125" style="25" customWidth="1"/>
    <col min="1547" max="1547" width="40.42578125" style="25" customWidth="1"/>
    <col min="1548" max="1548" width="15.42578125" style="25" customWidth="1"/>
    <col min="1549" max="1792" width="8.85546875" style="25"/>
    <col min="1793" max="1793" width="10.42578125" style="25" customWidth="1"/>
    <col min="1794" max="1794" width="50.42578125" style="25" customWidth="1"/>
    <col min="1795" max="1795" width="15.42578125" style="25" customWidth="1"/>
    <col min="1796" max="1799" width="10.42578125" style="25" customWidth="1"/>
    <col min="1800" max="1801" width="12.42578125" style="25" customWidth="1"/>
    <col min="1802" max="1802" width="15.42578125" style="25" customWidth="1"/>
    <col min="1803" max="1803" width="40.42578125" style="25" customWidth="1"/>
    <col min="1804" max="1804" width="15.42578125" style="25" customWidth="1"/>
    <col min="1805" max="2048" width="8.85546875" style="25"/>
    <col min="2049" max="2049" width="10.42578125" style="25" customWidth="1"/>
    <col min="2050" max="2050" width="50.42578125" style="25" customWidth="1"/>
    <col min="2051" max="2051" width="15.42578125" style="25" customWidth="1"/>
    <col min="2052" max="2055" width="10.42578125" style="25" customWidth="1"/>
    <col min="2056" max="2057" width="12.42578125" style="25" customWidth="1"/>
    <col min="2058" max="2058" width="15.42578125" style="25" customWidth="1"/>
    <col min="2059" max="2059" width="40.42578125" style="25" customWidth="1"/>
    <col min="2060" max="2060" width="15.42578125" style="25" customWidth="1"/>
    <col min="2061" max="2304" width="8.85546875" style="25"/>
    <col min="2305" max="2305" width="10.42578125" style="25" customWidth="1"/>
    <col min="2306" max="2306" width="50.42578125" style="25" customWidth="1"/>
    <col min="2307" max="2307" width="15.42578125" style="25" customWidth="1"/>
    <col min="2308" max="2311" width="10.42578125" style="25" customWidth="1"/>
    <col min="2312" max="2313" width="12.42578125" style="25" customWidth="1"/>
    <col min="2314" max="2314" width="15.42578125" style="25" customWidth="1"/>
    <col min="2315" max="2315" width="40.42578125" style="25" customWidth="1"/>
    <col min="2316" max="2316" width="15.42578125" style="25" customWidth="1"/>
    <col min="2317" max="2560" width="8.85546875" style="25"/>
    <col min="2561" max="2561" width="10.42578125" style="25" customWidth="1"/>
    <col min="2562" max="2562" width="50.42578125" style="25" customWidth="1"/>
    <col min="2563" max="2563" width="15.42578125" style="25" customWidth="1"/>
    <col min="2564" max="2567" width="10.42578125" style="25" customWidth="1"/>
    <col min="2568" max="2569" width="12.42578125" style="25" customWidth="1"/>
    <col min="2570" max="2570" width="15.42578125" style="25" customWidth="1"/>
    <col min="2571" max="2571" width="40.42578125" style="25" customWidth="1"/>
    <col min="2572" max="2572" width="15.42578125" style="25" customWidth="1"/>
    <col min="2573" max="2816" width="8.85546875" style="25"/>
    <col min="2817" max="2817" width="10.42578125" style="25" customWidth="1"/>
    <col min="2818" max="2818" width="50.42578125" style="25" customWidth="1"/>
    <col min="2819" max="2819" width="15.42578125" style="25" customWidth="1"/>
    <col min="2820" max="2823" width="10.42578125" style="25" customWidth="1"/>
    <col min="2824" max="2825" width="12.42578125" style="25" customWidth="1"/>
    <col min="2826" max="2826" width="15.42578125" style="25" customWidth="1"/>
    <col min="2827" max="2827" width="40.42578125" style="25" customWidth="1"/>
    <col min="2828" max="2828" width="15.42578125" style="25" customWidth="1"/>
    <col min="2829" max="3072" width="8.85546875" style="25"/>
    <col min="3073" max="3073" width="10.42578125" style="25" customWidth="1"/>
    <col min="3074" max="3074" width="50.42578125" style="25" customWidth="1"/>
    <col min="3075" max="3075" width="15.42578125" style="25" customWidth="1"/>
    <col min="3076" max="3079" width="10.42578125" style="25" customWidth="1"/>
    <col min="3080" max="3081" width="12.42578125" style="25" customWidth="1"/>
    <col min="3082" max="3082" width="15.42578125" style="25" customWidth="1"/>
    <col min="3083" max="3083" width="40.42578125" style="25" customWidth="1"/>
    <col min="3084" max="3084" width="15.42578125" style="25" customWidth="1"/>
    <col min="3085" max="3328" width="8.85546875" style="25"/>
    <col min="3329" max="3329" width="10.42578125" style="25" customWidth="1"/>
    <col min="3330" max="3330" width="50.42578125" style="25" customWidth="1"/>
    <col min="3331" max="3331" width="15.42578125" style="25" customWidth="1"/>
    <col min="3332" max="3335" width="10.42578125" style="25" customWidth="1"/>
    <col min="3336" max="3337" width="12.42578125" style="25" customWidth="1"/>
    <col min="3338" max="3338" width="15.42578125" style="25" customWidth="1"/>
    <col min="3339" max="3339" width="40.42578125" style="25" customWidth="1"/>
    <col min="3340" max="3340" width="15.42578125" style="25" customWidth="1"/>
    <col min="3341" max="3584" width="8.85546875" style="25"/>
    <col min="3585" max="3585" width="10.42578125" style="25" customWidth="1"/>
    <col min="3586" max="3586" width="50.42578125" style="25" customWidth="1"/>
    <col min="3587" max="3587" width="15.42578125" style="25" customWidth="1"/>
    <col min="3588" max="3591" width="10.42578125" style="25" customWidth="1"/>
    <col min="3592" max="3593" width="12.42578125" style="25" customWidth="1"/>
    <col min="3594" max="3594" width="15.42578125" style="25" customWidth="1"/>
    <col min="3595" max="3595" width="40.42578125" style="25" customWidth="1"/>
    <col min="3596" max="3596" width="15.42578125" style="25" customWidth="1"/>
    <col min="3597" max="3840" width="8.85546875" style="25"/>
    <col min="3841" max="3841" width="10.42578125" style="25" customWidth="1"/>
    <col min="3842" max="3842" width="50.42578125" style="25" customWidth="1"/>
    <col min="3843" max="3843" width="15.42578125" style="25" customWidth="1"/>
    <col min="3844" max="3847" width="10.42578125" style="25" customWidth="1"/>
    <col min="3848" max="3849" width="12.42578125" style="25" customWidth="1"/>
    <col min="3850" max="3850" width="15.42578125" style="25" customWidth="1"/>
    <col min="3851" max="3851" width="40.42578125" style="25" customWidth="1"/>
    <col min="3852" max="3852" width="15.42578125" style="25" customWidth="1"/>
    <col min="3853" max="4096" width="8.85546875" style="25"/>
    <col min="4097" max="4097" width="10.42578125" style="25" customWidth="1"/>
    <col min="4098" max="4098" width="50.42578125" style="25" customWidth="1"/>
    <col min="4099" max="4099" width="15.42578125" style="25" customWidth="1"/>
    <col min="4100" max="4103" width="10.42578125" style="25" customWidth="1"/>
    <col min="4104" max="4105" width="12.42578125" style="25" customWidth="1"/>
    <col min="4106" max="4106" width="15.42578125" style="25" customWidth="1"/>
    <col min="4107" max="4107" width="40.42578125" style="25" customWidth="1"/>
    <col min="4108" max="4108" width="15.42578125" style="25" customWidth="1"/>
    <col min="4109" max="4352" width="8.85546875" style="25"/>
    <col min="4353" max="4353" width="10.42578125" style="25" customWidth="1"/>
    <col min="4354" max="4354" width="50.42578125" style="25" customWidth="1"/>
    <col min="4355" max="4355" width="15.42578125" style="25" customWidth="1"/>
    <col min="4356" max="4359" width="10.42578125" style="25" customWidth="1"/>
    <col min="4360" max="4361" width="12.42578125" style="25" customWidth="1"/>
    <col min="4362" max="4362" width="15.42578125" style="25" customWidth="1"/>
    <col min="4363" max="4363" width="40.42578125" style="25" customWidth="1"/>
    <col min="4364" max="4364" width="15.42578125" style="25" customWidth="1"/>
    <col min="4365" max="4608" width="8.85546875" style="25"/>
    <col min="4609" max="4609" width="10.42578125" style="25" customWidth="1"/>
    <col min="4610" max="4610" width="50.42578125" style="25" customWidth="1"/>
    <col min="4611" max="4611" width="15.42578125" style="25" customWidth="1"/>
    <col min="4612" max="4615" width="10.42578125" style="25" customWidth="1"/>
    <col min="4616" max="4617" width="12.42578125" style="25" customWidth="1"/>
    <col min="4618" max="4618" width="15.42578125" style="25" customWidth="1"/>
    <col min="4619" max="4619" width="40.42578125" style="25" customWidth="1"/>
    <col min="4620" max="4620" width="15.42578125" style="25" customWidth="1"/>
    <col min="4621" max="4864" width="8.85546875" style="25"/>
    <col min="4865" max="4865" width="10.42578125" style="25" customWidth="1"/>
    <col min="4866" max="4866" width="50.42578125" style="25" customWidth="1"/>
    <col min="4867" max="4867" width="15.42578125" style="25" customWidth="1"/>
    <col min="4868" max="4871" width="10.42578125" style="25" customWidth="1"/>
    <col min="4872" max="4873" width="12.42578125" style="25" customWidth="1"/>
    <col min="4874" max="4874" width="15.42578125" style="25" customWidth="1"/>
    <col min="4875" max="4875" width="40.42578125" style="25" customWidth="1"/>
    <col min="4876" max="4876" width="15.42578125" style="25" customWidth="1"/>
    <col min="4877" max="5120" width="8.85546875" style="25"/>
    <col min="5121" max="5121" width="10.42578125" style="25" customWidth="1"/>
    <col min="5122" max="5122" width="50.42578125" style="25" customWidth="1"/>
    <col min="5123" max="5123" width="15.42578125" style="25" customWidth="1"/>
    <col min="5124" max="5127" width="10.42578125" style="25" customWidth="1"/>
    <col min="5128" max="5129" width="12.42578125" style="25" customWidth="1"/>
    <col min="5130" max="5130" width="15.42578125" style="25" customWidth="1"/>
    <col min="5131" max="5131" width="40.42578125" style="25" customWidth="1"/>
    <col min="5132" max="5132" width="15.42578125" style="25" customWidth="1"/>
    <col min="5133" max="5376" width="8.85546875" style="25"/>
    <col min="5377" max="5377" width="10.42578125" style="25" customWidth="1"/>
    <col min="5378" max="5378" width="50.42578125" style="25" customWidth="1"/>
    <col min="5379" max="5379" width="15.42578125" style="25" customWidth="1"/>
    <col min="5380" max="5383" width="10.42578125" style="25" customWidth="1"/>
    <col min="5384" max="5385" width="12.42578125" style="25" customWidth="1"/>
    <col min="5386" max="5386" width="15.42578125" style="25" customWidth="1"/>
    <col min="5387" max="5387" width="40.42578125" style="25" customWidth="1"/>
    <col min="5388" max="5388" width="15.42578125" style="25" customWidth="1"/>
    <col min="5389" max="5632" width="8.85546875" style="25"/>
    <col min="5633" max="5633" width="10.42578125" style="25" customWidth="1"/>
    <col min="5634" max="5634" width="50.42578125" style="25" customWidth="1"/>
    <col min="5635" max="5635" width="15.42578125" style="25" customWidth="1"/>
    <col min="5636" max="5639" width="10.42578125" style="25" customWidth="1"/>
    <col min="5640" max="5641" width="12.42578125" style="25" customWidth="1"/>
    <col min="5642" max="5642" width="15.42578125" style="25" customWidth="1"/>
    <col min="5643" max="5643" width="40.42578125" style="25" customWidth="1"/>
    <col min="5644" max="5644" width="15.42578125" style="25" customWidth="1"/>
    <col min="5645" max="5888" width="8.85546875" style="25"/>
    <col min="5889" max="5889" width="10.42578125" style="25" customWidth="1"/>
    <col min="5890" max="5890" width="50.42578125" style="25" customWidth="1"/>
    <col min="5891" max="5891" width="15.42578125" style="25" customWidth="1"/>
    <col min="5892" max="5895" width="10.42578125" style="25" customWidth="1"/>
    <col min="5896" max="5897" width="12.42578125" style="25" customWidth="1"/>
    <col min="5898" max="5898" width="15.42578125" style="25" customWidth="1"/>
    <col min="5899" max="5899" width="40.42578125" style="25" customWidth="1"/>
    <col min="5900" max="5900" width="15.42578125" style="25" customWidth="1"/>
    <col min="5901" max="6144" width="8.85546875" style="25"/>
    <col min="6145" max="6145" width="10.42578125" style="25" customWidth="1"/>
    <col min="6146" max="6146" width="50.42578125" style="25" customWidth="1"/>
    <col min="6147" max="6147" width="15.42578125" style="25" customWidth="1"/>
    <col min="6148" max="6151" width="10.42578125" style="25" customWidth="1"/>
    <col min="6152" max="6153" width="12.42578125" style="25" customWidth="1"/>
    <col min="6154" max="6154" width="15.42578125" style="25" customWidth="1"/>
    <col min="6155" max="6155" width="40.42578125" style="25" customWidth="1"/>
    <col min="6156" max="6156" width="15.42578125" style="25" customWidth="1"/>
    <col min="6157" max="6400" width="8.85546875" style="25"/>
    <col min="6401" max="6401" width="10.42578125" style="25" customWidth="1"/>
    <col min="6402" max="6402" width="50.42578125" style="25" customWidth="1"/>
    <col min="6403" max="6403" width="15.42578125" style="25" customWidth="1"/>
    <col min="6404" max="6407" width="10.42578125" style="25" customWidth="1"/>
    <col min="6408" max="6409" width="12.42578125" style="25" customWidth="1"/>
    <col min="6410" max="6410" width="15.42578125" style="25" customWidth="1"/>
    <col min="6411" max="6411" width="40.42578125" style="25" customWidth="1"/>
    <col min="6412" max="6412" width="15.42578125" style="25" customWidth="1"/>
    <col min="6413" max="6656" width="8.85546875" style="25"/>
    <col min="6657" max="6657" width="10.42578125" style="25" customWidth="1"/>
    <col min="6658" max="6658" width="50.42578125" style="25" customWidth="1"/>
    <col min="6659" max="6659" width="15.42578125" style="25" customWidth="1"/>
    <col min="6660" max="6663" width="10.42578125" style="25" customWidth="1"/>
    <col min="6664" max="6665" width="12.42578125" style="25" customWidth="1"/>
    <col min="6666" max="6666" width="15.42578125" style="25" customWidth="1"/>
    <col min="6667" max="6667" width="40.42578125" style="25" customWidth="1"/>
    <col min="6668" max="6668" width="15.42578125" style="25" customWidth="1"/>
    <col min="6669" max="6912" width="8.85546875" style="25"/>
    <col min="6913" max="6913" width="10.42578125" style="25" customWidth="1"/>
    <col min="6914" max="6914" width="50.42578125" style="25" customWidth="1"/>
    <col min="6915" max="6915" width="15.42578125" style="25" customWidth="1"/>
    <col min="6916" max="6919" width="10.42578125" style="25" customWidth="1"/>
    <col min="6920" max="6921" width="12.42578125" style="25" customWidth="1"/>
    <col min="6922" max="6922" width="15.42578125" style="25" customWidth="1"/>
    <col min="6923" max="6923" width="40.42578125" style="25" customWidth="1"/>
    <col min="6924" max="6924" width="15.42578125" style="25" customWidth="1"/>
    <col min="6925" max="7168" width="8.85546875" style="25"/>
    <col min="7169" max="7169" width="10.42578125" style="25" customWidth="1"/>
    <col min="7170" max="7170" width="50.42578125" style="25" customWidth="1"/>
    <col min="7171" max="7171" width="15.42578125" style="25" customWidth="1"/>
    <col min="7172" max="7175" width="10.42578125" style="25" customWidth="1"/>
    <col min="7176" max="7177" width="12.42578125" style="25" customWidth="1"/>
    <col min="7178" max="7178" width="15.42578125" style="25" customWidth="1"/>
    <col min="7179" max="7179" width="40.42578125" style="25" customWidth="1"/>
    <col min="7180" max="7180" width="15.42578125" style="25" customWidth="1"/>
    <col min="7181" max="7424" width="8.85546875" style="25"/>
    <col min="7425" max="7425" width="10.42578125" style="25" customWidth="1"/>
    <col min="7426" max="7426" width="50.42578125" style="25" customWidth="1"/>
    <col min="7427" max="7427" width="15.42578125" style="25" customWidth="1"/>
    <col min="7428" max="7431" width="10.42578125" style="25" customWidth="1"/>
    <col min="7432" max="7433" width="12.42578125" style="25" customWidth="1"/>
    <col min="7434" max="7434" width="15.42578125" style="25" customWidth="1"/>
    <col min="7435" max="7435" width="40.42578125" style="25" customWidth="1"/>
    <col min="7436" max="7436" width="15.42578125" style="25" customWidth="1"/>
    <col min="7437" max="7680" width="8.85546875" style="25"/>
    <col min="7681" max="7681" width="10.42578125" style="25" customWidth="1"/>
    <col min="7682" max="7682" width="50.42578125" style="25" customWidth="1"/>
    <col min="7683" max="7683" width="15.42578125" style="25" customWidth="1"/>
    <col min="7684" max="7687" width="10.42578125" style="25" customWidth="1"/>
    <col min="7688" max="7689" width="12.42578125" style="25" customWidth="1"/>
    <col min="7690" max="7690" width="15.42578125" style="25" customWidth="1"/>
    <col min="7691" max="7691" width="40.42578125" style="25" customWidth="1"/>
    <col min="7692" max="7692" width="15.42578125" style="25" customWidth="1"/>
    <col min="7693" max="7936" width="8.85546875" style="25"/>
    <col min="7937" max="7937" width="10.42578125" style="25" customWidth="1"/>
    <col min="7938" max="7938" width="50.42578125" style="25" customWidth="1"/>
    <col min="7939" max="7939" width="15.42578125" style="25" customWidth="1"/>
    <col min="7940" max="7943" width="10.42578125" style="25" customWidth="1"/>
    <col min="7944" max="7945" width="12.42578125" style="25" customWidth="1"/>
    <col min="7946" max="7946" width="15.42578125" style="25" customWidth="1"/>
    <col min="7947" max="7947" width="40.42578125" style="25" customWidth="1"/>
    <col min="7948" max="7948" width="15.42578125" style="25" customWidth="1"/>
    <col min="7949" max="8192" width="8.85546875" style="25"/>
    <col min="8193" max="8193" width="10.42578125" style="25" customWidth="1"/>
    <col min="8194" max="8194" width="50.42578125" style="25" customWidth="1"/>
    <col min="8195" max="8195" width="15.42578125" style="25" customWidth="1"/>
    <col min="8196" max="8199" width="10.42578125" style="25" customWidth="1"/>
    <col min="8200" max="8201" width="12.42578125" style="25" customWidth="1"/>
    <col min="8202" max="8202" width="15.42578125" style="25" customWidth="1"/>
    <col min="8203" max="8203" width="40.42578125" style="25" customWidth="1"/>
    <col min="8204" max="8204" width="15.42578125" style="25" customWidth="1"/>
    <col min="8205" max="8448" width="8.85546875" style="25"/>
    <col min="8449" max="8449" width="10.42578125" style="25" customWidth="1"/>
    <col min="8450" max="8450" width="50.42578125" style="25" customWidth="1"/>
    <col min="8451" max="8451" width="15.42578125" style="25" customWidth="1"/>
    <col min="8452" max="8455" width="10.42578125" style="25" customWidth="1"/>
    <col min="8456" max="8457" width="12.42578125" style="25" customWidth="1"/>
    <col min="8458" max="8458" width="15.42578125" style="25" customWidth="1"/>
    <col min="8459" max="8459" width="40.42578125" style="25" customWidth="1"/>
    <col min="8460" max="8460" width="15.42578125" style="25" customWidth="1"/>
    <col min="8461" max="8704" width="8.85546875" style="25"/>
    <col min="8705" max="8705" width="10.42578125" style="25" customWidth="1"/>
    <col min="8706" max="8706" width="50.42578125" style="25" customWidth="1"/>
    <col min="8707" max="8707" width="15.42578125" style="25" customWidth="1"/>
    <col min="8708" max="8711" width="10.42578125" style="25" customWidth="1"/>
    <col min="8712" max="8713" width="12.42578125" style="25" customWidth="1"/>
    <col min="8714" max="8714" width="15.42578125" style="25" customWidth="1"/>
    <col min="8715" max="8715" width="40.42578125" style="25" customWidth="1"/>
    <col min="8716" max="8716" width="15.42578125" style="25" customWidth="1"/>
    <col min="8717" max="8960" width="8.85546875" style="25"/>
    <col min="8961" max="8961" width="10.42578125" style="25" customWidth="1"/>
    <col min="8962" max="8962" width="50.42578125" style="25" customWidth="1"/>
    <col min="8963" max="8963" width="15.42578125" style="25" customWidth="1"/>
    <col min="8964" max="8967" width="10.42578125" style="25" customWidth="1"/>
    <col min="8968" max="8969" width="12.42578125" style="25" customWidth="1"/>
    <col min="8970" max="8970" width="15.42578125" style="25" customWidth="1"/>
    <col min="8971" max="8971" width="40.42578125" style="25" customWidth="1"/>
    <col min="8972" max="8972" width="15.42578125" style="25" customWidth="1"/>
    <col min="8973" max="9216" width="8.85546875" style="25"/>
    <col min="9217" max="9217" width="10.42578125" style="25" customWidth="1"/>
    <col min="9218" max="9218" width="50.42578125" style="25" customWidth="1"/>
    <col min="9219" max="9219" width="15.42578125" style="25" customWidth="1"/>
    <col min="9220" max="9223" width="10.42578125" style="25" customWidth="1"/>
    <col min="9224" max="9225" width="12.42578125" style="25" customWidth="1"/>
    <col min="9226" max="9226" width="15.42578125" style="25" customWidth="1"/>
    <col min="9227" max="9227" width="40.42578125" style="25" customWidth="1"/>
    <col min="9228" max="9228" width="15.42578125" style="25" customWidth="1"/>
    <col min="9229" max="9472" width="8.85546875" style="25"/>
    <col min="9473" max="9473" width="10.42578125" style="25" customWidth="1"/>
    <col min="9474" max="9474" width="50.42578125" style="25" customWidth="1"/>
    <col min="9475" max="9475" width="15.42578125" style="25" customWidth="1"/>
    <col min="9476" max="9479" width="10.42578125" style="25" customWidth="1"/>
    <col min="9480" max="9481" width="12.42578125" style="25" customWidth="1"/>
    <col min="9482" max="9482" width="15.42578125" style="25" customWidth="1"/>
    <col min="9483" max="9483" width="40.42578125" style="25" customWidth="1"/>
    <col min="9484" max="9484" width="15.42578125" style="25" customWidth="1"/>
    <col min="9485" max="9728" width="8.85546875" style="25"/>
    <col min="9729" max="9729" width="10.42578125" style="25" customWidth="1"/>
    <col min="9730" max="9730" width="50.42578125" style="25" customWidth="1"/>
    <col min="9731" max="9731" width="15.42578125" style="25" customWidth="1"/>
    <col min="9732" max="9735" width="10.42578125" style="25" customWidth="1"/>
    <col min="9736" max="9737" width="12.42578125" style="25" customWidth="1"/>
    <col min="9738" max="9738" width="15.42578125" style="25" customWidth="1"/>
    <col min="9739" max="9739" width="40.42578125" style="25" customWidth="1"/>
    <col min="9740" max="9740" width="15.42578125" style="25" customWidth="1"/>
    <col min="9741" max="9984" width="8.85546875" style="25"/>
    <col min="9985" max="9985" width="10.42578125" style="25" customWidth="1"/>
    <col min="9986" max="9986" width="50.42578125" style="25" customWidth="1"/>
    <col min="9987" max="9987" width="15.42578125" style="25" customWidth="1"/>
    <col min="9988" max="9991" width="10.42578125" style="25" customWidth="1"/>
    <col min="9992" max="9993" width="12.42578125" style="25" customWidth="1"/>
    <col min="9994" max="9994" width="15.42578125" style="25" customWidth="1"/>
    <col min="9995" max="9995" width="40.42578125" style="25" customWidth="1"/>
    <col min="9996" max="9996" width="15.42578125" style="25" customWidth="1"/>
    <col min="9997" max="10240" width="8.85546875" style="25"/>
    <col min="10241" max="10241" width="10.42578125" style="25" customWidth="1"/>
    <col min="10242" max="10242" width="50.42578125" style="25" customWidth="1"/>
    <col min="10243" max="10243" width="15.42578125" style="25" customWidth="1"/>
    <col min="10244" max="10247" width="10.42578125" style="25" customWidth="1"/>
    <col min="10248" max="10249" width="12.42578125" style="25" customWidth="1"/>
    <col min="10250" max="10250" width="15.42578125" style="25" customWidth="1"/>
    <col min="10251" max="10251" width="40.42578125" style="25" customWidth="1"/>
    <col min="10252" max="10252" width="15.42578125" style="25" customWidth="1"/>
    <col min="10253" max="10496" width="8.85546875" style="25"/>
    <col min="10497" max="10497" width="10.42578125" style="25" customWidth="1"/>
    <col min="10498" max="10498" width="50.42578125" style="25" customWidth="1"/>
    <col min="10499" max="10499" width="15.42578125" style="25" customWidth="1"/>
    <col min="10500" max="10503" width="10.42578125" style="25" customWidth="1"/>
    <col min="10504" max="10505" width="12.42578125" style="25" customWidth="1"/>
    <col min="10506" max="10506" width="15.42578125" style="25" customWidth="1"/>
    <col min="10507" max="10507" width="40.42578125" style="25" customWidth="1"/>
    <col min="10508" max="10508" width="15.42578125" style="25" customWidth="1"/>
    <col min="10509" max="10752" width="8.85546875" style="25"/>
    <col min="10753" max="10753" width="10.42578125" style="25" customWidth="1"/>
    <col min="10754" max="10754" width="50.42578125" style="25" customWidth="1"/>
    <col min="10755" max="10755" width="15.42578125" style="25" customWidth="1"/>
    <col min="10756" max="10759" width="10.42578125" style="25" customWidth="1"/>
    <col min="10760" max="10761" width="12.42578125" style="25" customWidth="1"/>
    <col min="10762" max="10762" width="15.42578125" style="25" customWidth="1"/>
    <col min="10763" max="10763" width="40.42578125" style="25" customWidth="1"/>
    <col min="10764" max="10764" width="15.42578125" style="25" customWidth="1"/>
    <col min="10765" max="11008" width="8.85546875" style="25"/>
    <col min="11009" max="11009" width="10.42578125" style="25" customWidth="1"/>
    <col min="11010" max="11010" width="50.42578125" style="25" customWidth="1"/>
    <col min="11011" max="11011" width="15.42578125" style="25" customWidth="1"/>
    <col min="11012" max="11015" width="10.42578125" style="25" customWidth="1"/>
    <col min="11016" max="11017" width="12.42578125" style="25" customWidth="1"/>
    <col min="11018" max="11018" width="15.42578125" style="25" customWidth="1"/>
    <col min="11019" max="11019" width="40.42578125" style="25" customWidth="1"/>
    <col min="11020" max="11020" width="15.42578125" style="25" customWidth="1"/>
    <col min="11021" max="11264" width="8.85546875" style="25"/>
    <col min="11265" max="11265" width="10.42578125" style="25" customWidth="1"/>
    <col min="11266" max="11266" width="50.42578125" style="25" customWidth="1"/>
    <col min="11267" max="11267" width="15.42578125" style="25" customWidth="1"/>
    <col min="11268" max="11271" width="10.42578125" style="25" customWidth="1"/>
    <col min="11272" max="11273" width="12.42578125" style="25" customWidth="1"/>
    <col min="11274" max="11274" width="15.42578125" style="25" customWidth="1"/>
    <col min="11275" max="11275" width="40.42578125" style="25" customWidth="1"/>
    <col min="11276" max="11276" width="15.42578125" style="25" customWidth="1"/>
    <col min="11277" max="11520" width="8.85546875" style="25"/>
    <col min="11521" max="11521" width="10.42578125" style="25" customWidth="1"/>
    <col min="11522" max="11522" width="50.42578125" style="25" customWidth="1"/>
    <col min="11523" max="11523" width="15.42578125" style="25" customWidth="1"/>
    <col min="11524" max="11527" width="10.42578125" style="25" customWidth="1"/>
    <col min="11528" max="11529" width="12.42578125" style="25" customWidth="1"/>
    <col min="11530" max="11530" width="15.42578125" style="25" customWidth="1"/>
    <col min="11531" max="11531" width="40.42578125" style="25" customWidth="1"/>
    <col min="11532" max="11532" width="15.42578125" style="25" customWidth="1"/>
    <col min="11533" max="11776" width="8.85546875" style="25"/>
    <col min="11777" max="11777" width="10.42578125" style="25" customWidth="1"/>
    <col min="11778" max="11778" width="50.42578125" style="25" customWidth="1"/>
    <col min="11779" max="11779" width="15.42578125" style="25" customWidth="1"/>
    <col min="11780" max="11783" width="10.42578125" style="25" customWidth="1"/>
    <col min="11784" max="11785" width="12.42578125" style="25" customWidth="1"/>
    <col min="11786" max="11786" width="15.42578125" style="25" customWidth="1"/>
    <col min="11787" max="11787" width="40.42578125" style="25" customWidth="1"/>
    <col min="11788" max="11788" width="15.42578125" style="25" customWidth="1"/>
    <col min="11789" max="12032" width="8.85546875" style="25"/>
    <col min="12033" max="12033" width="10.42578125" style="25" customWidth="1"/>
    <col min="12034" max="12034" width="50.42578125" style="25" customWidth="1"/>
    <col min="12035" max="12035" width="15.42578125" style="25" customWidth="1"/>
    <col min="12036" max="12039" width="10.42578125" style="25" customWidth="1"/>
    <col min="12040" max="12041" width="12.42578125" style="25" customWidth="1"/>
    <col min="12042" max="12042" width="15.42578125" style="25" customWidth="1"/>
    <col min="12043" max="12043" width="40.42578125" style="25" customWidth="1"/>
    <col min="12044" max="12044" width="15.42578125" style="25" customWidth="1"/>
    <col min="12045" max="12288" width="8.85546875" style="25"/>
    <col min="12289" max="12289" width="10.42578125" style="25" customWidth="1"/>
    <col min="12290" max="12290" width="50.42578125" style="25" customWidth="1"/>
    <col min="12291" max="12291" width="15.42578125" style="25" customWidth="1"/>
    <col min="12292" max="12295" width="10.42578125" style="25" customWidth="1"/>
    <col min="12296" max="12297" width="12.42578125" style="25" customWidth="1"/>
    <col min="12298" max="12298" width="15.42578125" style="25" customWidth="1"/>
    <col min="12299" max="12299" width="40.42578125" style="25" customWidth="1"/>
    <col min="12300" max="12300" width="15.42578125" style="25" customWidth="1"/>
    <col min="12301" max="12544" width="8.85546875" style="25"/>
    <col min="12545" max="12545" width="10.42578125" style="25" customWidth="1"/>
    <col min="12546" max="12546" width="50.42578125" style="25" customWidth="1"/>
    <col min="12547" max="12547" width="15.42578125" style="25" customWidth="1"/>
    <col min="12548" max="12551" width="10.42578125" style="25" customWidth="1"/>
    <col min="12552" max="12553" width="12.42578125" style="25" customWidth="1"/>
    <col min="12554" max="12554" width="15.42578125" style="25" customWidth="1"/>
    <col min="12555" max="12555" width="40.42578125" style="25" customWidth="1"/>
    <col min="12556" max="12556" width="15.42578125" style="25" customWidth="1"/>
    <col min="12557" max="12800" width="8.85546875" style="25"/>
    <col min="12801" max="12801" width="10.42578125" style="25" customWidth="1"/>
    <col min="12802" max="12802" width="50.42578125" style="25" customWidth="1"/>
    <col min="12803" max="12803" width="15.42578125" style="25" customWidth="1"/>
    <col min="12804" max="12807" width="10.42578125" style="25" customWidth="1"/>
    <col min="12808" max="12809" width="12.42578125" style="25" customWidth="1"/>
    <col min="12810" max="12810" width="15.42578125" style="25" customWidth="1"/>
    <col min="12811" max="12811" width="40.42578125" style="25" customWidth="1"/>
    <col min="12812" max="12812" width="15.42578125" style="25" customWidth="1"/>
    <col min="12813" max="13056" width="8.85546875" style="25"/>
    <col min="13057" max="13057" width="10.42578125" style="25" customWidth="1"/>
    <col min="13058" max="13058" width="50.42578125" style="25" customWidth="1"/>
    <col min="13059" max="13059" width="15.42578125" style="25" customWidth="1"/>
    <col min="13060" max="13063" width="10.42578125" style="25" customWidth="1"/>
    <col min="13064" max="13065" width="12.42578125" style="25" customWidth="1"/>
    <col min="13066" max="13066" width="15.42578125" style="25" customWidth="1"/>
    <col min="13067" max="13067" width="40.42578125" style="25" customWidth="1"/>
    <col min="13068" max="13068" width="15.42578125" style="25" customWidth="1"/>
    <col min="13069" max="13312" width="8.85546875" style="25"/>
    <col min="13313" max="13313" width="10.42578125" style="25" customWidth="1"/>
    <col min="13314" max="13314" width="50.42578125" style="25" customWidth="1"/>
    <col min="13315" max="13315" width="15.42578125" style="25" customWidth="1"/>
    <col min="13316" max="13319" width="10.42578125" style="25" customWidth="1"/>
    <col min="13320" max="13321" width="12.42578125" style="25" customWidth="1"/>
    <col min="13322" max="13322" width="15.42578125" style="25" customWidth="1"/>
    <col min="13323" max="13323" width="40.42578125" style="25" customWidth="1"/>
    <col min="13324" max="13324" width="15.42578125" style="25" customWidth="1"/>
    <col min="13325" max="13568" width="8.85546875" style="25"/>
    <col min="13569" max="13569" width="10.42578125" style="25" customWidth="1"/>
    <col min="13570" max="13570" width="50.42578125" style="25" customWidth="1"/>
    <col min="13571" max="13571" width="15.42578125" style="25" customWidth="1"/>
    <col min="13572" max="13575" width="10.42578125" style="25" customWidth="1"/>
    <col min="13576" max="13577" width="12.42578125" style="25" customWidth="1"/>
    <col min="13578" max="13578" width="15.42578125" style="25" customWidth="1"/>
    <col min="13579" max="13579" width="40.42578125" style="25" customWidth="1"/>
    <col min="13580" max="13580" width="15.42578125" style="25" customWidth="1"/>
    <col min="13581" max="13824" width="8.85546875" style="25"/>
    <col min="13825" max="13825" width="10.42578125" style="25" customWidth="1"/>
    <col min="13826" max="13826" width="50.42578125" style="25" customWidth="1"/>
    <col min="13827" max="13827" width="15.42578125" style="25" customWidth="1"/>
    <col min="13828" max="13831" width="10.42578125" style="25" customWidth="1"/>
    <col min="13832" max="13833" width="12.42578125" style="25" customWidth="1"/>
    <col min="13834" max="13834" width="15.42578125" style="25" customWidth="1"/>
    <col min="13835" max="13835" width="40.42578125" style="25" customWidth="1"/>
    <col min="13836" max="13836" width="15.42578125" style="25" customWidth="1"/>
    <col min="13837" max="14080" width="8.85546875" style="25"/>
    <col min="14081" max="14081" width="10.42578125" style="25" customWidth="1"/>
    <col min="14082" max="14082" width="50.42578125" style="25" customWidth="1"/>
    <col min="14083" max="14083" width="15.42578125" style="25" customWidth="1"/>
    <col min="14084" max="14087" width="10.42578125" style="25" customWidth="1"/>
    <col min="14088" max="14089" width="12.42578125" style="25" customWidth="1"/>
    <col min="14090" max="14090" width="15.42578125" style="25" customWidth="1"/>
    <col min="14091" max="14091" width="40.42578125" style="25" customWidth="1"/>
    <col min="14092" max="14092" width="15.42578125" style="25" customWidth="1"/>
    <col min="14093" max="14336" width="8.85546875" style="25"/>
    <col min="14337" max="14337" width="10.42578125" style="25" customWidth="1"/>
    <col min="14338" max="14338" width="50.42578125" style="25" customWidth="1"/>
    <col min="14339" max="14339" width="15.42578125" style="25" customWidth="1"/>
    <col min="14340" max="14343" width="10.42578125" style="25" customWidth="1"/>
    <col min="14344" max="14345" width="12.42578125" style="25" customWidth="1"/>
    <col min="14346" max="14346" width="15.42578125" style="25" customWidth="1"/>
    <col min="14347" max="14347" width="40.42578125" style="25" customWidth="1"/>
    <col min="14348" max="14348" width="15.42578125" style="25" customWidth="1"/>
    <col min="14349" max="14592" width="8.85546875" style="25"/>
    <col min="14593" max="14593" width="10.42578125" style="25" customWidth="1"/>
    <col min="14594" max="14594" width="50.42578125" style="25" customWidth="1"/>
    <col min="14595" max="14595" width="15.42578125" style="25" customWidth="1"/>
    <col min="14596" max="14599" width="10.42578125" style="25" customWidth="1"/>
    <col min="14600" max="14601" width="12.42578125" style="25" customWidth="1"/>
    <col min="14602" max="14602" width="15.42578125" style="25" customWidth="1"/>
    <col min="14603" max="14603" width="40.42578125" style="25" customWidth="1"/>
    <col min="14604" max="14604" width="15.42578125" style="25" customWidth="1"/>
    <col min="14605" max="14848" width="8.85546875" style="25"/>
    <col min="14849" max="14849" width="10.42578125" style="25" customWidth="1"/>
    <col min="14850" max="14850" width="50.42578125" style="25" customWidth="1"/>
    <col min="14851" max="14851" width="15.42578125" style="25" customWidth="1"/>
    <col min="14852" max="14855" width="10.42578125" style="25" customWidth="1"/>
    <col min="14856" max="14857" width="12.42578125" style="25" customWidth="1"/>
    <col min="14858" max="14858" width="15.42578125" style="25" customWidth="1"/>
    <col min="14859" max="14859" width="40.42578125" style="25" customWidth="1"/>
    <col min="14860" max="14860" width="15.42578125" style="25" customWidth="1"/>
    <col min="14861" max="15104" width="8.85546875" style="25"/>
    <col min="15105" max="15105" width="10.42578125" style="25" customWidth="1"/>
    <col min="15106" max="15106" width="50.42578125" style="25" customWidth="1"/>
    <col min="15107" max="15107" width="15.42578125" style="25" customWidth="1"/>
    <col min="15108" max="15111" width="10.42578125" style="25" customWidth="1"/>
    <col min="15112" max="15113" width="12.42578125" style="25" customWidth="1"/>
    <col min="15114" max="15114" width="15.42578125" style="25" customWidth="1"/>
    <col min="15115" max="15115" width="40.42578125" style="25" customWidth="1"/>
    <col min="15116" max="15116" width="15.42578125" style="25" customWidth="1"/>
    <col min="15117" max="15360" width="8.85546875" style="25"/>
    <col min="15361" max="15361" width="10.42578125" style="25" customWidth="1"/>
    <col min="15362" max="15362" width="50.42578125" style="25" customWidth="1"/>
    <col min="15363" max="15363" width="15.42578125" style="25" customWidth="1"/>
    <col min="15364" max="15367" width="10.42578125" style="25" customWidth="1"/>
    <col min="15368" max="15369" width="12.42578125" style="25" customWidth="1"/>
    <col min="15370" max="15370" width="15.42578125" style="25" customWidth="1"/>
    <col min="15371" max="15371" width="40.42578125" style="25" customWidth="1"/>
    <col min="15372" max="15372" width="15.42578125" style="25" customWidth="1"/>
    <col min="15373" max="15616" width="8.85546875" style="25"/>
    <col min="15617" max="15617" width="10.42578125" style="25" customWidth="1"/>
    <col min="15618" max="15618" width="50.42578125" style="25" customWidth="1"/>
    <col min="15619" max="15619" width="15.42578125" style="25" customWidth="1"/>
    <col min="15620" max="15623" width="10.42578125" style="25" customWidth="1"/>
    <col min="15624" max="15625" width="12.42578125" style="25" customWidth="1"/>
    <col min="15626" max="15626" width="15.42578125" style="25" customWidth="1"/>
    <col min="15627" max="15627" width="40.42578125" style="25" customWidth="1"/>
    <col min="15628" max="15628" width="15.42578125" style="25" customWidth="1"/>
    <col min="15629" max="15872" width="8.85546875" style="25"/>
    <col min="15873" max="15873" width="10.42578125" style="25" customWidth="1"/>
    <col min="15874" max="15874" width="50.42578125" style="25" customWidth="1"/>
    <col min="15875" max="15875" width="15.42578125" style="25" customWidth="1"/>
    <col min="15876" max="15879" width="10.42578125" style="25" customWidth="1"/>
    <col min="15880" max="15881" width="12.42578125" style="25" customWidth="1"/>
    <col min="15882" max="15882" width="15.42578125" style="25" customWidth="1"/>
    <col min="15883" max="15883" width="40.42578125" style="25" customWidth="1"/>
    <col min="15884" max="15884" width="15.42578125" style="25" customWidth="1"/>
    <col min="15885" max="16128" width="8.85546875" style="25"/>
    <col min="16129" max="16129" width="10.42578125" style="25" customWidth="1"/>
    <col min="16130" max="16130" width="50.42578125" style="25" customWidth="1"/>
    <col min="16131" max="16131" width="15.42578125" style="25" customWidth="1"/>
    <col min="16132" max="16135" width="10.42578125" style="25" customWidth="1"/>
    <col min="16136" max="16137" width="12.42578125" style="25" customWidth="1"/>
    <col min="16138" max="16138" width="15.42578125" style="25" customWidth="1"/>
    <col min="16139" max="16139" width="40.42578125" style="25" customWidth="1"/>
    <col min="16140" max="16140" width="15.42578125" style="25" customWidth="1"/>
    <col min="16141" max="16384" width="8.85546875" style="25"/>
  </cols>
  <sheetData>
    <row r="1" spans="1:12" ht="69.95" customHeight="1" thickBot="1" x14ac:dyDescent="0.25">
      <c r="A1" s="966" t="s">
        <v>849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6"/>
    </row>
    <row r="2" spans="1:12" s="493" customFormat="1" ht="15.95" customHeight="1" thickTop="1" x14ac:dyDescent="0.25">
      <c r="A2" s="570" t="s">
        <v>1019</v>
      </c>
      <c r="B2" s="437">
        <f>Resources!C11</f>
        <v>0</v>
      </c>
      <c r="C2" s="438" t="s">
        <v>776</v>
      </c>
      <c r="D2" s="787">
        <f ca="1">COUNTIF($J$29:$J$88,"Deliverable Still In Progress")</f>
        <v>10</v>
      </c>
      <c r="E2" s="440"/>
      <c r="F2" s="441"/>
      <c r="G2" s="441"/>
      <c r="H2" s="454"/>
      <c r="I2" s="490"/>
      <c r="J2" s="454"/>
      <c r="K2" s="505"/>
    </row>
    <row r="3" spans="1:12" s="493" customFormat="1" ht="15.95" customHeight="1" x14ac:dyDescent="0.25">
      <c r="A3" s="570" t="s">
        <v>1020</v>
      </c>
      <c r="B3" s="437">
        <f>Resources!E11</f>
        <v>0</v>
      </c>
      <c r="C3" s="438" t="s">
        <v>777</v>
      </c>
      <c r="D3" s="787">
        <f ca="1">COUNTIF($J$29:$J$88,"Deliverable Completed")</f>
        <v>0</v>
      </c>
      <c r="E3" s="449">
        <f ca="1">D3/D6</f>
        <v>0</v>
      </c>
      <c r="F3" s="441"/>
      <c r="G3" s="441"/>
      <c r="H3" s="454"/>
      <c r="I3" s="490"/>
      <c r="J3" s="454"/>
      <c r="K3" s="505"/>
    </row>
    <row r="4" spans="1:12" s="493" customFormat="1" ht="15.95" customHeight="1" x14ac:dyDescent="0.25">
      <c r="A4" s="570" t="s">
        <v>1021</v>
      </c>
      <c r="B4" s="450"/>
      <c r="C4" s="438" t="s">
        <v>778</v>
      </c>
      <c r="D4" s="787">
        <f ca="1">D7-COUNTIF($J$29:$J$88,"completed")</f>
        <v>50</v>
      </c>
      <c r="E4" s="440"/>
      <c r="F4" s="441"/>
      <c r="G4" s="441"/>
      <c r="H4" s="454"/>
      <c r="I4" s="620"/>
      <c r="J4" s="454"/>
      <c r="K4" s="505"/>
    </row>
    <row r="5" spans="1:12" s="493" customFormat="1" ht="15.95" customHeight="1" x14ac:dyDescent="0.25">
      <c r="A5" s="566"/>
      <c r="B5" s="450"/>
      <c r="C5" s="452" t="s">
        <v>779</v>
      </c>
      <c r="D5" s="787">
        <f ca="1">D7-D4</f>
        <v>0</v>
      </c>
      <c r="E5" s="449">
        <f ca="1">D5/D7</f>
        <v>0</v>
      </c>
      <c r="F5" s="441"/>
      <c r="G5" s="441"/>
      <c r="H5" s="454"/>
      <c r="I5" s="620"/>
      <c r="J5" s="454"/>
      <c r="K5" s="505"/>
    </row>
    <row r="6" spans="1:12" s="493" customFormat="1" ht="15.95" customHeight="1" thickBot="1" x14ac:dyDescent="0.3">
      <c r="A6" s="566"/>
      <c r="B6" s="506"/>
      <c r="C6" s="452" t="s">
        <v>780</v>
      </c>
      <c r="D6" s="787">
        <f ca="1">D2+D3</f>
        <v>10</v>
      </c>
      <c r="E6" s="449"/>
      <c r="F6" s="441"/>
      <c r="G6" s="441"/>
      <c r="H6" s="454"/>
      <c r="I6" s="490"/>
      <c r="J6" s="454"/>
      <c r="K6" s="505"/>
    </row>
    <row r="7" spans="1:12" s="493" customFormat="1" ht="15.95" customHeight="1" thickBot="1" x14ac:dyDescent="0.3">
      <c r="A7" s="566"/>
      <c r="B7" s="450"/>
      <c r="C7" s="452" t="s">
        <v>781</v>
      </c>
      <c r="D7" s="787">
        <f ca="1">COUNTA(B29:B88)-D6</f>
        <v>50</v>
      </c>
      <c r="E7" s="449"/>
      <c r="F7" s="544" t="s">
        <v>1017</v>
      </c>
      <c r="G7" s="441"/>
      <c r="H7" s="454"/>
      <c r="I7" s="490"/>
      <c r="J7" s="544" t="s">
        <v>1017</v>
      </c>
      <c r="K7" s="505"/>
    </row>
    <row r="8" spans="1:12" s="127" customFormat="1" ht="47.25" x14ac:dyDescent="0.25">
      <c r="A8" s="352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496" t="s">
        <v>53</v>
      </c>
      <c r="H8" s="496" t="s">
        <v>95</v>
      </c>
      <c r="I8" s="496" t="s">
        <v>54</v>
      </c>
      <c r="J8" s="528" t="s">
        <v>55</v>
      </c>
      <c r="K8" s="356" t="s">
        <v>56</v>
      </c>
      <c r="L8" s="126"/>
    </row>
    <row r="9" spans="1:12" ht="15" x14ac:dyDescent="0.2">
      <c r="A9" s="969" t="s">
        <v>62</v>
      </c>
      <c r="B9" s="632" t="s">
        <v>180</v>
      </c>
      <c r="C9" s="81"/>
      <c r="D9" s="619"/>
      <c r="E9" s="619"/>
      <c r="F9" s="614">
        <f ca="1">IF(ISBLANK(G9),IF(ISERROR(DAYS360(TODAY(),E9))," ",(DAYS360(TODAY(),E9))),E9-G9)</f>
        <v>-43388</v>
      </c>
      <c r="G9" s="220"/>
      <c r="H9" s="116"/>
      <c r="I9" s="81"/>
      <c r="J9" s="141" t="str">
        <f ca="1">IF(AND(J10="completed",J11="completed",J12="completed",J13="completed",J14="completed",J15="completed"),"Deliverable Completed","DELIVERABLE STILL IN PROGRESS")</f>
        <v>DELIVERABLE STILL IN PROGRESS</v>
      </c>
      <c r="K9" s="107"/>
    </row>
    <row r="10" spans="1:12" ht="15" x14ac:dyDescent="0.2">
      <c r="A10" s="970"/>
      <c r="B10" s="397" t="s">
        <v>921</v>
      </c>
      <c r="C10" s="39"/>
      <c r="D10" s="187"/>
      <c r="E10" s="187"/>
      <c r="F10" s="615">
        <f t="shared" ref="F10:F73" ca="1" si="0">IF(ISBLANK(G10),IF(ISERROR(DAYS360(TODAY(),E10))," ",(DAYS360(TODAY(),E10))),E10-G10)</f>
        <v>-43388</v>
      </c>
      <c r="G10" s="200"/>
      <c r="H10" s="38"/>
      <c r="I10" s="39"/>
      <c r="J10" s="100" t="str">
        <f t="shared" ref="J10:J15" ca="1" si="1">IF(G10&gt;0,"COMPLETED",(IF(I10&gt;0,"ISSUE IDENTIFIED",(IF(TODAY()&gt;E10,"OVERDUE","In Progress")))))</f>
        <v>OVERDUE</v>
      </c>
      <c r="K10" s="256"/>
    </row>
    <row r="11" spans="1:12" ht="15" x14ac:dyDescent="0.2">
      <c r="A11" s="970"/>
      <c r="B11" s="397" t="s">
        <v>922</v>
      </c>
      <c r="C11" s="39"/>
      <c r="D11" s="187"/>
      <c r="E11" s="187"/>
      <c r="F11" s="615">
        <f t="shared" ca="1" si="0"/>
        <v>-43388</v>
      </c>
      <c r="G11" s="200"/>
      <c r="H11" s="38"/>
      <c r="I11" s="39"/>
      <c r="J11" s="100" t="str">
        <f t="shared" ca="1" si="1"/>
        <v>OVERDUE</v>
      </c>
      <c r="K11" s="256"/>
    </row>
    <row r="12" spans="1:12" ht="25.5" x14ac:dyDescent="0.2">
      <c r="A12" s="970"/>
      <c r="B12" s="397" t="s">
        <v>183</v>
      </c>
      <c r="C12" s="39"/>
      <c r="D12" s="187"/>
      <c r="E12" s="187"/>
      <c r="F12" s="615">
        <f t="shared" ca="1" si="0"/>
        <v>-43388</v>
      </c>
      <c r="G12" s="200"/>
      <c r="H12" s="38"/>
      <c r="I12" s="39"/>
      <c r="J12" s="100" t="str">
        <f t="shared" ca="1" si="1"/>
        <v>OVERDUE</v>
      </c>
      <c r="K12" s="256"/>
    </row>
    <row r="13" spans="1:12" ht="15" x14ac:dyDescent="0.2">
      <c r="A13" s="970"/>
      <c r="B13" s="397" t="s">
        <v>184</v>
      </c>
      <c r="C13" s="39"/>
      <c r="D13" s="187"/>
      <c r="E13" s="187"/>
      <c r="F13" s="615">
        <f t="shared" ca="1" si="0"/>
        <v>-43388</v>
      </c>
      <c r="G13" s="200"/>
      <c r="H13" s="38"/>
      <c r="I13" s="39"/>
      <c r="J13" s="100" t="str">
        <f t="shared" ca="1" si="1"/>
        <v>OVERDUE</v>
      </c>
      <c r="K13" s="256"/>
    </row>
    <row r="14" spans="1:12" ht="15" x14ac:dyDescent="0.2">
      <c r="A14" s="970"/>
      <c r="B14" s="397" t="s">
        <v>185</v>
      </c>
      <c r="C14" s="39"/>
      <c r="D14" s="187"/>
      <c r="E14" s="187"/>
      <c r="F14" s="615">
        <f t="shared" ca="1" si="0"/>
        <v>-43388</v>
      </c>
      <c r="G14" s="200"/>
      <c r="H14" s="38"/>
      <c r="I14" s="39"/>
      <c r="J14" s="100" t="str">
        <f t="shared" ca="1" si="1"/>
        <v>OVERDUE</v>
      </c>
      <c r="K14" s="256"/>
    </row>
    <row r="15" spans="1:12" s="128" customFormat="1" ht="15" x14ac:dyDescent="0.2">
      <c r="A15" s="970"/>
      <c r="B15" s="397" t="s">
        <v>186</v>
      </c>
      <c r="C15" s="39"/>
      <c r="D15" s="187"/>
      <c r="E15" s="187"/>
      <c r="F15" s="615">
        <f t="shared" ca="1" si="0"/>
        <v>-43388</v>
      </c>
      <c r="G15" s="200"/>
      <c r="H15" s="38"/>
      <c r="I15" s="39"/>
      <c r="J15" s="100" t="str">
        <f t="shared" ca="1" si="1"/>
        <v>OVERDUE</v>
      </c>
      <c r="K15" s="256"/>
    </row>
    <row r="16" spans="1:12" ht="30" x14ac:dyDescent="0.2">
      <c r="A16" s="970"/>
      <c r="B16" s="641" t="s">
        <v>923</v>
      </c>
      <c r="C16" s="39"/>
      <c r="D16" s="642"/>
      <c r="E16" s="642"/>
      <c r="F16" s="615">
        <f t="shared" ca="1" si="0"/>
        <v>-43388</v>
      </c>
      <c r="G16" s="200"/>
      <c r="H16" s="38"/>
      <c r="I16" s="39"/>
      <c r="J16" s="40" t="str">
        <f ca="1">IF(AND(J17="completed",J18="completed",J19="completed",J20="completed",J21="completed",J22="completed",J23="completed"),"Deliverable Completed","DELIVERABLE STILL IN PROGRESS")</f>
        <v>DELIVERABLE STILL IN PROGRESS</v>
      </c>
      <c r="K16" s="256"/>
    </row>
    <row r="17" spans="1:11" ht="16.5" customHeight="1" x14ac:dyDescent="0.2">
      <c r="A17" s="970"/>
      <c r="B17" s="397" t="s">
        <v>188</v>
      </c>
      <c r="C17" s="39"/>
      <c r="D17" s="187"/>
      <c r="E17" s="187"/>
      <c r="F17" s="615">
        <f t="shared" ca="1" si="0"/>
        <v>-43388</v>
      </c>
      <c r="G17" s="200"/>
      <c r="H17" s="38"/>
      <c r="I17" s="39"/>
      <c r="J17" s="40" t="str">
        <f t="shared" ref="J17:J23" ca="1" si="2">IF(G17&gt;0,"COMPLETED",(IF(I17&gt;0,"ISSUE IDENTIFIED",(IF(TODAY()&gt;E17,"OVERDUE","In Progress")))))</f>
        <v>OVERDUE</v>
      </c>
      <c r="K17" s="256"/>
    </row>
    <row r="18" spans="1:11" ht="15" x14ac:dyDescent="0.2">
      <c r="A18" s="970"/>
      <c r="B18" s="397" t="s">
        <v>189</v>
      </c>
      <c r="C18" s="39"/>
      <c r="D18" s="187"/>
      <c r="E18" s="187"/>
      <c r="F18" s="615">
        <f t="shared" ca="1" si="0"/>
        <v>-43388</v>
      </c>
      <c r="G18" s="200"/>
      <c r="H18" s="38"/>
      <c r="I18" s="39"/>
      <c r="J18" s="40" t="str">
        <f t="shared" ca="1" si="2"/>
        <v>OVERDUE</v>
      </c>
      <c r="K18" s="256"/>
    </row>
    <row r="19" spans="1:11" ht="15" x14ac:dyDescent="0.2">
      <c r="A19" s="970"/>
      <c r="B19" s="397" t="s">
        <v>190</v>
      </c>
      <c r="C19" s="39"/>
      <c r="D19" s="187"/>
      <c r="E19" s="187"/>
      <c r="F19" s="615">
        <f t="shared" ca="1" si="0"/>
        <v>-43388</v>
      </c>
      <c r="G19" s="200"/>
      <c r="H19" s="38"/>
      <c r="I19" s="39"/>
      <c r="J19" s="40" t="str">
        <f t="shared" ca="1" si="2"/>
        <v>OVERDUE</v>
      </c>
      <c r="K19" s="256"/>
    </row>
    <row r="20" spans="1:11" ht="15" x14ac:dyDescent="0.2">
      <c r="A20" s="970"/>
      <c r="B20" s="397" t="s">
        <v>191</v>
      </c>
      <c r="C20" s="39"/>
      <c r="D20" s="187"/>
      <c r="E20" s="187"/>
      <c r="F20" s="615">
        <f t="shared" ca="1" si="0"/>
        <v>-43388</v>
      </c>
      <c r="G20" s="200"/>
      <c r="H20" s="38"/>
      <c r="I20" s="39"/>
      <c r="J20" s="40" t="str">
        <f t="shared" ca="1" si="2"/>
        <v>OVERDUE</v>
      </c>
      <c r="K20" s="256"/>
    </row>
    <row r="21" spans="1:11" ht="15" x14ac:dyDescent="0.2">
      <c r="A21" s="970"/>
      <c r="B21" s="397" t="s">
        <v>194</v>
      </c>
      <c r="C21" s="39"/>
      <c r="D21" s="187"/>
      <c r="E21" s="187"/>
      <c r="F21" s="615">
        <f t="shared" ca="1" si="0"/>
        <v>-43388</v>
      </c>
      <c r="G21" s="200"/>
      <c r="H21" s="38"/>
      <c r="I21" s="39"/>
      <c r="J21" s="40" t="str">
        <f t="shared" ca="1" si="2"/>
        <v>OVERDUE</v>
      </c>
      <c r="K21" s="256"/>
    </row>
    <row r="22" spans="1:11" ht="15" x14ac:dyDescent="0.2">
      <c r="A22" s="970"/>
      <c r="B22" s="397" t="s">
        <v>195</v>
      </c>
      <c r="C22" s="39"/>
      <c r="D22" s="187"/>
      <c r="E22" s="187"/>
      <c r="F22" s="615">
        <f t="shared" ca="1" si="0"/>
        <v>-43388</v>
      </c>
      <c r="G22" s="200"/>
      <c r="H22" s="39"/>
      <c r="I22" s="39"/>
      <c r="J22" s="40" t="str">
        <f t="shared" ca="1" si="2"/>
        <v>OVERDUE</v>
      </c>
      <c r="K22" s="256"/>
    </row>
    <row r="23" spans="1:11" ht="15" x14ac:dyDescent="0.2">
      <c r="A23" s="970"/>
      <c r="B23" s="397" t="s">
        <v>196</v>
      </c>
      <c r="C23" s="39"/>
      <c r="D23" s="187"/>
      <c r="E23" s="187"/>
      <c r="F23" s="615">
        <f t="shared" ca="1" si="0"/>
        <v>-43388</v>
      </c>
      <c r="G23" s="200"/>
      <c r="H23" s="38"/>
      <c r="I23" s="39"/>
      <c r="J23" s="40" t="str">
        <f t="shared" ca="1" si="2"/>
        <v>OVERDUE</v>
      </c>
      <c r="K23" s="256"/>
    </row>
    <row r="24" spans="1:11" ht="15" x14ac:dyDescent="0.2">
      <c r="A24" s="970"/>
      <c r="B24" s="641" t="s">
        <v>197</v>
      </c>
      <c r="C24" s="39"/>
      <c r="D24" s="642"/>
      <c r="E24" s="642"/>
      <c r="F24" s="615">
        <f t="shared" ca="1" si="0"/>
        <v>-43388</v>
      </c>
      <c r="G24" s="200"/>
      <c r="H24" s="38"/>
      <c r="I24" s="39"/>
      <c r="J24" s="40" t="str">
        <f ca="1">IF(AND(J25="completed",J26="completed",J27="completed",J28="completed"),"Deliverable Completed","DELIVERABLE STILL IN PROGRESS")</f>
        <v>DELIVERABLE STILL IN PROGRESS</v>
      </c>
      <c r="K24" s="256"/>
    </row>
    <row r="25" spans="1:11" ht="14.25" customHeight="1" x14ac:dyDescent="0.2">
      <c r="A25" s="970"/>
      <c r="B25" s="397" t="s">
        <v>198</v>
      </c>
      <c r="C25" s="39"/>
      <c r="D25" s="187"/>
      <c r="E25" s="187"/>
      <c r="F25" s="615">
        <f t="shared" ca="1" si="0"/>
        <v>-43388</v>
      </c>
      <c r="G25" s="200"/>
      <c r="H25" s="38"/>
      <c r="I25" s="39"/>
      <c r="J25" s="40" t="str">
        <f ca="1">IF(G25&gt;0,"COMPLETED",(IF(I25&gt;0,"ISSUE IDENTIFIED",(IF(TODAY()&gt;E25,"OVERDUE","In Progress")))))</f>
        <v>OVERDUE</v>
      </c>
      <c r="K25" s="256"/>
    </row>
    <row r="26" spans="1:11" ht="15" x14ac:dyDescent="0.2">
      <c r="A26" s="970"/>
      <c r="B26" s="397" t="s">
        <v>199</v>
      </c>
      <c r="C26" s="39"/>
      <c r="D26" s="187"/>
      <c r="E26" s="187"/>
      <c r="F26" s="615">
        <f t="shared" ca="1" si="0"/>
        <v>-43388</v>
      </c>
      <c r="G26" s="200"/>
      <c r="H26" s="38"/>
      <c r="I26" s="39"/>
      <c r="J26" s="40" t="str">
        <f ca="1">IF(G26&gt;0,"COMPLETED",(IF(I26&gt;0,"ISSUE IDENTIFIED",(IF(TODAY()&gt;E26,"OVERDUE","In Progress")))))</f>
        <v>OVERDUE</v>
      </c>
      <c r="K26" s="256"/>
    </row>
    <row r="27" spans="1:11" ht="15" x14ac:dyDescent="0.2">
      <c r="A27" s="970"/>
      <c r="B27" s="397" t="s">
        <v>200</v>
      </c>
      <c r="C27" s="39"/>
      <c r="D27" s="187"/>
      <c r="E27" s="187"/>
      <c r="F27" s="615">
        <f t="shared" ca="1" si="0"/>
        <v>-43388</v>
      </c>
      <c r="G27" s="200"/>
      <c r="H27" s="38"/>
      <c r="I27" s="39"/>
      <c r="J27" s="40" t="str">
        <f ca="1">IF(G27&gt;0,"COMPLETED",(IF(I27&gt;0,"ISSUE IDENTIFIED",(IF(TODAY()&gt;E27,"OVERDUE","In Progress")))))</f>
        <v>OVERDUE</v>
      </c>
      <c r="K27" s="256"/>
    </row>
    <row r="28" spans="1:11" ht="15" x14ac:dyDescent="0.2">
      <c r="A28" s="970"/>
      <c r="B28" s="397" t="s">
        <v>201</v>
      </c>
      <c r="C28" s="39"/>
      <c r="D28" s="187"/>
      <c r="E28" s="187"/>
      <c r="F28" s="615">
        <f t="shared" ca="1" si="0"/>
        <v>-43388</v>
      </c>
      <c r="G28" s="200"/>
      <c r="H28" s="38"/>
      <c r="I28" s="39"/>
      <c r="J28" s="40" t="str">
        <f ca="1">IF(G28&gt;0,"COMPLETED",(IF(I28&gt;0,"ISSUE IDENTIFIED",(IF(TODAY()&gt;E28,"OVERDUE","In Progress")))))</f>
        <v>OVERDUE</v>
      </c>
      <c r="K28" s="256"/>
    </row>
    <row r="29" spans="1:11" ht="14.25" customHeight="1" x14ac:dyDescent="0.2">
      <c r="A29" s="970"/>
      <c r="B29" s="641" t="s">
        <v>202</v>
      </c>
      <c r="C29" s="39"/>
      <c r="D29" s="642"/>
      <c r="E29" s="642"/>
      <c r="F29" s="615">
        <f t="shared" ca="1" si="0"/>
        <v>-43388</v>
      </c>
      <c r="G29" s="101"/>
      <c r="H29" s="38"/>
      <c r="I29" s="39"/>
      <c r="J29" s="40" t="str">
        <f ca="1">IF(AND(J31="completed",J32="completed",J33="completed",J34="completed",J35="completed"),"Deliverable Completed","DELIVERABLE STILL IN PROGRESS")</f>
        <v>DELIVERABLE STILL IN PROGRESS</v>
      </c>
      <c r="K29" s="256"/>
    </row>
    <row r="30" spans="1:11" ht="14.25" customHeight="1" x14ac:dyDescent="0.2">
      <c r="A30" s="970"/>
      <c r="B30" s="397" t="s">
        <v>203</v>
      </c>
      <c r="C30" s="39"/>
      <c r="D30" s="187"/>
      <c r="E30" s="187"/>
      <c r="F30" s="615">
        <f t="shared" ca="1" si="0"/>
        <v>-43388</v>
      </c>
      <c r="G30" s="101"/>
      <c r="H30" s="39"/>
      <c r="I30" s="39"/>
      <c r="J30" s="40" t="str">
        <f t="shared" ref="J30:J47" ca="1" si="3">IF(G30&gt;0,"COMPLETED",(IF(I30&gt;0,"ISSUE IDENTIFIED",(IF(TODAY()&gt;E30,"OVERDUE","In Progress")))))</f>
        <v>OVERDUE</v>
      </c>
      <c r="K30" s="256"/>
    </row>
    <row r="31" spans="1:11" ht="15" x14ac:dyDescent="0.2">
      <c r="A31" s="970"/>
      <c r="B31" s="397" t="s">
        <v>204</v>
      </c>
      <c r="C31" s="39"/>
      <c r="D31" s="187"/>
      <c r="E31" s="187"/>
      <c r="F31" s="615">
        <f t="shared" ca="1" si="0"/>
        <v>-43388</v>
      </c>
      <c r="G31" s="200"/>
      <c r="H31" s="39"/>
      <c r="I31" s="39"/>
      <c r="J31" s="40" t="str">
        <f t="shared" ca="1" si="3"/>
        <v>OVERDUE</v>
      </c>
      <c r="K31" s="256"/>
    </row>
    <row r="32" spans="1:11" ht="15" x14ac:dyDescent="0.2">
      <c r="A32" s="970"/>
      <c r="B32" s="397" t="s">
        <v>205</v>
      </c>
      <c r="C32" s="39"/>
      <c r="D32" s="187"/>
      <c r="E32" s="187"/>
      <c r="F32" s="615">
        <f t="shared" ca="1" si="0"/>
        <v>-43388</v>
      </c>
      <c r="G32" s="200"/>
      <c r="H32" s="39"/>
      <c r="I32" s="39"/>
      <c r="J32" s="40" t="str">
        <f t="shared" ca="1" si="3"/>
        <v>OVERDUE</v>
      </c>
      <c r="K32" s="256"/>
    </row>
    <row r="33" spans="1:11" ht="15" x14ac:dyDescent="0.2">
      <c r="A33" s="970"/>
      <c r="B33" s="397" t="s">
        <v>206</v>
      </c>
      <c r="C33" s="39"/>
      <c r="D33" s="187"/>
      <c r="E33" s="187"/>
      <c r="F33" s="615">
        <f t="shared" ca="1" si="0"/>
        <v>-43388</v>
      </c>
      <c r="G33" s="200"/>
      <c r="H33" s="39"/>
      <c r="I33" s="39"/>
      <c r="J33" s="40" t="str">
        <f t="shared" ca="1" si="3"/>
        <v>OVERDUE</v>
      </c>
      <c r="K33" s="256"/>
    </row>
    <row r="34" spans="1:11" ht="15" x14ac:dyDescent="0.2">
      <c r="A34" s="970"/>
      <c r="B34" s="397" t="s">
        <v>924</v>
      </c>
      <c r="C34" s="39"/>
      <c r="D34" s="187"/>
      <c r="E34" s="187"/>
      <c r="F34" s="615">
        <f t="shared" ca="1" si="0"/>
        <v>-43388</v>
      </c>
      <c r="G34" s="200"/>
      <c r="H34" s="39"/>
      <c r="I34" s="39"/>
      <c r="J34" s="40" t="str">
        <f t="shared" ca="1" si="3"/>
        <v>OVERDUE</v>
      </c>
      <c r="K34" s="256"/>
    </row>
    <row r="35" spans="1:11" ht="15" x14ac:dyDescent="0.2">
      <c r="A35" s="970"/>
      <c r="B35" s="397" t="s">
        <v>208</v>
      </c>
      <c r="C35" s="39"/>
      <c r="D35" s="187"/>
      <c r="E35" s="187"/>
      <c r="F35" s="615">
        <f t="shared" ca="1" si="0"/>
        <v>-43388</v>
      </c>
      <c r="G35" s="200"/>
      <c r="H35" s="38"/>
      <c r="I35" s="39"/>
      <c r="J35" s="40" t="str">
        <f t="shared" ca="1" si="3"/>
        <v>OVERDUE</v>
      </c>
      <c r="K35" s="256"/>
    </row>
    <row r="36" spans="1:11" ht="15" x14ac:dyDescent="0.2">
      <c r="A36" s="970"/>
      <c r="B36" s="641" t="s">
        <v>209</v>
      </c>
      <c r="C36" s="39"/>
      <c r="D36" s="642"/>
      <c r="E36" s="642"/>
      <c r="F36" s="615">
        <f t="shared" ca="1" si="0"/>
        <v>-43388</v>
      </c>
      <c r="G36" s="200"/>
      <c r="H36" s="38"/>
      <c r="I36" s="39"/>
      <c r="J36" s="40" t="str">
        <f ca="1">IF(AND(J37="completed",J38="completed",J39="completed",J40="completed"),"Deliverable Completed","DELIVERABLE STILL IN PROGRESS")</f>
        <v>DELIVERABLE STILL IN PROGRESS</v>
      </c>
      <c r="K36" s="256"/>
    </row>
    <row r="37" spans="1:11" ht="15" x14ac:dyDescent="0.2">
      <c r="A37" s="970"/>
      <c r="B37" s="397" t="s">
        <v>210</v>
      </c>
      <c r="C37" s="39"/>
      <c r="D37" s="187"/>
      <c r="E37" s="187"/>
      <c r="F37" s="615">
        <f t="shared" ca="1" si="0"/>
        <v>-43388</v>
      </c>
      <c r="G37" s="200"/>
      <c r="H37" s="38"/>
      <c r="I37" s="39"/>
      <c r="J37" s="40" t="str">
        <f t="shared" ca="1" si="3"/>
        <v>OVERDUE</v>
      </c>
      <c r="K37" s="256"/>
    </row>
    <row r="38" spans="1:11" ht="15" x14ac:dyDescent="0.2">
      <c r="A38" s="970"/>
      <c r="B38" s="397" t="s">
        <v>211</v>
      </c>
      <c r="C38" s="39"/>
      <c r="D38" s="187"/>
      <c r="E38" s="187"/>
      <c r="F38" s="615">
        <f t="shared" ca="1" si="0"/>
        <v>-43388</v>
      </c>
      <c r="G38" s="200"/>
      <c r="H38" s="38"/>
      <c r="I38" s="39"/>
      <c r="J38" s="40" t="str">
        <f t="shared" ca="1" si="3"/>
        <v>OVERDUE</v>
      </c>
      <c r="K38" s="256"/>
    </row>
    <row r="39" spans="1:11" x14ac:dyDescent="0.2">
      <c r="A39" s="970"/>
      <c r="B39" s="397" t="s">
        <v>212</v>
      </c>
      <c r="C39" s="39"/>
      <c r="D39" s="187"/>
      <c r="E39" s="187"/>
      <c r="F39" s="640">
        <f t="shared" ca="1" si="0"/>
        <v>-43388</v>
      </c>
      <c r="G39" s="200"/>
      <c r="H39" s="38"/>
      <c r="I39" s="39"/>
      <c r="J39" s="40" t="str">
        <f t="shared" ca="1" si="3"/>
        <v>OVERDUE</v>
      </c>
      <c r="K39" s="256"/>
    </row>
    <row r="40" spans="1:11" x14ac:dyDescent="0.2">
      <c r="A40" s="971"/>
      <c r="B40" s="397" t="s">
        <v>213</v>
      </c>
      <c r="C40" s="39"/>
      <c r="D40" s="187"/>
      <c r="E40" s="187"/>
      <c r="F40" s="640">
        <f t="shared" ca="1" si="0"/>
        <v>-43388</v>
      </c>
      <c r="G40" s="200"/>
      <c r="H40" s="38"/>
      <c r="I40" s="39"/>
      <c r="J40" s="40" t="str">
        <f t="shared" ca="1" si="3"/>
        <v>OVERDUE</v>
      </c>
      <c r="K40" s="256"/>
    </row>
    <row r="41" spans="1:11" ht="15.75" customHeight="1" x14ac:dyDescent="0.2">
      <c r="A41" s="973" t="s">
        <v>925</v>
      </c>
      <c r="B41" s="641" t="s">
        <v>926</v>
      </c>
      <c r="C41" s="39"/>
      <c r="D41" s="642"/>
      <c r="E41" s="642"/>
      <c r="F41" s="640">
        <f t="shared" ca="1" si="0"/>
        <v>-43388</v>
      </c>
      <c r="G41" s="200"/>
      <c r="H41" s="38"/>
      <c r="I41" s="39"/>
      <c r="J41" s="40" t="str">
        <f ca="1">IF(AND(J42="completed",J43="completed",J44="completed",J45="completed",J46="completed",J47="completed"),"Deliverable Completed","DELIVERABLE STILL IN PROGRESS")</f>
        <v>DELIVERABLE STILL IN PROGRESS</v>
      </c>
      <c r="K41" s="256"/>
    </row>
    <row r="42" spans="1:11" ht="15" customHeight="1" x14ac:dyDescent="0.2">
      <c r="A42" s="974"/>
      <c r="B42" s="397" t="s">
        <v>927</v>
      </c>
      <c r="C42" s="39"/>
      <c r="D42" s="187"/>
      <c r="E42" s="187"/>
      <c r="F42" s="640">
        <f t="shared" ca="1" si="0"/>
        <v>-43388</v>
      </c>
      <c r="G42" s="200"/>
      <c r="H42" s="38"/>
      <c r="I42" s="39"/>
      <c r="J42" s="40" t="str">
        <f t="shared" ca="1" si="3"/>
        <v>OVERDUE</v>
      </c>
      <c r="K42" s="256"/>
    </row>
    <row r="43" spans="1:11" ht="15" customHeight="1" x14ac:dyDescent="0.2">
      <c r="A43" s="974"/>
      <c r="B43" s="397" t="s">
        <v>928</v>
      </c>
      <c r="C43" s="39"/>
      <c r="D43" s="187"/>
      <c r="E43" s="187"/>
      <c r="F43" s="640">
        <f t="shared" ca="1" si="0"/>
        <v>-43388</v>
      </c>
      <c r="G43" s="200"/>
      <c r="H43" s="38"/>
      <c r="I43" s="39"/>
      <c r="J43" s="40" t="str">
        <f t="shared" ca="1" si="3"/>
        <v>OVERDUE</v>
      </c>
      <c r="K43" s="256"/>
    </row>
    <row r="44" spans="1:11" ht="15" customHeight="1" x14ac:dyDescent="0.2">
      <c r="A44" s="974"/>
      <c r="B44" s="397" t="s">
        <v>929</v>
      </c>
      <c r="C44" s="39"/>
      <c r="D44" s="187"/>
      <c r="E44" s="187"/>
      <c r="F44" s="640">
        <f t="shared" ca="1" si="0"/>
        <v>-43388</v>
      </c>
      <c r="G44" s="200"/>
      <c r="H44" s="38"/>
      <c r="I44" s="39"/>
      <c r="J44" s="40" t="str">
        <f t="shared" ca="1" si="3"/>
        <v>OVERDUE</v>
      </c>
      <c r="K44" s="256"/>
    </row>
    <row r="45" spans="1:11" ht="15" customHeight="1" x14ac:dyDescent="0.2">
      <c r="A45" s="974"/>
      <c r="B45" s="397" t="s">
        <v>184</v>
      </c>
      <c r="C45" s="39"/>
      <c r="D45" s="187"/>
      <c r="E45" s="187"/>
      <c r="F45" s="640">
        <f t="shared" ca="1" si="0"/>
        <v>-43388</v>
      </c>
      <c r="G45" s="200"/>
      <c r="H45" s="38"/>
      <c r="I45" s="39"/>
      <c r="J45" s="40" t="str">
        <f t="shared" ca="1" si="3"/>
        <v>OVERDUE</v>
      </c>
      <c r="K45" s="256"/>
    </row>
    <row r="46" spans="1:11" ht="15" customHeight="1" x14ac:dyDescent="0.2">
      <c r="A46" s="974"/>
      <c r="B46" s="397" t="s">
        <v>185</v>
      </c>
      <c r="C46" s="39"/>
      <c r="D46" s="187"/>
      <c r="E46" s="187"/>
      <c r="F46" s="640">
        <f t="shared" ca="1" si="0"/>
        <v>-43388</v>
      </c>
      <c r="G46" s="200"/>
      <c r="H46" s="38"/>
      <c r="I46" s="39"/>
      <c r="J46" s="40" t="str">
        <f t="shared" ca="1" si="3"/>
        <v>OVERDUE</v>
      </c>
      <c r="K46" s="256"/>
    </row>
    <row r="47" spans="1:11" ht="15" customHeight="1" x14ac:dyDescent="0.2">
      <c r="A47" s="974"/>
      <c r="B47" s="397" t="s">
        <v>930</v>
      </c>
      <c r="C47" s="38"/>
      <c r="D47" s="38"/>
      <c r="E47" s="38"/>
      <c r="F47" s="640">
        <f t="shared" ca="1" si="0"/>
        <v>-43388</v>
      </c>
      <c r="G47" s="200"/>
      <c r="H47" s="38"/>
      <c r="I47" s="39"/>
      <c r="J47" s="40" t="str">
        <f t="shared" ca="1" si="3"/>
        <v>OVERDUE</v>
      </c>
      <c r="K47" s="256"/>
    </row>
    <row r="48" spans="1:11" ht="15" customHeight="1" x14ac:dyDescent="0.2">
      <c r="A48" s="974"/>
      <c r="B48" s="641" t="s">
        <v>931</v>
      </c>
      <c r="C48" s="424"/>
      <c r="D48" s="642"/>
      <c r="E48" s="642"/>
      <c r="F48" s="640">
        <f t="shared" ca="1" si="0"/>
        <v>-43388</v>
      </c>
      <c r="G48" s="101"/>
      <c r="H48" s="38"/>
      <c r="I48" s="39"/>
      <c r="J48" s="40" t="str">
        <f ca="1">IF(AND(J49="completed",J50="completed",J51="completed",J52="completed"),"Deliverable Completed","DELIVERABLE STILL IN PROGRESS")</f>
        <v>DELIVERABLE STILL IN PROGRESS</v>
      </c>
      <c r="K48" s="68"/>
    </row>
    <row r="49" spans="1:11" ht="15" customHeight="1" x14ac:dyDescent="0.2">
      <c r="A49" s="974"/>
      <c r="B49" s="397" t="s">
        <v>932</v>
      </c>
      <c r="C49" s="424"/>
      <c r="D49" s="187"/>
      <c r="E49" s="187"/>
      <c r="F49" s="640">
        <f t="shared" ca="1" si="0"/>
        <v>-43388</v>
      </c>
      <c r="G49" s="200"/>
      <c r="H49" s="38"/>
      <c r="I49" s="39"/>
      <c r="J49" s="40" t="str">
        <f t="shared" ref="J49:J88" ca="1" si="4">IF(G49&gt;0,"COMPLETED",(IF(I49&gt;0,"ISSUE IDENTIFIED",(IF(TODAY()&gt;E49,"OVERDUE","In Progress")))))</f>
        <v>OVERDUE</v>
      </c>
      <c r="K49" s="68"/>
    </row>
    <row r="50" spans="1:11" ht="15" customHeight="1" x14ac:dyDescent="0.2">
      <c r="A50" s="974"/>
      <c r="B50" s="397" t="s">
        <v>933</v>
      </c>
      <c r="C50" s="424"/>
      <c r="D50" s="187"/>
      <c r="E50" s="187"/>
      <c r="F50" s="640">
        <f t="shared" ca="1" si="0"/>
        <v>-43388</v>
      </c>
      <c r="G50" s="200"/>
      <c r="H50" s="38"/>
      <c r="I50" s="39"/>
      <c r="J50" s="40" t="str">
        <f t="shared" ca="1" si="4"/>
        <v>OVERDUE</v>
      </c>
      <c r="K50" s="68"/>
    </row>
    <row r="51" spans="1:11" ht="15" customHeight="1" x14ac:dyDescent="0.2">
      <c r="A51" s="974"/>
      <c r="B51" s="400" t="s">
        <v>934</v>
      </c>
      <c r="C51" s="424"/>
      <c r="D51" s="187"/>
      <c r="E51" s="187"/>
      <c r="F51" s="640">
        <f t="shared" ca="1" si="0"/>
        <v>-43388</v>
      </c>
      <c r="G51" s="200"/>
      <c r="H51" s="38"/>
      <c r="I51" s="39"/>
      <c r="J51" s="40" t="str">
        <f t="shared" ca="1" si="4"/>
        <v>OVERDUE</v>
      </c>
      <c r="K51" s="68"/>
    </row>
    <row r="52" spans="1:11" ht="15" customHeight="1" x14ac:dyDescent="0.2">
      <c r="A52" s="974"/>
      <c r="B52" s="397" t="s">
        <v>935</v>
      </c>
      <c r="C52" s="424"/>
      <c r="D52" s="187"/>
      <c r="E52" s="187"/>
      <c r="F52" s="640">
        <f t="shared" ca="1" si="0"/>
        <v>-43388</v>
      </c>
      <c r="G52" s="200"/>
      <c r="H52" s="38"/>
      <c r="I52" s="39"/>
      <c r="J52" s="40" t="str">
        <f t="shared" ca="1" si="4"/>
        <v>OVERDUE</v>
      </c>
      <c r="K52" s="68"/>
    </row>
    <row r="53" spans="1:11" ht="15" x14ac:dyDescent="0.2">
      <c r="A53" s="974"/>
      <c r="B53" s="641" t="s">
        <v>936</v>
      </c>
      <c r="C53" s="424"/>
      <c r="D53" s="642"/>
      <c r="E53" s="642"/>
      <c r="F53" s="640">
        <f t="shared" ca="1" si="0"/>
        <v>-43388</v>
      </c>
      <c r="G53" s="101"/>
      <c r="H53" s="38"/>
      <c r="I53" s="39"/>
      <c r="J53" s="40" t="str">
        <f ca="1">IF(AND(J54="completed",J55="completed",J56="completed",J57="completed",J58="completed",J59="completed",J60="completed",J61="completed",J62="completed"),"Deliverable Completed","DELIVERABLE STILL IN PROGRESS")</f>
        <v>DELIVERABLE STILL IN PROGRESS</v>
      </c>
      <c r="K53" s="357"/>
    </row>
    <row r="54" spans="1:11" ht="15" customHeight="1" x14ac:dyDescent="0.2">
      <c r="A54" s="974"/>
      <c r="B54" s="397" t="s">
        <v>937</v>
      </c>
      <c r="C54" s="424"/>
      <c r="D54" s="187"/>
      <c r="E54" s="187"/>
      <c r="F54" s="640">
        <f t="shared" ca="1" si="0"/>
        <v>-43388</v>
      </c>
      <c r="G54" s="101"/>
      <c r="H54" s="38"/>
      <c r="I54" s="39"/>
      <c r="J54" s="40" t="str">
        <f t="shared" ca="1" si="4"/>
        <v>OVERDUE</v>
      </c>
      <c r="K54" s="357"/>
    </row>
    <row r="55" spans="1:11" ht="15" customHeight="1" x14ac:dyDescent="0.2">
      <c r="A55" s="974"/>
      <c r="B55" s="397" t="s">
        <v>938</v>
      </c>
      <c r="C55" s="424"/>
      <c r="D55" s="187"/>
      <c r="E55" s="187"/>
      <c r="F55" s="640">
        <f t="shared" ca="1" si="0"/>
        <v>-43388</v>
      </c>
      <c r="G55" s="101"/>
      <c r="H55" s="38"/>
      <c r="I55" s="39"/>
      <c r="J55" s="40" t="str">
        <f t="shared" ca="1" si="4"/>
        <v>OVERDUE</v>
      </c>
      <c r="K55" s="357"/>
    </row>
    <row r="56" spans="1:11" ht="15" customHeight="1" x14ac:dyDescent="0.2">
      <c r="A56" s="974"/>
      <c r="B56" s="397" t="s">
        <v>939</v>
      </c>
      <c r="C56" s="424"/>
      <c r="D56" s="187"/>
      <c r="E56" s="187"/>
      <c r="F56" s="640">
        <f t="shared" ca="1" si="0"/>
        <v>-43388</v>
      </c>
      <c r="G56" s="101"/>
      <c r="H56" s="38"/>
      <c r="I56" s="39"/>
      <c r="J56" s="40" t="str">
        <f t="shared" ca="1" si="4"/>
        <v>OVERDUE</v>
      </c>
      <c r="K56" s="357"/>
    </row>
    <row r="57" spans="1:11" ht="15" customHeight="1" x14ac:dyDescent="0.2">
      <c r="A57" s="974"/>
      <c r="B57" s="397" t="s">
        <v>940</v>
      </c>
      <c r="C57" s="424"/>
      <c r="D57" s="187"/>
      <c r="E57" s="187"/>
      <c r="F57" s="640">
        <f t="shared" ca="1" si="0"/>
        <v>-43388</v>
      </c>
      <c r="G57" s="101"/>
      <c r="H57" s="38"/>
      <c r="I57" s="39"/>
      <c r="J57" s="40" t="str">
        <f t="shared" ca="1" si="4"/>
        <v>OVERDUE</v>
      </c>
      <c r="K57" s="357"/>
    </row>
    <row r="58" spans="1:11" ht="15" customHeight="1" x14ac:dyDescent="0.2">
      <c r="A58" s="974"/>
      <c r="B58" s="397" t="s">
        <v>941</v>
      </c>
      <c r="C58" s="424"/>
      <c r="D58" s="187"/>
      <c r="E58" s="187"/>
      <c r="F58" s="640">
        <f t="shared" ca="1" si="0"/>
        <v>-43388</v>
      </c>
      <c r="G58" s="101"/>
      <c r="H58" s="38"/>
      <c r="I58" s="39"/>
      <c r="J58" s="40" t="str">
        <f t="shared" ca="1" si="4"/>
        <v>OVERDUE</v>
      </c>
      <c r="K58" s="357"/>
    </row>
    <row r="59" spans="1:11" ht="15" customHeight="1" x14ac:dyDescent="0.2">
      <c r="A59" s="974"/>
      <c r="B59" s="397" t="s">
        <v>942</v>
      </c>
      <c r="C59" s="424"/>
      <c r="D59" s="187"/>
      <c r="E59" s="187"/>
      <c r="F59" s="640">
        <f t="shared" ca="1" si="0"/>
        <v>-43388</v>
      </c>
      <c r="G59" s="101"/>
      <c r="H59" s="38"/>
      <c r="I59" s="39"/>
      <c r="J59" s="40" t="str">
        <f t="shared" ca="1" si="4"/>
        <v>OVERDUE</v>
      </c>
      <c r="K59" s="357"/>
    </row>
    <row r="60" spans="1:11" ht="15" customHeight="1" x14ac:dyDescent="0.2">
      <c r="A60" s="974"/>
      <c r="B60" s="397" t="s">
        <v>943</v>
      </c>
      <c r="C60" s="424"/>
      <c r="D60" s="187"/>
      <c r="E60" s="187"/>
      <c r="F60" s="640">
        <f t="shared" ca="1" si="0"/>
        <v>-43388</v>
      </c>
      <c r="G60" s="101"/>
      <c r="H60" s="38"/>
      <c r="I60" s="39"/>
      <c r="J60" s="40" t="str">
        <f t="shared" ca="1" si="4"/>
        <v>OVERDUE</v>
      </c>
      <c r="K60" s="357"/>
    </row>
    <row r="61" spans="1:11" ht="15" customHeight="1" x14ac:dyDescent="0.2">
      <c r="A61" s="974"/>
      <c r="B61" s="397" t="s">
        <v>944</v>
      </c>
      <c r="C61" s="424"/>
      <c r="D61" s="187"/>
      <c r="E61" s="187"/>
      <c r="F61" s="640">
        <f t="shared" ca="1" si="0"/>
        <v>-43388</v>
      </c>
      <c r="G61" s="101"/>
      <c r="H61" s="38"/>
      <c r="I61" s="39"/>
      <c r="J61" s="40" t="str">
        <f t="shared" ca="1" si="4"/>
        <v>OVERDUE</v>
      </c>
      <c r="K61" s="68"/>
    </row>
    <row r="62" spans="1:11" ht="15" customHeight="1" x14ac:dyDescent="0.2">
      <c r="A62" s="974"/>
      <c r="B62" s="643" t="s">
        <v>945</v>
      </c>
      <c r="C62" s="424"/>
      <c r="D62" s="187"/>
      <c r="E62" s="187"/>
      <c r="F62" s="640">
        <f t="shared" ca="1" si="0"/>
        <v>-43388</v>
      </c>
      <c r="G62" s="101"/>
      <c r="H62" s="38"/>
      <c r="I62" s="39"/>
      <c r="J62" s="40" t="str">
        <f t="shared" ca="1" si="4"/>
        <v>OVERDUE</v>
      </c>
      <c r="K62" s="68"/>
    </row>
    <row r="63" spans="1:11" ht="15" x14ac:dyDescent="0.2">
      <c r="A63" s="974"/>
      <c r="B63" s="641" t="s">
        <v>946</v>
      </c>
      <c r="C63" s="424"/>
      <c r="D63" s="642"/>
      <c r="E63" s="642"/>
      <c r="F63" s="640">
        <f t="shared" ca="1" si="0"/>
        <v>-43388</v>
      </c>
      <c r="G63" s="101"/>
      <c r="H63" s="38"/>
      <c r="I63" s="39"/>
      <c r="J63" s="40" t="str">
        <f ca="1">IF(AND(J64="completed",J65="completed",J66="completed",J67="completed",J68="completed",J69="completed"),"Deliverable Completed","DELIVERABLE STILL IN PROGRESS")</f>
        <v>DELIVERABLE STILL IN PROGRESS</v>
      </c>
      <c r="K63" s="68"/>
    </row>
    <row r="64" spans="1:11" ht="15" customHeight="1" x14ac:dyDescent="0.2">
      <c r="A64" s="974"/>
      <c r="B64" s="397" t="s">
        <v>947</v>
      </c>
      <c r="C64" s="424"/>
      <c r="D64" s="187"/>
      <c r="E64" s="187"/>
      <c r="F64" s="640">
        <f t="shared" ca="1" si="0"/>
        <v>-43388</v>
      </c>
      <c r="G64" s="187"/>
      <c r="H64" s="38"/>
      <c r="I64" s="39"/>
      <c r="J64" s="40" t="str">
        <f t="shared" ca="1" si="4"/>
        <v>OVERDUE</v>
      </c>
      <c r="K64" s="68"/>
    </row>
    <row r="65" spans="1:11" ht="15" customHeight="1" x14ac:dyDescent="0.2">
      <c r="A65" s="974"/>
      <c r="B65" s="397" t="s">
        <v>948</v>
      </c>
      <c r="C65" s="424"/>
      <c r="D65" s="187"/>
      <c r="E65" s="187"/>
      <c r="F65" s="640">
        <f t="shared" ca="1" si="0"/>
        <v>-43388</v>
      </c>
      <c r="G65" s="101"/>
      <c r="H65" s="38"/>
      <c r="I65" s="39"/>
      <c r="J65" s="40" t="str">
        <f t="shared" ca="1" si="4"/>
        <v>OVERDUE</v>
      </c>
      <c r="K65" s="68"/>
    </row>
    <row r="66" spans="1:11" ht="15" customHeight="1" x14ac:dyDescent="0.2">
      <c r="A66" s="974"/>
      <c r="B66" s="397" t="s">
        <v>949</v>
      </c>
      <c r="C66" s="424"/>
      <c r="D66" s="187"/>
      <c r="E66" s="187"/>
      <c r="F66" s="640">
        <f t="shared" ca="1" si="0"/>
        <v>-43388</v>
      </c>
      <c r="G66" s="101"/>
      <c r="H66" s="38"/>
      <c r="I66" s="39"/>
      <c r="J66" s="40" t="str">
        <f t="shared" ca="1" si="4"/>
        <v>OVERDUE</v>
      </c>
      <c r="K66" s="68"/>
    </row>
    <row r="67" spans="1:11" ht="15" customHeight="1" x14ac:dyDescent="0.2">
      <c r="A67" s="974"/>
      <c r="B67" s="397" t="s">
        <v>950</v>
      </c>
      <c r="C67" s="424"/>
      <c r="D67" s="187"/>
      <c r="E67" s="187"/>
      <c r="F67" s="640">
        <f t="shared" ca="1" si="0"/>
        <v>-43388</v>
      </c>
      <c r="G67" s="101"/>
      <c r="H67" s="38"/>
      <c r="I67" s="39"/>
      <c r="J67" s="40" t="str">
        <f t="shared" ca="1" si="4"/>
        <v>OVERDUE</v>
      </c>
      <c r="K67" s="68"/>
    </row>
    <row r="68" spans="1:11" ht="15" customHeight="1" x14ac:dyDescent="0.2">
      <c r="A68" s="974"/>
      <c r="B68" s="397" t="s">
        <v>951</v>
      </c>
      <c r="C68" s="424"/>
      <c r="D68" s="187"/>
      <c r="E68" s="187"/>
      <c r="F68" s="640">
        <f t="shared" ca="1" si="0"/>
        <v>-43388</v>
      </c>
      <c r="G68" s="101"/>
      <c r="H68" s="38"/>
      <c r="I68" s="39"/>
      <c r="J68" s="40" t="str">
        <f t="shared" ca="1" si="4"/>
        <v>OVERDUE</v>
      </c>
      <c r="K68" s="68"/>
    </row>
    <row r="69" spans="1:11" ht="15" customHeight="1" x14ac:dyDescent="0.2">
      <c r="A69" s="974"/>
      <c r="B69" s="397" t="s">
        <v>952</v>
      </c>
      <c r="C69" s="424"/>
      <c r="D69" s="187"/>
      <c r="E69" s="187"/>
      <c r="F69" s="640">
        <f t="shared" ca="1" si="0"/>
        <v>-43388</v>
      </c>
      <c r="G69" s="101"/>
      <c r="H69" s="38"/>
      <c r="I69" s="39"/>
      <c r="J69" s="40" t="str">
        <f t="shared" ca="1" si="4"/>
        <v>OVERDUE</v>
      </c>
      <c r="K69" s="68"/>
    </row>
    <row r="70" spans="1:11" ht="30" x14ac:dyDescent="0.2">
      <c r="A70" s="974"/>
      <c r="B70" s="641" t="s">
        <v>953</v>
      </c>
      <c r="C70" s="424"/>
      <c r="D70" s="642"/>
      <c r="E70" s="551"/>
      <c r="F70" s="640">
        <f t="shared" ca="1" si="0"/>
        <v>-43388</v>
      </c>
      <c r="G70" s="101"/>
      <c r="H70" s="38"/>
      <c r="I70" s="39"/>
      <c r="J70" s="40" t="str">
        <f ca="1">IF(AND(J71="completed",J72="completed",J73="completed",J74="completed",J75="completed"),"Deliverable Completed","DELIVERABLE STILL IN PROGRESS")</f>
        <v>DELIVERABLE STILL IN PROGRESS</v>
      </c>
      <c r="K70" s="68"/>
    </row>
    <row r="71" spans="1:11" ht="15" customHeight="1" x14ac:dyDescent="0.2">
      <c r="A71" s="974"/>
      <c r="B71" s="397" t="s">
        <v>954</v>
      </c>
      <c r="C71" s="424"/>
      <c r="D71" s="187"/>
      <c r="E71" s="187"/>
      <c r="F71" s="640">
        <f t="shared" ca="1" si="0"/>
        <v>-43388</v>
      </c>
      <c r="G71" s="101"/>
      <c r="H71" s="38"/>
      <c r="I71" s="39"/>
      <c r="J71" s="40" t="str">
        <f t="shared" ca="1" si="4"/>
        <v>OVERDUE</v>
      </c>
      <c r="K71" s="68"/>
    </row>
    <row r="72" spans="1:11" ht="15" customHeight="1" x14ac:dyDescent="0.2">
      <c r="A72" s="974"/>
      <c r="B72" s="397" t="s">
        <v>955</v>
      </c>
      <c r="C72" s="424"/>
      <c r="D72" s="187"/>
      <c r="E72" s="187"/>
      <c r="F72" s="640">
        <f t="shared" ca="1" si="0"/>
        <v>-43388</v>
      </c>
      <c r="G72" s="101"/>
      <c r="H72" s="38"/>
      <c r="I72" s="39"/>
      <c r="J72" s="40" t="str">
        <f t="shared" ca="1" si="4"/>
        <v>OVERDUE</v>
      </c>
      <c r="K72" s="68"/>
    </row>
    <row r="73" spans="1:11" ht="15" customHeight="1" x14ac:dyDescent="0.2">
      <c r="A73" s="974"/>
      <c r="B73" s="397" t="s">
        <v>956</v>
      </c>
      <c r="C73" s="424"/>
      <c r="D73" s="187"/>
      <c r="E73" s="187"/>
      <c r="F73" s="640">
        <f t="shared" ca="1" si="0"/>
        <v>-43388</v>
      </c>
      <c r="G73" s="101"/>
      <c r="H73" s="38"/>
      <c r="I73" s="39"/>
      <c r="J73" s="40" t="str">
        <f t="shared" ca="1" si="4"/>
        <v>OVERDUE</v>
      </c>
      <c r="K73" s="68"/>
    </row>
    <row r="74" spans="1:11" ht="15" customHeight="1" x14ac:dyDescent="0.2">
      <c r="A74" s="974"/>
      <c r="B74" s="397" t="s">
        <v>957</v>
      </c>
      <c r="C74" s="424"/>
      <c r="D74" s="187"/>
      <c r="E74" s="187"/>
      <c r="F74" s="640">
        <f t="shared" ref="F74:F88" ca="1" si="5">IF(ISBLANK(G74),IF(ISERROR(DAYS360(TODAY(),E74))," ",(DAYS360(TODAY(),E74))),E74-G74)</f>
        <v>-43388</v>
      </c>
      <c r="G74" s="101"/>
      <c r="H74" s="38"/>
      <c r="I74" s="39"/>
      <c r="J74" s="40" t="str">
        <f t="shared" ca="1" si="4"/>
        <v>OVERDUE</v>
      </c>
      <c r="K74" s="68"/>
    </row>
    <row r="75" spans="1:11" ht="15" customHeight="1" x14ac:dyDescent="0.2">
      <c r="A75" s="974"/>
      <c r="B75" s="397" t="s">
        <v>958</v>
      </c>
      <c r="C75" s="424"/>
      <c r="D75" s="187"/>
      <c r="E75" s="187"/>
      <c r="F75" s="640">
        <f t="shared" ca="1" si="5"/>
        <v>-43388</v>
      </c>
      <c r="G75" s="101"/>
      <c r="H75" s="38"/>
      <c r="I75" s="39"/>
      <c r="J75" s="40" t="str">
        <f t="shared" ca="1" si="4"/>
        <v>OVERDUE</v>
      </c>
      <c r="K75" s="68"/>
    </row>
    <row r="76" spans="1:11" ht="15" x14ac:dyDescent="0.2">
      <c r="A76" s="974"/>
      <c r="B76" s="641" t="s">
        <v>959</v>
      </c>
      <c r="C76" s="424"/>
      <c r="D76" s="551"/>
      <c r="E76" s="551"/>
      <c r="F76" s="640">
        <f t="shared" ca="1" si="5"/>
        <v>-43388</v>
      </c>
      <c r="G76" s="101"/>
      <c r="H76" s="38"/>
      <c r="I76" s="39"/>
      <c r="J76" s="40" t="str">
        <f ca="1">IF(AND(J77="completed",J78="completed",J79="completed",J80="completed"),"Deliverable Completed","DELIVERABLE STILL IN PROGRESS")</f>
        <v>DELIVERABLE STILL IN PROGRESS</v>
      </c>
      <c r="K76" s="68"/>
    </row>
    <row r="77" spans="1:11" ht="15" customHeight="1" x14ac:dyDescent="0.2">
      <c r="A77" s="974"/>
      <c r="B77" s="397" t="s">
        <v>144</v>
      </c>
      <c r="C77" s="424"/>
      <c r="D77" s="187"/>
      <c r="E77" s="187"/>
      <c r="F77" s="640">
        <f t="shared" ca="1" si="5"/>
        <v>-43388</v>
      </c>
      <c r="G77" s="101"/>
      <c r="H77" s="38"/>
      <c r="I77" s="39"/>
      <c r="J77" s="40" t="str">
        <f t="shared" ca="1" si="4"/>
        <v>OVERDUE</v>
      </c>
      <c r="K77" s="68"/>
    </row>
    <row r="78" spans="1:11" ht="15" customHeight="1" x14ac:dyDescent="0.2">
      <c r="A78" s="974"/>
      <c r="B78" s="397" t="s">
        <v>145</v>
      </c>
      <c r="C78" s="424"/>
      <c r="D78" s="187"/>
      <c r="E78" s="187"/>
      <c r="F78" s="640">
        <f t="shared" ca="1" si="5"/>
        <v>-43388</v>
      </c>
      <c r="G78" s="101"/>
      <c r="H78" s="38"/>
      <c r="I78" s="39"/>
      <c r="J78" s="40" t="str">
        <f t="shared" ca="1" si="4"/>
        <v>OVERDUE</v>
      </c>
      <c r="K78" s="68"/>
    </row>
    <row r="79" spans="1:11" ht="15" customHeight="1" x14ac:dyDescent="0.2">
      <c r="A79" s="974"/>
      <c r="B79" s="397" t="s">
        <v>913</v>
      </c>
      <c r="C79" s="424"/>
      <c r="D79" s="187"/>
      <c r="E79" s="187"/>
      <c r="F79" s="640">
        <f t="shared" ca="1" si="5"/>
        <v>-43388</v>
      </c>
      <c r="G79" s="101"/>
      <c r="H79" s="38"/>
      <c r="I79" s="39"/>
      <c r="J79" s="40" t="str">
        <f t="shared" ca="1" si="4"/>
        <v>OVERDUE</v>
      </c>
      <c r="K79" s="68"/>
    </row>
    <row r="80" spans="1:11" ht="15" customHeight="1" x14ac:dyDescent="0.2">
      <c r="A80" s="974"/>
      <c r="B80" s="397" t="s">
        <v>960</v>
      </c>
      <c r="C80" s="424"/>
      <c r="D80" s="187"/>
      <c r="E80" s="187"/>
      <c r="F80" s="640">
        <f t="shared" ca="1" si="5"/>
        <v>-43388</v>
      </c>
      <c r="G80" s="101"/>
      <c r="H80" s="38"/>
      <c r="I80" s="39"/>
      <c r="J80" s="40" t="str">
        <f t="shared" ca="1" si="4"/>
        <v>OVERDUE</v>
      </c>
      <c r="K80" s="68"/>
    </row>
    <row r="81" spans="1:11" ht="15" customHeight="1" x14ac:dyDescent="0.2">
      <c r="A81" s="974"/>
      <c r="B81" s="641" t="s">
        <v>961</v>
      </c>
      <c r="C81" s="424"/>
      <c r="D81" s="551"/>
      <c r="E81" s="551"/>
      <c r="F81" s="640">
        <f t="shared" ca="1" si="5"/>
        <v>-43388</v>
      </c>
      <c r="G81" s="101"/>
      <c r="H81" s="38"/>
      <c r="I81" s="39"/>
      <c r="J81" s="40" t="str">
        <f ca="1">IF(AND(J82="completed",J83="completed"),"Deliverable Completed","DELIVERABLE STILL IN PROGRESS")</f>
        <v>DELIVERABLE STILL IN PROGRESS</v>
      </c>
      <c r="K81" s="68"/>
    </row>
    <row r="82" spans="1:11" ht="15" customHeight="1" x14ac:dyDescent="0.2">
      <c r="A82" s="974"/>
      <c r="B82" s="397" t="s">
        <v>141</v>
      </c>
      <c r="C82" s="424"/>
      <c r="D82" s="187"/>
      <c r="E82" s="187"/>
      <c r="F82" s="640">
        <f t="shared" ca="1" si="5"/>
        <v>-43388</v>
      </c>
      <c r="G82" s="101"/>
      <c r="H82" s="38"/>
      <c r="I82" s="39"/>
      <c r="J82" s="40" t="str">
        <f t="shared" ca="1" si="4"/>
        <v>OVERDUE</v>
      </c>
      <c r="K82" s="68"/>
    </row>
    <row r="83" spans="1:11" ht="15" customHeight="1" x14ac:dyDescent="0.2">
      <c r="A83" s="974"/>
      <c r="B83" s="397" t="s">
        <v>142</v>
      </c>
      <c r="C83" s="424"/>
      <c r="D83" s="187"/>
      <c r="E83" s="187"/>
      <c r="F83" s="640">
        <f t="shared" ca="1" si="5"/>
        <v>-43388</v>
      </c>
      <c r="G83" s="101"/>
      <c r="H83" s="38"/>
      <c r="I83" s="39"/>
      <c r="J83" s="40" t="str">
        <f t="shared" ca="1" si="4"/>
        <v>OVERDUE</v>
      </c>
      <c r="K83" s="68"/>
    </row>
    <row r="84" spans="1:11" ht="30" x14ac:dyDescent="0.2">
      <c r="A84" s="974"/>
      <c r="B84" s="641" t="s">
        <v>962</v>
      </c>
      <c r="C84" s="424"/>
      <c r="D84" s="551"/>
      <c r="E84" s="555"/>
      <c r="F84" s="640">
        <f t="shared" ca="1" si="5"/>
        <v>-43388</v>
      </c>
      <c r="G84" s="101"/>
      <c r="H84" s="38"/>
      <c r="I84" s="39"/>
      <c r="J84" s="40" t="str">
        <f ca="1">IF(AND(J85="completed",J86="completed",J87="completed",J88="completed"),"Deliverable Completed","DELIVERABLE STILL IN PROGRESS")</f>
        <v>DELIVERABLE STILL IN PROGRESS</v>
      </c>
      <c r="K84" s="68"/>
    </row>
    <row r="85" spans="1:11" ht="15" customHeight="1" x14ac:dyDescent="0.2">
      <c r="A85" s="974"/>
      <c r="B85" s="397" t="s">
        <v>963</v>
      </c>
      <c r="C85" s="424"/>
      <c r="D85" s="187"/>
      <c r="E85" s="187"/>
      <c r="F85" s="640">
        <f t="shared" ca="1" si="5"/>
        <v>-43388</v>
      </c>
      <c r="G85" s="101"/>
      <c r="H85" s="38"/>
      <c r="I85" s="39"/>
      <c r="J85" s="40" t="str">
        <f t="shared" ca="1" si="4"/>
        <v>OVERDUE</v>
      </c>
      <c r="K85" s="68"/>
    </row>
    <row r="86" spans="1:11" ht="15" customHeight="1" x14ac:dyDescent="0.2">
      <c r="A86" s="974"/>
      <c r="B86" s="397" t="s">
        <v>964</v>
      </c>
      <c r="C86" s="424"/>
      <c r="D86" s="187"/>
      <c r="E86" s="187"/>
      <c r="F86" s="640">
        <f t="shared" ca="1" si="5"/>
        <v>-43388</v>
      </c>
      <c r="G86" s="101"/>
      <c r="H86" s="38"/>
      <c r="I86" s="39"/>
      <c r="J86" s="40" t="str">
        <f t="shared" ca="1" si="4"/>
        <v>OVERDUE</v>
      </c>
      <c r="K86" s="68"/>
    </row>
    <row r="87" spans="1:11" ht="15" customHeight="1" x14ac:dyDescent="0.2">
      <c r="A87" s="974"/>
      <c r="B87" s="397" t="s">
        <v>965</v>
      </c>
      <c r="C87" s="424"/>
      <c r="D87" s="187"/>
      <c r="E87" s="187"/>
      <c r="F87" s="640">
        <f t="shared" ca="1" si="5"/>
        <v>-43388</v>
      </c>
      <c r="G87" s="101"/>
      <c r="H87" s="38"/>
      <c r="I87" s="39"/>
      <c r="J87" s="40" t="str">
        <f t="shared" ca="1" si="4"/>
        <v>OVERDUE</v>
      </c>
      <c r="K87" s="68"/>
    </row>
    <row r="88" spans="1:11" ht="17.25" customHeight="1" thickBot="1" x14ac:dyDescent="0.25">
      <c r="A88" s="975"/>
      <c r="B88" s="213" t="s">
        <v>139</v>
      </c>
      <c r="C88" s="213"/>
      <c r="D88" s="210"/>
      <c r="E88" s="210"/>
      <c r="F88" s="788">
        <f t="shared" ca="1" si="5"/>
        <v>-43388</v>
      </c>
      <c r="G88" s="211"/>
      <c r="H88" s="212"/>
      <c r="I88" s="213"/>
      <c r="J88" s="74" t="str">
        <f t="shared" ca="1" si="4"/>
        <v>OVERDUE</v>
      </c>
      <c r="K88" s="214"/>
    </row>
  </sheetData>
  <sheetProtection algorithmName="SHA-512" hashValue="e4q7l8/ZLDj11cHFJO5qshhCEjXmte04bX1XCtVahH451X4SW+xpxUdmLbu5E/ou+ZsWG920JsldDU5344M/dQ==" saltValue="gbNJuxzIwEnqNxHGusTPwA==" spinCount="100000" sheet="1" insertRows="0" deleteRows="0" sort="0" autoFilter="0"/>
  <autoFilter ref="A8:K88" xr:uid="{00000000-0009-0000-0000-000008000000}"/>
  <mergeCells count="3">
    <mergeCell ref="A1:K1"/>
    <mergeCell ref="A9:A40"/>
    <mergeCell ref="A41:A88"/>
  </mergeCells>
  <conditionalFormatting sqref="D9:F150">
    <cfRule type="cellIs" dxfId="132" priority="2" stopIfTrue="1" operator="lessThan">
      <formula>-1000</formula>
    </cfRule>
  </conditionalFormatting>
  <conditionalFormatting sqref="D9:E88">
    <cfRule type="cellIs" dxfId="131" priority="1" operator="equal">
      <formula>0</formula>
    </cfRule>
  </conditionalFormatting>
  <conditionalFormatting sqref="J9:J150">
    <cfRule type="containsText" dxfId="130" priority="20" operator="containsText" text="DELIVERABLE STILL IN PROGRESS">
      <formula>NOT(ISERROR(SEARCH("DELIVERABLE STILL IN PROGRESS",J9)))</formula>
    </cfRule>
    <cfRule type="containsText" dxfId="129" priority="21" operator="containsText" text="DELIVERABLE COMPLETED">
      <formula>NOT(ISERROR(SEARCH("DELIVERABLE COMPLETED",J9)))</formula>
    </cfRule>
    <cfRule type="cellIs" dxfId="128" priority="22" stopIfTrue="1" operator="equal">
      <formula>"OVERDUE"</formula>
    </cfRule>
    <cfRule type="cellIs" dxfId="127" priority="23" stopIfTrue="1" operator="equal">
      <formula>"COMPLETED"</formula>
    </cfRule>
    <cfRule type="cellIs" dxfId="126" priority="24" stopIfTrue="1" operator="equal">
      <formula>"ISSUE IDENTIFIED"</formula>
    </cfRule>
  </conditionalFormatting>
  <printOptions horizontalCentered="1"/>
  <pageMargins left="0.25" right="0.25" top="0.5" bottom="0.75" header="0.25" footer="0.5"/>
  <pageSetup scale="36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tabColor rgb="FF0C3964"/>
    <pageSetUpPr fitToPage="1"/>
  </sheetPr>
  <dimension ref="A1:L49"/>
  <sheetViews>
    <sheetView showGridLines="0" zoomScaleNormal="100" workbookViewId="0">
      <pane xSplit="3" ySplit="8" topLeftCell="G9" activePane="bottomRight" state="frozen"/>
      <selection pane="topRight" activeCell="D1" sqref="D1"/>
      <selection pane="bottomLeft" activeCell="A9" sqref="A9"/>
      <selection pane="bottomRight" sqref="A1:K1"/>
    </sheetView>
  </sheetViews>
  <sheetFormatPr defaultRowHeight="12.75" x14ac:dyDescent="0.2"/>
  <cols>
    <col min="1" max="1" width="18.42578125" style="34" bestFit="1" customWidth="1"/>
    <col min="2" max="2" width="87.7109375" style="41" customWidth="1"/>
    <col min="3" max="3" width="33.5703125" style="34" bestFit="1" customWidth="1"/>
    <col min="4" max="6" width="13.7109375" style="45" customWidth="1"/>
    <col min="7" max="7" width="13.7109375" style="290" customWidth="1"/>
    <col min="8" max="8" width="14.5703125" style="34" bestFit="1" customWidth="1"/>
    <col min="9" max="9" width="12.7109375" style="41" customWidth="1"/>
    <col min="10" max="10" width="34" style="34" bestFit="1" customWidth="1"/>
    <col min="11" max="11" width="40.7109375" style="34" customWidth="1"/>
    <col min="12" max="12" width="15.5703125" style="34" customWidth="1"/>
    <col min="13" max="256" width="9.140625" style="34"/>
    <col min="257" max="257" width="10.7109375" style="34" customWidth="1"/>
    <col min="258" max="258" width="50.7109375" style="34" customWidth="1"/>
    <col min="259" max="259" width="15.5703125" style="34" customWidth="1"/>
    <col min="260" max="263" width="10.7109375" style="34" customWidth="1"/>
    <col min="264" max="265" width="12.7109375" style="34" customWidth="1"/>
    <col min="266" max="266" width="15.7109375" style="34" customWidth="1"/>
    <col min="267" max="267" width="40.7109375" style="34" customWidth="1"/>
    <col min="268" max="268" width="15.5703125" style="34" customWidth="1"/>
    <col min="269" max="512" width="9.140625" style="34"/>
    <col min="513" max="513" width="10.7109375" style="34" customWidth="1"/>
    <col min="514" max="514" width="50.7109375" style="34" customWidth="1"/>
    <col min="515" max="515" width="15.5703125" style="34" customWidth="1"/>
    <col min="516" max="519" width="10.7109375" style="34" customWidth="1"/>
    <col min="520" max="521" width="12.7109375" style="34" customWidth="1"/>
    <col min="522" max="522" width="15.7109375" style="34" customWidth="1"/>
    <col min="523" max="523" width="40.7109375" style="34" customWidth="1"/>
    <col min="524" max="524" width="15.5703125" style="34" customWidth="1"/>
    <col min="525" max="768" width="9.140625" style="34"/>
    <col min="769" max="769" width="10.7109375" style="34" customWidth="1"/>
    <col min="770" max="770" width="50.7109375" style="34" customWidth="1"/>
    <col min="771" max="771" width="15.5703125" style="34" customWidth="1"/>
    <col min="772" max="775" width="10.7109375" style="34" customWidth="1"/>
    <col min="776" max="777" width="12.7109375" style="34" customWidth="1"/>
    <col min="778" max="778" width="15.7109375" style="34" customWidth="1"/>
    <col min="779" max="779" width="40.7109375" style="34" customWidth="1"/>
    <col min="780" max="780" width="15.5703125" style="34" customWidth="1"/>
    <col min="781" max="1024" width="9.140625" style="34"/>
    <col min="1025" max="1025" width="10.7109375" style="34" customWidth="1"/>
    <col min="1026" max="1026" width="50.7109375" style="34" customWidth="1"/>
    <col min="1027" max="1027" width="15.5703125" style="34" customWidth="1"/>
    <col min="1028" max="1031" width="10.7109375" style="34" customWidth="1"/>
    <col min="1032" max="1033" width="12.7109375" style="34" customWidth="1"/>
    <col min="1034" max="1034" width="15.7109375" style="34" customWidth="1"/>
    <col min="1035" max="1035" width="40.7109375" style="34" customWidth="1"/>
    <col min="1036" max="1036" width="15.5703125" style="34" customWidth="1"/>
    <col min="1037" max="1280" width="9.140625" style="34"/>
    <col min="1281" max="1281" width="10.7109375" style="34" customWidth="1"/>
    <col min="1282" max="1282" width="50.7109375" style="34" customWidth="1"/>
    <col min="1283" max="1283" width="15.5703125" style="34" customWidth="1"/>
    <col min="1284" max="1287" width="10.7109375" style="34" customWidth="1"/>
    <col min="1288" max="1289" width="12.7109375" style="34" customWidth="1"/>
    <col min="1290" max="1290" width="15.7109375" style="34" customWidth="1"/>
    <col min="1291" max="1291" width="40.7109375" style="34" customWidth="1"/>
    <col min="1292" max="1292" width="15.5703125" style="34" customWidth="1"/>
    <col min="1293" max="1536" width="9.140625" style="34"/>
    <col min="1537" max="1537" width="10.7109375" style="34" customWidth="1"/>
    <col min="1538" max="1538" width="50.7109375" style="34" customWidth="1"/>
    <col min="1539" max="1539" width="15.5703125" style="34" customWidth="1"/>
    <col min="1540" max="1543" width="10.7109375" style="34" customWidth="1"/>
    <col min="1544" max="1545" width="12.7109375" style="34" customWidth="1"/>
    <col min="1546" max="1546" width="15.7109375" style="34" customWidth="1"/>
    <col min="1547" max="1547" width="40.7109375" style="34" customWidth="1"/>
    <col min="1548" max="1548" width="15.5703125" style="34" customWidth="1"/>
    <col min="1549" max="1792" width="9.140625" style="34"/>
    <col min="1793" max="1793" width="10.7109375" style="34" customWidth="1"/>
    <col min="1794" max="1794" width="50.7109375" style="34" customWidth="1"/>
    <col min="1795" max="1795" width="15.5703125" style="34" customWidth="1"/>
    <col min="1796" max="1799" width="10.7109375" style="34" customWidth="1"/>
    <col min="1800" max="1801" width="12.7109375" style="34" customWidth="1"/>
    <col min="1802" max="1802" width="15.7109375" style="34" customWidth="1"/>
    <col min="1803" max="1803" width="40.7109375" style="34" customWidth="1"/>
    <col min="1804" max="1804" width="15.5703125" style="34" customWidth="1"/>
    <col min="1805" max="2048" width="9.140625" style="34"/>
    <col min="2049" max="2049" width="10.7109375" style="34" customWidth="1"/>
    <col min="2050" max="2050" width="50.7109375" style="34" customWidth="1"/>
    <col min="2051" max="2051" width="15.5703125" style="34" customWidth="1"/>
    <col min="2052" max="2055" width="10.7109375" style="34" customWidth="1"/>
    <col min="2056" max="2057" width="12.7109375" style="34" customWidth="1"/>
    <col min="2058" max="2058" width="15.7109375" style="34" customWidth="1"/>
    <col min="2059" max="2059" width="40.7109375" style="34" customWidth="1"/>
    <col min="2060" max="2060" width="15.5703125" style="34" customWidth="1"/>
    <col min="2061" max="2304" width="9.140625" style="34"/>
    <col min="2305" max="2305" width="10.7109375" style="34" customWidth="1"/>
    <col min="2306" max="2306" width="50.7109375" style="34" customWidth="1"/>
    <col min="2307" max="2307" width="15.5703125" style="34" customWidth="1"/>
    <col min="2308" max="2311" width="10.7109375" style="34" customWidth="1"/>
    <col min="2312" max="2313" width="12.7109375" style="34" customWidth="1"/>
    <col min="2314" max="2314" width="15.7109375" style="34" customWidth="1"/>
    <col min="2315" max="2315" width="40.7109375" style="34" customWidth="1"/>
    <col min="2316" max="2316" width="15.5703125" style="34" customWidth="1"/>
    <col min="2317" max="2560" width="9.140625" style="34"/>
    <col min="2561" max="2561" width="10.7109375" style="34" customWidth="1"/>
    <col min="2562" max="2562" width="50.7109375" style="34" customWidth="1"/>
    <col min="2563" max="2563" width="15.5703125" style="34" customWidth="1"/>
    <col min="2564" max="2567" width="10.7109375" style="34" customWidth="1"/>
    <col min="2568" max="2569" width="12.7109375" style="34" customWidth="1"/>
    <col min="2570" max="2570" width="15.7109375" style="34" customWidth="1"/>
    <col min="2571" max="2571" width="40.7109375" style="34" customWidth="1"/>
    <col min="2572" max="2572" width="15.5703125" style="34" customWidth="1"/>
    <col min="2573" max="2816" width="9.140625" style="34"/>
    <col min="2817" max="2817" width="10.7109375" style="34" customWidth="1"/>
    <col min="2818" max="2818" width="50.7109375" style="34" customWidth="1"/>
    <col min="2819" max="2819" width="15.5703125" style="34" customWidth="1"/>
    <col min="2820" max="2823" width="10.7109375" style="34" customWidth="1"/>
    <col min="2824" max="2825" width="12.7109375" style="34" customWidth="1"/>
    <col min="2826" max="2826" width="15.7109375" style="34" customWidth="1"/>
    <col min="2827" max="2827" width="40.7109375" style="34" customWidth="1"/>
    <col min="2828" max="2828" width="15.5703125" style="34" customWidth="1"/>
    <col min="2829" max="3072" width="9.140625" style="34"/>
    <col min="3073" max="3073" width="10.7109375" style="34" customWidth="1"/>
    <col min="3074" max="3074" width="50.7109375" style="34" customWidth="1"/>
    <col min="3075" max="3075" width="15.5703125" style="34" customWidth="1"/>
    <col min="3076" max="3079" width="10.7109375" style="34" customWidth="1"/>
    <col min="3080" max="3081" width="12.7109375" style="34" customWidth="1"/>
    <col min="3082" max="3082" width="15.7109375" style="34" customWidth="1"/>
    <col min="3083" max="3083" width="40.7109375" style="34" customWidth="1"/>
    <col min="3084" max="3084" width="15.5703125" style="34" customWidth="1"/>
    <col min="3085" max="3328" width="9.140625" style="34"/>
    <col min="3329" max="3329" width="10.7109375" style="34" customWidth="1"/>
    <col min="3330" max="3330" width="50.7109375" style="34" customWidth="1"/>
    <col min="3331" max="3331" width="15.5703125" style="34" customWidth="1"/>
    <col min="3332" max="3335" width="10.7109375" style="34" customWidth="1"/>
    <col min="3336" max="3337" width="12.7109375" style="34" customWidth="1"/>
    <col min="3338" max="3338" width="15.7109375" style="34" customWidth="1"/>
    <col min="3339" max="3339" width="40.7109375" style="34" customWidth="1"/>
    <col min="3340" max="3340" width="15.5703125" style="34" customWidth="1"/>
    <col min="3341" max="3584" width="9.140625" style="34"/>
    <col min="3585" max="3585" width="10.7109375" style="34" customWidth="1"/>
    <col min="3586" max="3586" width="50.7109375" style="34" customWidth="1"/>
    <col min="3587" max="3587" width="15.5703125" style="34" customWidth="1"/>
    <col min="3588" max="3591" width="10.7109375" style="34" customWidth="1"/>
    <col min="3592" max="3593" width="12.7109375" style="34" customWidth="1"/>
    <col min="3594" max="3594" width="15.7109375" style="34" customWidth="1"/>
    <col min="3595" max="3595" width="40.7109375" style="34" customWidth="1"/>
    <col min="3596" max="3596" width="15.5703125" style="34" customWidth="1"/>
    <col min="3597" max="3840" width="9.140625" style="34"/>
    <col min="3841" max="3841" width="10.7109375" style="34" customWidth="1"/>
    <col min="3842" max="3842" width="50.7109375" style="34" customWidth="1"/>
    <col min="3843" max="3843" width="15.5703125" style="34" customWidth="1"/>
    <col min="3844" max="3847" width="10.7109375" style="34" customWidth="1"/>
    <col min="3848" max="3849" width="12.7109375" style="34" customWidth="1"/>
    <col min="3850" max="3850" width="15.7109375" style="34" customWidth="1"/>
    <col min="3851" max="3851" width="40.7109375" style="34" customWidth="1"/>
    <col min="3852" max="3852" width="15.5703125" style="34" customWidth="1"/>
    <col min="3853" max="4096" width="9.140625" style="34"/>
    <col min="4097" max="4097" width="10.7109375" style="34" customWidth="1"/>
    <col min="4098" max="4098" width="50.7109375" style="34" customWidth="1"/>
    <col min="4099" max="4099" width="15.5703125" style="34" customWidth="1"/>
    <col min="4100" max="4103" width="10.7109375" style="34" customWidth="1"/>
    <col min="4104" max="4105" width="12.7109375" style="34" customWidth="1"/>
    <col min="4106" max="4106" width="15.7109375" style="34" customWidth="1"/>
    <col min="4107" max="4107" width="40.7109375" style="34" customWidth="1"/>
    <col min="4108" max="4108" width="15.5703125" style="34" customWidth="1"/>
    <col min="4109" max="4352" width="9.140625" style="34"/>
    <col min="4353" max="4353" width="10.7109375" style="34" customWidth="1"/>
    <col min="4354" max="4354" width="50.7109375" style="34" customWidth="1"/>
    <col min="4355" max="4355" width="15.5703125" style="34" customWidth="1"/>
    <col min="4356" max="4359" width="10.7109375" style="34" customWidth="1"/>
    <col min="4360" max="4361" width="12.7109375" style="34" customWidth="1"/>
    <col min="4362" max="4362" width="15.7109375" style="34" customWidth="1"/>
    <col min="4363" max="4363" width="40.7109375" style="34" customWidth="1"/>
    <col min="4364" max="4364" width="15.5703125" style="34" customWidth="1"/>
    <col min="4365" max="4608" width="9.140625" style="34"/>
    <col min="4609" max="4609" width="10.7109375" style="34" customWidth="1"/>
    <col min="4610" max="4610" width="50.7109375" style="34" customWidth="1"/>
    <col min="4611" max="4611" width="15.5703125" style="34" customWidth="1"/>
    <col min="4612" max="4615" width="10.7109375" style="34" customWidth="1"/>
    <col min="4616" max="4617" width="12.7109375" style="34" customWidth="1"/>
    <col min="4618" max="4618" width="15.7109375" style="34" customWidth="1"/>
    <col min="4619" max="4619" width="40.7109375" style="34" customWidth="1"/>
    <col min="4620" max="4620" width="15.5703125" style="34" customWidth="1"/>
    <col min="4621" max="4864" width="9.140625" style="34"/>
    <col min="4865" max="4865" width="10.7109375" style="34" customWidth="1"/>
    <col min="4866" max="4866" width="50.7109375" style="34" customWidth="1"/>
    <col min="4867" max="4867" width="15.5703125" style="34" customWidth="1"/>
    <col min="4868" max="4871" width="10.7109375" style="34" customWidth="1"/>
    <col min="4872" max="4873" width="12.7109375" style="34" customWidth="1"/>
    <col min="4874" max="4874" width="15.7109375" style="34" customWidth="1"/>
    <col min="4875" max="4875" width="40.7109375" style="34" customWidth="1"/>
    <col min="4876" max="4876" width="15.5703125" style="34" customWidth="1"/>
    <col min="4877" max="5120" width="9.140625" style="34"/>
    <col min="5121" max="5121" width="10.7109375" style="34" customWidth="1"/>
    <col min="5122" max="5122" width="50.7109375" style="34" customWidth="1"/>
    <col min="5123" max="5123" width="15.5703125" style="34" customWidth="1"/>
    <col min="5124" max="5127" width="10.7109375" style="34" customWidth="1"/>
    <col min="5128" max="5129" width="12.7109375" style="34" customWidth="1"/>
    <col min="5130" max="5130" width="15.7109375" style="34" customWidth="1"/>
    <col min="5131" max="5131" width="40.7109375" style="34" customWidth="1"/>
    <col min="5132" max="5132" width="15.5703125" style="34" customWidth="1"/>
    <col min="5133" max="5376" width="9.140625" style="34"/>
    <col min="5377" max="5377" width="10.7109375" style="34" customWidth="1"/>
    <col min="5378" max="5378" width="50.7109375" style="34" customWidth="1"/>
    <col min="5379" max="5379" width="15.5703125" style="34" customWidth="1"/>
    <col min="5380" max="5383" width="10.7109375" style="34" customWidth="1"/>
    <col min="5384" max="5385" width="12.7109375" style="34" customWidth="1"/>
    <col min="5386" max="5386" width="15.7109375" style="34" customWidth="1"/>
    <col min="5387" max="5387" width="40.7109375" style="34" customWidth="1"/>
    <col min="5388" max="5388" width="15.5703125" style="34" customWidth="1"/>
    <col min="5389" max="5632" width="9.140625" style="34"/>
    <col min="5633" max="5633" width="10.7109375" style="34" customWidth="1"/>
    <col min="5634" max="5634" width="50.7109375" style="34" customWidth="1"/>
    <col min="5635" max="5635" width="15.5703125" style="34" customWidth="1"/>
    <col min="5636" max="5639" width="10.7109375" style="34" customWidth="1"/>
    <col min="5640" max="5641" width="12.7109375" style="34" customWidth="1"/>
    <col min="5642" max="5642" width="15.7109375" style="34" customWidth="1"/>
    <col min="5643" max="5643" width="40.7109375" style="34" customWidth="1"/>
    <col min="5644" max="5644" width="15.5703125" style="34" customWidth="1"/>
    <col min="5645" max="5888" width="9.140625" style="34"/>
    <col min="5889" max="5889" width="10.7109375" style="34" customWidth="1"/>
    <col min="5890" max="5890" width="50.7109375" style="34" customWidth="1"/>
    <col min="5891" max="5891" width="15.5703125" style="34" customWidth="1"/>
    <col min="5892" max="5895" width="10.7109375" style="34" customWidth="1"/>
    <col min="5896" max="5897" width="12.7109375" style="34" customWidth="1"/>
    <col min="5898" max="5898" width="15.7109375" style="34" customWidth="1"/>
    <col min="5899" max="5899" width="40.7109375" style="34" customWidth="1"/>
    <col min="5900" max="5900" width="15.5703125" style="34" customWidth="1"/>
    <col min="5901" max="6144" width="9.140625" style="34"/>
    <col min="6145" max="6145" width="10.7109375" style="34" customWidth="1"/>
    <col min="6146" max="6146" width="50.7109375" style="34" customWidth="1"/>
    <col min="6147" max="6147" width="15.5703125" style="34" customWidth="1"/>
    <col min="6148" max="6151" width="10.7109375" style="34" customWidth="1"/>
    <col min="6152" max="6153" width="12.7109375" style="34" customWidth="1"/>
    <col min="6154" max="6154" width="15.7109375" style="34" customWidth="1"/>
    <col min="6155" max="6155" width="40.7109375" style="34" customWidth="1"/>
    <col min="6156" max="6156" width="15.5703125" style="34" customWidth="1"/>
    <col min="6157" max="6400" width="9.140625" style="34"/>
    <col min="6401" max="6401" width="10.7109375" style="34" customWidth="1"/>
    <col min="6402" max="6402" width="50.7109375" style="34" customWidth="1"/>
    <col min="6403" max="6403" width="15.5703125" style="34" customWidth="1"/>
    <col min="6404" max="6407" width="10.7109375" style="34" customWidth="1"/>
    <col min="6408" max="6409" width="12.7109375" style="34" customWidth="1"/>
    <col min="6410" max="6410" width="15.7109375" style="34" customWidth="1"/>
    <col min="6411" max="6411" width="40.7109375" style="34" customWidth="1"/>
    <col min="6412" max="6412" width="15.5703125" style="34" customWidth="1"/>
    <col min="6413" max="6656" width="9.140625" style="34"/>
    <col min="6657" max="6657" width="10.7109375" style="34" customWidth="1"/>
    <col min="6658" max="6658" width="50.7109375" style="34" customWidth="1"/>
    <col min="6659" max="6659" width="15.5703125" style="34" customWidth="1"/>
    <col min="6660" max="6663" width="10.7109375" style="34" customWidth="1"/>
    <col min="6664" max="6665" width="12.7109375" style="34" customWidth="1"/>
    <col min="6666" max="6666" width="15.7109375" style="34" customWidth="1"/>
    <col min="6667" max="6667" width="40.7109375" style="34" customWidth="1"/>
    <col min="6668" max="6668" width="15.5703125" style="34" customWidth="1"/>
    <col min="6669" max="6912" width="9.140625" style="34"/>
    <col min="6913" max="6913" width="10.7109375" style="34" customWidth="1"/>
    <col min="6914" max="6914" width="50.7109375" style="34" customWidth="1"/>
    <col min="6915" max="6915" width="15.5703125" style="34" customWidth="1"/>
    <col min="6916" max="6919" width="10.7109375" style="34" customWidth="1"/>
    <col min="6920" max="6921" width="12.7109375" style="34" customWidth="1"/>
    <col min="6922" max="6922" width="15.7109375" style="34" customWidth="1"/>
    <col min="6923" max="6923" width="40.7109375" style="34" customWidth="1"/>
    <col min="6924" max="6924" width="15.5703125" style="34" customWidth="1"/>
    <col min="6925" max="7168" width="9.140625" style="34"/>
    <col min="7169" max="7169" width="10.7109375" style="34" customWidth="1"/>
    <col min="7170" max="7170" width="50.7109375" style="34" customWidth="1"/>
    <col min="7171" max="7171" width="15.5703125" style="34" customWidth="1"/>
    <col min="7172" max="7175" width="10.7109375" style="34" customWidth="1"/>
    <col min="7176" max="7177" width="12.7109375" style="34" customWidth="1"/>
    <col min="7178" max="7178" width="15.7109375" style="34" customWidth="1"/>
    <col min="7179" max="7179" width="40.7109375" style="34" customWidth="1"/>
    <col min="7180" max="7180" width="15.5703125" style="34" customWidth="1"/>
    <col min="7181" max="7424" width="9.140625" style="34"/>
    <col min="7425" max="7425" width="10.7109375" style="34" customWidth="1"/>
    <col min="7426" max="7426" width="50.7109375" style="34" customWidth="1"/>
    <col min="7427" max="7427" width="15.5703125" style="34" customWidth="1"/>
    <col min="7428" max="7431" width="10.7109375" style="34" customWidth="1"/>
    <col min="7432" max="7433" width="12.7109375" style="34" customWidth="1"/>
    <col min="7434" max="7434" width="15.7109375" style="34" customWidth="1"/>
    <col min="7435" max="7435" width="40.7109375" style="34" customWidth="1"/>
    <col min="7436" max="7436" width="15.5703125" style="34" customWidth="1"/>
    <col min="7437" max="7680" width="9.140625" style="34"/>
    <col min="7681" max="7681" width="10.7109375" style="34" customWidth="1"/>
    <col min="7682" max="7682" width="50.7109375" style="34" customWidth="1"/>
    <col min="7683" max="7683" width="15.5703125" style="34" customWidth="1"/>
    <col min="7684" max="7687" width="10.7109375" style="34" customWidth="1"/>
    <col min="7688" max="7689" width="12.7109375" style="34" customWidth="1"/>
    <col min="7690" max="7690" width="15.7109375" style="34" customWidth="1"/>
    <col min="7691" max="7691" width="40.7109375" style="34" customWidth="1"/>
    <col min="7692" max="7692" width="15.5703125" style="34" customWidth="1"/>
    <col min="7693" max="7936" width="9.140625" style="34"/>
    <col min="7937" max="7937" width="10.7109375" style="34" customWidth="1"/>
    <col min="7938" max="7938" width="50.7109375" style="34" customWidth="1"/>
    <col min="7939" max="7939" width="15.5703125" style="34" customWidth="1"/>
    <col min="7940" max="7943" width="10.7109375" style="34" customWidth="1"/>
    <col min="7944" max="7945" width="12.7109375" style="34" customWidth="1"/>
    <col min="7946" max="7946" width="15.7109375" style="34" customWidth="1"/>
    <col min="7947" max="7947" width="40.7109375" style="34" customWidth="1"/>
    <col min="7948" max="7948" width="15.5703125" style="34" customWidth="1"/>
    <col min="7949" max="8192" width="9.140625" style="34"/>
    <col min="8193" max="8193" width="10.7109375" style="34" customWidth="1"/>
    <col min="8194" max="8194" width="50.7109375" style="34" customWidth="1"/>
    <col min="8195" max="8195" width="15.5703125" style="34" customWidth="1"/>
    <col min="8196" max="8199" width="10.7109375" style="34" customWidth="1"/>
    <col min="8200" max="8201" width="12.7109375" style="34" customWidth="1"/>
    <col min="8202" max="8202" width="15.7109375" style="34" customWidth="1"/>
    <col min="8203" max="8203" width="40.7109375" style="34" customWidth="1"/>
    <col min="8204" max="8204" width="15.5703125" style="34" customWidth="1"/>
    <col min="8205" max="8448" width="9.140625" style="34"/>
    <col min="8449" max="8449" width="10.7109375" style="34" customWidth="1"/>
    <col min="8450" max="8450" width="50.7109375" style="34" customWidth="1"/>
    <col min="8451" max="8451" width="15.5703125" style="34" customWidth="1"/>
    <col min="8452" max="8455" width="10.7109375" style="34" customWidth="1"/>
    <col min="8456" max="8457" width="12.7109375" style="34" customWidth="1"/>
    <col min="8458" max="8458" width="15.7109375" style="34" customWidth="1"/>
    <col min="8459" max="8459" width="40.7109375" style="34" customWidth="1"/>
    <col min="8460" max="8460" width="15.5703125" style="34" customWidth="1"/>
    <col min="8461" max="8704" width="9.140625" style="34"/>
    <col min="8705" max="8705" width="10.7109375" style="34" customWidth="1"/>
    <col min="8706" max="8706" width="50.7109375" style="34" customWidth="1"/>
    <col min="8707" max="8707" width="15.5703125" style="34" customWidth="1"/>
    <col min="8708" max="8711" width="10.7109375" style="34" customWidth="1"/>
    <col min="8712" max="8713" width="12.7109375" style="34" customWidth="1"/>
    <col min="8714" max="8714" width="15.7109375" style="34" customWidth="1"/>
    <col min="8715" max="8715" width="40.7109375" style="34" customWidth="1"/>
    <col min="8716" max="8716" width="15.5703125" style="34" customWidth="1"/>
    <col min="8717" max="8960" width="9.140625" style="34"/>
    <col min="8961" max="8961" width="10.7109375" style="34" customWidth="1"/>
    <col min="8962" max="8962" width="50.7109375" style="34" customWidth="1"/>
    <col min="8963" max="8963" width="15.5703125" style="34" customWidth="1"/>
    <col min="8964" max="8967" width="10.7109375" style="34" customWidth="1"/>
    <col min="8968" max="8969" width="12.7109375" style="34" customWidth="1"/>
    <col min="8970" max="8970" width="15.7109375" style="34" customWidth="1"/>
    <col min="8971" max="8971" width="40.7109375" style="34" customWidth="1"/>
    <col min="8972" max="8972" width="15.5703125" style="34" customWidth="1"/>
    <col min="8973" max="9216" width="9.140625" style="34"/>
    <col min="9217" max="9217" width="10.7109375" style="34" customWidth="1"/>
    <col min="9218" max="9218" width="50.7109375" style="34" customWidth="1"/>
    <col min="9219" max="9219" width="15.5703125" style="34" customWidth="1"/>
    <col min="9220" max="9223" width="10.7109375" style="34" customWidth="1"/>
    <col min="9224" max="9225" width="12.7109375" style="34" customWidth="1"/>
    <col min="9226" max="9226" width="15.7109375" style="34" customWidth="1"/>
    <col min="9227" max="9227" width="40.7109375" style="34" customWidth="1"/>
    <col min="9228" max="9228" width="15.5703125" style="34" customWidth="1"/>
    <col min="9229" max="9472" width="9.140625" style="34"/>
    <col min="9473" max="9473" width="10.7109375" style="34" customWidth="1"/>
    <col min="9474" max="9474" width="50.7109375" style="34" customWidth="1"/>
    <col min="9475" max="9475" width="15.5703125" style="34" customWidth="1"/>
    <col min="9476" max="9479" width="10.7109375" style="34" customWidth="1"/>
    <col min="9480" max="9481" width="12.7109375" style="34" customWidth="1"/>
    <col min="9482" max="9482" width="15.7109375" style="34" customWidth="1"/>
    <col min="9483" max="9483" width="40.7109375" style="34" customWidth="1"/>
    <col min="9484" max="9484" width="15.5703125" style="34" customWidth="1"/>
    <col min="9485" max="9728" width="9.140625" style="34"/>
    <col min="9729" max="9729" width="10.7109375" style="34" customWidth="1"/>
    <col min="9730" max="9730" width="50.7109375" style="34" customWidth="1"/>
    <col min="9731" max="9731" width="15.5703125" style="34" customWidth="1"/>
    <col min="9732" max="9735" width="10.7109375" style="34" customWidth="1"/>
    <col min="9736" max="9737" width="12.7109375" style="34" customWidth="1"/>
    <col min="9738" max="9738" width="15.7109375" style="34" customWidth="1"/>
    <col min="9739" max="9739" width="40.7109375" style="34" customWidth="1"/>
    <col min="9740" max="9740" width="15.5703125" style="34" customWidth="1"/>
    <col min="9741" max="9984" width="9.140625" style="34"/>
    <col min="9985" max="9985" width="10.7109375" style="34" customWidth="1"/>
    <col min="9986" max="9986" width="50.7109375" style="34" customWidth="1"/>
    <col min="9987" max="9987" width="15.5703125" style="34" customWidth="1"/>
    <col min="9988" max="9991" width="10.7109375" style="34" customWidth="1"/>
    <col min="9992" max="9993" width="12.7109375" style="34" customWidth="1"/>
    <col min="9994" max="9994" width="15.7109375" style="34" customWidth="1"/>
    <col min="9995" max="9995" width="40.7109375" style="34" customWidth="1"/>
    <col min="9996" max="9996" width="15.5703125" style="34" customWidth="1"/>
    <col min="9997" max="10240" width="9.140625" style="34"/>
    <col min="10241" max="10241" width="10.7109375" style="34" customWidth="1"/>
    <col min="10242" max="10242" width="50.7109375" style="34" customWidth="1"/>
    <col min="10243" max="10243" width="15.5703125" style="34" customWidth="1"/>
    <col min="10244" max="10247" width="10.7109375" style="34" customWidth="1"/>
    <col min="10248" max="10249" width="12.7109375" style="34" customWidth="1"/>
    <col min="10250" max="10250" width="15.7109375" style="34" customWidth="1"/>
    <col min="10251" max="10251" width="40.7109375" style="34" customWidth="1"/>
    <col min="10252" max="10252" width="15.5703125" style="34" customWidth="1"/>
    <col min="10253" max="10496" width="9.140625" style="34"/>
    <col min="10497" max="10497" width="10.7109375" style="34" customWidth="1"/>
    <col min="10498" max="10498" width="50.7109375" style="34" customWidth="1"/>
    <col min="10499" max="10499" width="15.5703125" style="34" customWidth="1"/>
    <col min="10500" max="10503" width="10.7109375" style="34" customWidth="1"/>
    <col min="10504" max="10505" width="12.7109375" style="34" customWidth="1"/>
    <col min="10506" max="10506" width="15.7109375" style="34" customWidth="1"/>
    <col min="10507" max="10507" width="40.7109375" style="34" customWidth="1"/>
    <col min="10508" max="10508" width="15.5703125" style="34" customWidth="1"/>
    <col min="10509" max="10752" width="9.140625" style="34"/>
    <col min="10753" max="10753" width="10.7109375" style="34" customWidth="1"/>
    <col min="10754" max="10754" width="50.7109375" style="34" customWidth="1"/>
    <col min="10755" max="10755" width="15.5703125" style="34" customWidth="1"/>
    <col min="10756" max="10759" width="10.7109375" style="34" customWidth="1"/>
    <col min="10760" max="10761" width="12.7109375" style="34" customWidth="1"/>
    <col min="10762" max="10762" width="15.7109375" style="34" customWidth="1"/>
    <col min="10763" max="10763" width="40.7109375" style="34" customWidth="1"/>
    <col min="10764" max="10764" width="15.5703125" style="34" customWidth="1"/>
    <col min="10765" max="11008" width="9.140625" style="34"/>
    <col min="11009" max="11009" width="10.7109375" style="34" customWidth="1"/>
    <col min="11010" max="11010" width="50.7109375" style="34" customWidth="1"/>
    <col min="11011" max="11011" width="15.5703125" style="34" customWidth="1"/>
    <col min="11012" max="11015" width="10.7109375" style="34" customWidth="1"/>
    <col min="11016" max="11017" width="12.7109375" style="34" customWidth="1"/>
    <col min="11018" max="11018" width="15.7109375" style="34" customWidth="1"/>
    <col min="11019" max="11019" width="40.7109375" style="34" customWidth="1"/>
    <col min="11020" max="11020" width="15.5703125" style="34" customWidth="1"/>
    <col min="11021" max="11264" width="9.140625" style="34"/>
    <col min="11265" max="11265" width="10.7109375" style="34" customWidth="1"/>
    <col min="11266" max="11266" width="50.7109375" style="34" customWidth="1"/>
    <col min="11267" max="11267" width="15.5703125" style="34" customWidth="1"/>
    <col min="11268" max="11271" width="10.7109375" style="34" customWidth="1"/>
    <col min="11272" max="11273" width="12.7109375" style="34" customWidth="1"/>
    <col min="11274" max="11274" width="15.7109375" style="34" customWidth="1"/>
    <col min="11275" max="11275" width="40.7109375" style="34" customWidth="1"/>
    <col min="11276" max="11276" width="15.5703125" style="34" customWidth="1"/>
    <col min="11277" max="11520" width="9.140625" style="34"/>
    <col min="11521" max="11521" width="10.7109375" style="34" customWidth="1"/>
    <col min="11522" max="11522" width="50.7109375" style="34" customWidth="1"/>
    <col min="11523" max="11523" width="15.5703125" style="34" customWidth="1"/>
    <col min="11524" max="11527" width="10.7109375" style="34" customWidth="1"/>
    <col min="11528" max="11529" width="12.7109375" style="34" customWidth="1"/>
    <col min="11530" max="11530" width="15.7109375" style="34" customWidth="1"/>
    <col min="11531" max="11531" width="40.7109375" style="34" customWidth="1"/>
    <col min="11532" max="11532" width="15.5703125" style="34" customWidth="1"/>
    <col min="11533" max="11776" width="9.140625" style="34"/>
    <col min="11777" max="11777" width="10.7109375" style="34" customWidth="1"/>
    <col min="11778" max="11778" width="50.7109375" style="34" customWidth="1"/>
    <col min="11779" max="11779" width="15.5703125" style="34" customWidth="1"/>
    <col min="11780" max="11783" width="10.7109375" style="34" customWidth="1"/>
    <col min="11784" max="11785" width="12.7109375" style="34" customWidth="1"/>
    <col min="11786" max="11786" width="15.7109375" style="34" customWidth="1"/>
    <col min="11787" max="11787" width="40.7109375" style="34" customWidth="1"/>
    <col min="11788" max="11788" width="15.5703125" style="34" customWidth="1"/>
    <col min="11789" max="12032" width="9.140625" style="34"/>
    <col min="12033" max="12033" width="10.7109375" style="34" customWidth="1"/>
    <col min="12034" max="12034" width="50.7109375" style="34" customWidth="1"/>
    <col min="12035" max="12035" width="15.5703125" style="34" customWidth="1"/>
    <col min="12036" max="12039" width="10.7109375" style="34" customWidth="1"/>
    <col min="12040" max="12041" width="12.7109375" style="34" customWidth="1"/>
    <col min="12042" max="12042" width="15.7109375" style="34" customWidth="1"/>
    <col min="12043" max="12043" width="40.7109375" style="34" customWidth="1"/>
    <col min="12044" max="12044" width="15.5703125" style="34" customWidth="1"/>
    <col min="12045" max="12288" width="9.140625" style="34"/>
    <col min="12289" max="12289" width="10.7109375" style="34" customWidth="1"/>
    <col min="12290" max="12290" width="50.7109375" style="34" customWidth="1"/>
    <col min="12291" max="12291" width="15.5703125" style="34" customWidth="1"/>
    <col min="12292" max="12295" width="10.7109375" style="34" customWidth="1"/>
    <col min="12296" max="12297" width="12.7109375" style="34" customWidth="1"/>
    <col min="12298" max="12298" width="15.7109375" style="34" customWidth="1"/>
    <col min="12299" max="12299" width="40.7109375" style="34" customWidth="1"/>
    <col min="12300" max="12300" width="15.5703125" style="34" customWidth="1"/>
    <col min="12301" max="12544" width="9.140625" style="34"/>
    <col min="12545" max="12545" width="10.7109375" style="34" customWidth="1"/>
    <col min="12546" max="12546" width="50.7109375" style="34" customWidth="1"/>
    <col min="12547" max="12547" width="15.5703125" style="34" customWidth="1"/>
    <col min="12548" max="12551" width="10.7109375" style="34" customWidth="1"/>
    <col min="12552" max="12553" width="12.7109375" style="34" customWidth="1"/>
    <col min="12554" max="12554" width="15.7109375" style="34" customWidth="1"/>
    <col min="12555" max="12555" width="40.7109375" style="34" customWidth="1"/>
    <col min="12556" max="12556" width="15.5703125" style="34" customWidth="1"/>
    <col min="12557" max="12800" width="9.140625" style="34"/>
    <col min="12801" max="12801" width="10.7109375" style="34" customWidth="1"/>
    <col min="12802" max="12802" width="50.7109375" style="34" customWidth="1"/>
    <col min="12803" max="12803" width="15.5703125" style="34" customWidth="1"/>
    <col min="12804" max="12807" width="10.7109375" style="34" customWidth="1"/>
    <col min="12808" max="12809" width="12.7109375" style="34" customWidth="1"/>
    <col min="12810" max="12810" width="15.7109375" style="34" customWidth="1"/>
    <col min="12811" max="12811" width="40.7109375" style="34" customWidth="1"/>
    <col min="12812" max="12812" width="15.5703125" style="34" customWidth="1"/>
    <col min="12813" max="13056" width="9.140625" style="34"/>
    <col min="13057" max="13057" width="10.7109375" style="34" customWidth="1"/>
    <col min="13058" max="13058" width="50.7109375" style="34" customWidth="1"/>
    <col min="13059" max="13059" width="15.5703125" style="34" customWidth="1"/>
    <col min="13060" max="13063" width="10.7109375" style="34" customWidth="1"/>
    <col min="13064" max="13065" width="12.7109375" style="34" customWidth="1"/>
    <col min="13066" max="13066" width="15.7109375" style="34" customWidth="1"/>
    <col min="13067" max="13067" width="40.7109375" style="34" customWidth="1"/>
    <col min="13068" max="13068" width="15.5703125" style="34" customWidth="1"/>
    <col min="13069" max="13312" width="9.140625" style="34"/>
    <col min="13313" max="13313" width="10.7109375" style="34" customWidth="1"/>
    <col min="13314" max="13314" width="50.7109375" style="34" customWidth="1"/>
    <col min="13315" max="13315" width="15.5703125" style="34" customWidth="1"/>
    <col min="13316" max="13319" width="10.7109375" style="34" customWidth="1"/>
    <col min="13320" max="13321" width="12.7109375" style="34" customWidth="1"/>
    <col min="13322" max="13322" width="15.7109375" style="34" customWidth="1"/>
    <col min="13323" max="13323" width="40.7109375" style="34" customWidth="1"/>
    <col min="13324" max="13324" width="15.5703125" style="34" customWidth="1"/>
    <col min="13325" max="13568" width="9.140625" style="34"/>
    <col min="13569" max="13569" width="10.7109375" style="34" customWidth="1"/>
    <col min="13570" max="13570" width="50.7109375" style="34" customWidth="1"/>
    <col min="13571" max="13571" width="15.5703125" style="34" customWidth="1"/>
    <col min="13572" max="13575" width="10.7109375" style="34" customWidth="1"/>
    <col min="13576" max="13577" width="12.7109375" style="34" customWidth="1"/>
    <col min="13578" max="13578" width="15.7109375" style="34" customWidth="1"/>
    <col min="13579" max="13579" width="40.7109375" style="34" customWidth="1"/>
    <col min="13580" max="13580" width="15.5703125" style="34" customWidth="1"/>
    <col min="13581" max="13824" width="9.140625" style="34"/>
    <col min="13825" max="13825" width="10.7109375" style="34" customWidth="1"/>
    <col min="13826" max="13826" width="50.7109375" style="34" customWidth="1"/>
    <col min="13827" max="13827" width="15.5703125" style="34" customWidth="1"/>
    <col min="13828" max="13831" width="10.7109375" style="34" customWidth="1"/>
    <col min="13832" max="13833" width="12.7109375" style="34" customWidth="1"/>
    <col min="13834" max="13834" width="15.7109375" style="34" customWidth="1"/>
    <col min="13835" max="13835" width="40.7109375" style="34" customWidth="1"/>
    <col min="13836" max="13836" width="15.5703125" style="34" customWidth="1"/>
    <col min="13837" max="14080" width="9.140625" style="34"/>
    <col min="14081" max="14081" width="10.7109375" style="34" customWidth="1"/>
    <col min="14082" max="14082" width="50.7109375" style="34" customWidth="1"/>
    <col min="14083" max="14083" width="15.5703125" style="34" customWidth="1"/>
    <col min="14084" max="14087" width="10.7109375" style="34" customWidth="1"/>
    <col min="14088" max="14089" width="12.7109375" style="34" customWidth="1"/>
    <col min="14090" max="14090" width="15.7109375" style="34" customWidth="1"/>
    <col min="14091" max="14091" width="40.7109375" style="34" customWidth="1"/>
    <col min="14092" max="14092" width="15.5703125" style="34" customWidth="1"/>
    <col min="14093" max="14336" width="9.140625" style="34"/>
    <col min="14337" max="14337" width="10.7109375" style="34" customWidth="1"/>
    <col min="14338" max="14338" width="50.7109375" style="34" customWidth="1"/>
    <col min="14339" max="14339" width="15.5703125" style="34" customWidth="1"/>
    <col min="14340" max="14343" width="10.7109375" style="34" customWidth="1"/>
    <col min="14344" max="14345" width="12.7109375" style="34" customWidth="1"/>
    <col min="14346" max="14346" width="15.7109375" style="34" customWidth="1"/>
    <col min="14347" max="14347" width="40.7109375" style="34" customWidth="1"/>
    <col min="14348" max="14348" width="15.5703125" style="34" customWidth="1"/>
    <col min="14349" max="14592" width="9.140625" style="34"/>
    <col min="14593" max="14593" width="10.7109375" style="34" customWidth="1"/>
    <col min="14594" max="14594" width="50.7109375" style="34" customWidth="1"/>
    <col min="14595" max="14595" width="15.5703125" style="34" customWidth="1"/>
    <col min="14596" max="14599" width="10.7109375" style="34" customWidth="1"/>
    <col min="14600" max="14601" width="12.7109375" style="34" customWidth="1"/>
    <col min="14602" max="14602" width="15.7109375" style="34" customWidth="1"/>
    <col min="14603" max="14603" width="40.7109375" style="34" customWidth="1"/>
    <col min="14604" max="14604" width="15.5703125" style="34" customWidth="1"/>
    <col min="14605" max="14848" width="9.140625" style="34"/>
    <col min="14849" max="14849" width="10.7109375" style="34" customWidth="1"/>
    <col min="14850" max="14850" width="50.7109375" style="34" customWidth="1"/>
    <col min="14851" max="14851" width="15.5703125" style="34" customWidth="1"/>
    <col min="14852" max="14855" width="10.7109375" style="34" customWidth="1"/>
    <col min="14856" max="14857" width="12.7109375" style="34" customWidth="1"/>
    <col min="14858" max="14858" width="15.7109375" style="34" customWidth="1"/>
    <col min="14859" max="14859" width="40.7109375" style="34" customWidth="1"/>
    <col min="14860" max="14860" width="15.5703125" style="34" customWidth="1"/>
    <col min="14861" max="15104" width="9.140625" style="34"/>
    <col min="15105" max="15105" width="10.7109375" style="34" customWidth="1"/>
    <col min="15106" max="15106" width="50.7109375" style="34" customWidth="1"/>
    <col min="15107" max="15107" width="15.5703125" style="34" customWidth="1"/>
    <col min="15108" max="15111" width="10.7109375" style="34" customWidth="1"/>
    <col min="15112" max="15113" width="12.7109375" style="34" customWidth="1"/>
    <col min="15114" max="15114" width="15.7109375" style="34" customWidth="1"/>
    <col min="15115" max="15115" width="40.7109375" style="34" customWidth="1"/>
    <col min="15116" max="15116" width="15.5703125" style="34" customWidth="1"/>
    <col min="15117" max="15360" width="9.140625" style="34"/>
    <col min="15361" max="15361" width="10.7109375" style="34" customWidth="1"/>
    <col min="15362" max="15362" width="50.7109375" style="34" customWidth="1"/>
    <col min="15363" max="15363" width="15.5703125" style="34" customWidth="1"/>
    <col min="15364" max="15367" width="10.7109375" style="34" customWidth="1"/>
    <col min="15368" max="15369" width="12.7109375" style="34" customWidth="1"/>
    <col min="15370" max="15370" width="15.7109375" style="34" customWidth="1"/>
    <col min="15371" max="15371" width="40.7109375" style="34" customWidth="1"/>
    <col min="15372" max="15372" width="15.5703125" style="34" customWidth="1"/>
    <col min="15373" max="15616" width="9.140625" style="34"/>
    <col min="15617" max="15617" width="10.7109375" style="34" customWidth="1"/>
    <col min="15618" max="15618" width="50.7109375" style="34" customWidth="1"/>
    <col min="15619" max="15619" width="15.5703125" style="34" customWidth="1"/>
    <col min="15620" max="15623" width="10.7109375" style="34" customWidth="1"/>
    <col min="15624" max="15625" width="12.7109375" style="34" customWidth="1"/>
    <col min="15626" max="15626" width="15.7109375" style="34" customWidth="1"/>
    <col min="15627" max="15627" width="40.7109375" style="34" customWidth="1"/>
    <col min="15628" max="15628" width="15.5703125" style="34" customWidth="1"/>
    <col min="15629" max="15872" width="9.140625" style="34"/>
    <col min="15873" max="15873" width="10.7109375" style="34" customWidth="1"/>
    <col min="15874" max="15874" width="50.7109375" style="34" customWidth="1"/>
    <col min="15875" max="15875" width="15.5703125" style="34" customWidth="1"/>
    <col min="15876" max="15879" width="10.7109375" style="34" customWidth="1"/>
    <col min="15880" max="15881" width="12.7109375" style="34" customWidth="1"/>
    <col min="15882" max="15882" width="15.7109375" style="34" customWidth="1"/>
    <col min="15883" max="15883" width="40.7109375" style="34" customWidth="1"/>
    <col min="15884" max="15884" width="15.5703125" style="34" customWidth="1"/>
    <col min="15885" max="16128" width="9.140625" style="34"/>
    <col min="16129" max="16129" width="10.7109375" style="34" customWidth="1"/>
    <col min="16130" max="16130" width="50.7109375" style="34" customWidth="1"/>
    <col min="16131" max="16131" width="15.5703125" style="34" customWidth="1"/>
    <col min="16132" max="16135" width="10.7109375" style="34" customWidth="1"/>
    <col min="16136" max="16137" width="12.7109375" style="34" customWidth="1"/>
    <col min="16138" max="16138" width="15.7109375" style="34" customWidth="1"/>
    <col min="16139" max="16139" width="40.7109375" style="34" customWidth="1"/>
    <col min="16140" max="16140" width="15.5703125" style="34" customWidth="1"/>
    <col min="16141" max="16384" width="9.140625" style="34"/>
  </cols>
  <sheetData>
    <row r="1" spans="1:12" s="626" customFormat="1" ht="69.95" customHeight="1" thickBot="1" x14ac:dyDescent="0.3">
      <c r="A1" s="966" t="s">
        <v>62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625"/>
    </row>
    <row r="2" spans="1:12" s="540" customFormat="1" ht="15.95" customHeight="1" thickTop="1" x14ac:dyDescent="0.25">
      <c r="A2" s="436" t="s">
        <v>1019</v>
      </c>
      <c r="B2" s="629">
        <f>Resources!C13</f>
        <v>0</v>
      </c>
      <c r="C2" s="438" t="s">
        <v>776</v>
      </c>
      <c r="D2" s="439">
        <f ca="1">COUNTIF($J$9:$J$88,"Deliverable Still In Progress")</f>
        <v>6</v>
      </c>
      <c r="E2" s="440"/>
      <c r="F2" s="441"/>
      <c r="G2" s="504"/>
      <c r="H2" s="454"/>
      <c r="I2" s="490"/>
      <c r="J2" s="454"/>
      <c r="K2" s="505"/>
      <c r="L2" s="627"/>
    </row>
    <row r="3" spans="1:12" s="540" customFormat="1" ht="15.95" customHeight="1" x14ac:dyDescent="0.25">
      <c r="A3" s="436" t="s">
        <v>1020</v>
      </c>
      <c r="B3" s="629">
        <f>Resources!E13</f>
        <v>0</v>
      </c>
      <c r="C3" s="438" t="s">
        <v>777</v>
      </c>
      <c r="D3" s="439">
        <f ca="1">COUNTIF($J$9:$J$88,"Deliverable Completed")</f>
        <v>0</v>
      </c>
      <c r="E3" s="449">
        <f ca="1">D3/D6</f>
        <v>0</v>
      </c>
      <c r="F3" s="441"/>
      <c r="G3" s="504"/>
      <c r="H3" s="454"/>
      <c r="I3" s="490"/>
      <c r="J3" s="454"/>
      <c r="K3" s="505"/>
      <c r="L3" s="627"/>
    </row>
    <row r="4" spans="1:12" s="540" customFormat="1" ht="15.95" customHeight="1" x14ac:dyDescent="0.25">
      <c r="A4" s="436" t="s">
        <v>1021</v>
      </c>
      <c r="B4" s="630"/>
      <c r="C4" s="438" t="s">
        <v>778</v>
      </c>
      <c r="D4" s="439">
        <f ca="1">D7-COUNTIF($J$9:$J$88,"completed")</f>
        <v>29</v>
      </c>
      <c r="E4" s="440"/>
      <c r="F4" s="441"/>
      <c r="G4" s="504"/>
      <c r="H4" s="454"/>
      <c r="I4" s="490"/>
      <c r="J4" s="454"/>
      <c r="K4" s="505"/>
      <c r="L4" s="627"/>
    </row>
    <row r="5" spans="1:12" s="540" customFormat="1" ht="15.95" customHeight="1" x14ac:dyDescent="0.25">
      <c r="A5" s="451"/>
      <c r="B5" s="630"/>
      <c r="C5" s="452" t="s">
        <v>779</v>
      </c>
      <c r="D5" s="439">
        <f ca="1">D7-D4</f>
        <v>0</v>
      </c>
      <c r="E5" s="449">
        <f ca="1">D5/D7</f>
        <v>0</v>
      </c>
      <c r="F5" s="441"/>
      <c r="G5" s="504"/>
      <c r="H5" s="454"/>
      <c r="I5" s="490"/>
      <c r="J5" s="454"/>
      <c r="K5" s="505"/>
      <c r="L5" s="627"/>
    </row>
    <row r="6" spans="1:12" s="540" customFormat="1" ht="15.95" customHeight="1" thickBot="1" x14ac:dyDescent="0.3">
      <c r="A6" s="451"/>
      <c r="B6" s="630"/>
      <c r="C6" s="452" t="s">
        <v>780</v>
      </c>
      <c r="D6" s="439">
        <f ca="1">D2+D3</f>
        <v>6</v>
      </c>
      <c r="E6" s="449"/>
      <c r="F6" s="441"/>
      <c r="G6" s="504"/>
      <c r="H6" s="454"/>
      <c r="I6" s="490"/>
      <c r="J6" s="454"/>
      <c r="K6" s="505"/>
      <c r="L6" s="627"/>
    </row>
    <row r="7" spans="1:12" s="540" customFormat="1" ht="15.95" customHeight="1" thickBot="1" x14ac:dyDescent="0.3">
      <c r="A7" s="451"/>
      <c r="B7" s="631"/>
      <c r="C7" s="452" t="s">
        <v>781</v>
      </c>
      <c r="D7" s="439">
        <f ca="1">COUNTA(B9:B76)-D6</f>
        <v>29</v>
      </c>
      <c r="E7" s="449"/>
      <c r="F7" s="544" t="s">
        <v>1017</v>
      </c>
      <c r="G7" s="504"/>
      <c r="H7" s="454"/>
      <c r="I7" s="490"/>
      <c r="J7" s="544" t="s">
        <v>1017</v>
      </c>
      <c r="K7" s="505"/>
      <c r="L7" s="627"/>
    </row>
    <row r="8" spans="1:12" s="289" customFormat="1" ht="47.25" x14ac:dyDescent="0.25">
      <c r="A8" s="352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529" t="s">
        <v>53</v>
      </c>
      <c r="H8" s="496" t="s">
        <v>95</v>
      </c>
      <c r="I8" s="496" t="s">
        <v>54</v>
      </c>
      <c r="J8" s="528" t="s">
        <v>55</v>
      </c>
      <c r="K8" s="356" t="s">
        <v>56</v>
      </c>
      <c r="L8" s="123"/>
    </row>
    <row r="9" spans="1:12" ht="14.25" customHeight="1" x14ac:dyDescent="0.2">
      <c r="A9" s="516"/>
      <c r="B9" s="632" t="s">
        <v>180</v>
      </c>
      <c r="C9" s="81"/>
      <c r="D9" s="619"/>
      <c r="E9" s="619"/>
      <c r="F9" s="411">
        <f ca="1">IF(ISBLANK(G9),IF(ISERROR(DAYS360(TODAY(),E9))," ",(DAYS360(TODAY(),E9))),E9-G9)</f>
        <v>-43388</v>
      </c>
      <c r="G9" s="220"/>
      <c r="H9" s="116"/>
      <c r="I9" s="81"/>
      <c r="J9" s="141" t="str">
        <f ca="1">IF(AND(J10="completed",J11="completed",J12="completed",J13="completed",J14="completed",J15="completed"),"Deliverable Completed","DELIVERABLE STILL IN PROGRESS")</f>
        <v>DELIVERABLE STILL IN PROGRESS</v>
      </c>
      <c r="K9" s="107"/>
    </row>
    <row r="10" spans="1:12" ht="15" x14ac:dyDescent="0.2">
      <c r="A10" s="517"/>
      <c r="B10" s="397" t="s">
        <v>181</v>
      </c>
      <c r="C10" s="39"/>
      <c r="D10" s="185"/>
      <c r="E10" s="185"/>
      <c r="F10" s="231">
        <f t="shared" ref="F10:F47" ca="1" si="0">IF(ISBLANK(G10),IF(ISERROR(DAYS360(TODAY(),E10))," ",(DAYS360(TODAY(),E10))),E10-G10)</f>
        <v>-43388</v>
      </c>
      <c r="G10" s="200"/>
      <c r="H10" s="38"/>
      <c r="I10" s="39"/>
      <c r="J10" s="100" t="str">
        <f t="shared" ref="J10:J14" ca="1" si="1">IF(G10&gt;0,"COMPLETED",(IF(I10&gt;0,"ISSUE IDENTIFIED",(IF(TODAY()&gt;E10,"OVERDUE","In Progress")))))</f>
        <v>OVERDUE</v>
      </c>
      <c r="K10" s="107"/>
    </row>
    <row r="11" spans="1:12" ht="25.5" x14ac:dyDescent="0.2">
      <c r="A11" s="517"/>
      <c r="B11" s="397" t="s">
        <v>182</v>
      </c>
      <c r="C11" s="39"/>
      <c r="D11" s="185"/>
      <c r="E11" s="185"/>
      <c r="F11" s="231">
        <f t="shared" ca="1" si="0"/>
        <v>-43388</v>
      </c>
      <c r="G11" s="200"/>
      <c r="H11" s="38"/>
      <c r="I11" s="39"/>
      <c r="J11" s="100" t="str">
        <f t="shared" ca="1" si="1"/>
        <v>OVERDUE</v>
      </c>
      <c r="K11" s="256"/>
    </row>
    <row r="12" spans="1:12" ht="25.5" x14ac:dyDescent="0.2">
      <c r="A12" s="517"/>
      <c r="B12" s="397" t="s">
        <v>183</v>
      </c>
      <c r="C12" s="39"/>
      <c r="D12" s="185"/>
      <c r="E12" s="185"/>
      <c r="F12" s="231">
        <f t="shared" ca="1" si="0"/>
        <v>-43388</v>
      </c>
      <c r="G12" s="200"/>
      <c r="H12" s="38"/>
      <c r="I12" s="39"/>
      <c r="J12" s="100" t="str">
        <f t="shared" ca="1" si="1"/>
        <v>OVERDUE</v>
      </c>
      <c r="K12" s="107"/>
    </row>
    <row r="13" spans="1:12" ht="15" x14ac:dyDescent="0.2">
      <c r="A13" s="517"/>
      <c r="B13" s="397" t="s">
        <v>184</v>
      </c>
      <c r="C13" s="39"/>
      <c r="D13" s="185"/>
      <c r="E13" s="185"/>
      <c r="F13" s="231">
        <f t="shared" ca="1" si="0"/>
        <v>-43388</v>
      </c>
      <c r="G13" s="200"/>
      <c r="H13" s="38"/>
      <c r="I13" s="39"/>
      <c r="J13" s="100" t="str">
        <f t="shared" ca="1" si="1"/>
        <v>OVERDUE</v>
      </c>
      <c r="K13" s="107"/>
    </row>
    <row r="14" spans="1:12" ht="15" x14ac:dyDescent="0.2">
      <c r="A14" s="517"/>
      <c r="B14" s="397" t="s">
        <v>185</v>
      </c>
      <c r="C14" s="39"/>
      <c r="D14" s="185"/>
      <c r="E14" s="185"/>
      <c r="F14" s="231">
        <f t="shared" ca="1" si="0"/>
        <v>-43388</v>
      </c>
      <c r="G14" s="200"/>
      <c r="H14" s="38"/>
      <c r="I14" s="39"/>
      <c r="J14" s="100" t="str">
        <f t="shared" ca="1" si="1"/>
        <v>OVERDUE</v>
      </c>
      <c r="K14" s="107"/>
    </row>
    <row r="15" spans="1:12" ht="15" x14ac:dyDescent="0.2">
      <c r="A15" s="517"/>
      <c r="B15" s="398" t="s">
        <v>186</v>
      </c>
      <c r="C15" s="152"/>
      <c r="D15" s="186"/>
      <c r="E15" s="186"/>
      <c r="F15" s="410">
        <f t="shared" ca="1" si="0"/>
        <v>-43388</v>
      </c>
      <c r="G15" s="219"/>
      <c r="H15" s="175"/>
      <c r="I15" s="152"/>
      <c r="J15" s="263" t="str">
        <f ca="1">IF(G15&gt;0,"COMPLETED",(IF(I15&gt;0,"ISSUE IDENTIFIED",(IF(TODAY()&gt;E15,"OVERDUE","In Progress")))))</f>
        <v>OVERDUE</v>
      </c>
      <c r="K15" s="201"/>
    </row>
    <row r="16" spans="1:12" ht="30" x14ac:dyDescent="0.2">
      <c r="A16" s="517"/>
      <c r="B16" s="632" t="s">
        <v>187</v>
      </c>
      <c r="C16" s="81"/>
      <c r="D16" s="619"/>
      <c r="E16" s="619"/>
      <c r="F16" s="411">
        <f t="shared" ca="1" si="0"/>
        <v>-43388</v>
      </c>
      <c r="G16" s="220"/>
      <c r="H16" s="116"/>
      <c r="I16" s="81"/>
      <c r="J16" s="141" t="str">
        <f ca="1">IF(AND(J17="completed",J18="completed",J19="completed",J20="completed",J21="completed",J22="completed",J23="completed",J24="completed",J25="completed"),"Deliverable Completed","DELIVERABLE STILL IN PROGRESS")</f>
        <v>DELIVERABLE STILL IN PROGRESS</v>
      </c>
      <c r="K16" s="107"/>
    </row>
    <row r="17" spans="1:11" ht="15" x14ac:dyDescent="0.2">
      <c r="A17" s="517"/>
      <c r="B17" s="397" t="s">
        <v>188</v>
      </c>
      <c r="C17" s="81"/>
      <c r="D17" s="185"/>
      <c r="E17" s="628"/>
      <c r="F17" s="411">
        <f t="shared" ca="1" si="0"/>
        <v>-43388</v>
      </c>
      <c r="G17" s="220"/>
      <c r="H17" s="116"/>
      <c r="I17" s="81"/>
      <c r="J17" s="40" t="str">
        <f t="shared" ref="J17:J25" ca="1" si="2">IF(G17&gt;0,"COMPLETED",(IF(I17&gt;0,"ISSUE IDENTIFIED",(IF(TODAY()&gt;E17,"OVERDUE","In Progress")))))</f>
        <v>OVERDUE</v>
      </c>
      <c r="K17" s="107"/>
    </row>
    <row r="18" spans="1:11" ht="15" x14ac:dyDescent="0.2">
      <c r="A18" s="517"/>
      <c r="B18" s="633" t="s">
        <v>189</v>
      </c>
      <c r="C18" s="39"/>
      <c r="D18" s="185"/>
      <c r="E18" s="185"/>
      <c r="F18" s="231">
        <f t="shared" ca="1" si="0"/>
        <v>-43388</v>
      </c>
      <c r="G18" s="200"/>
      <c r="H18" s="38"/>
      <c r="I18" s="39"/>
      <c r="J18" s="40" t="str">
        <f t="shared" ca="1" si="2"/>
        <v>OVERDUE</v>
      </c>
      <c r="K18" s="107"/>
    </row>
    <row r="19" spans="1:11" s="125" customFormat="1" ht="15" x14ac:dyDescent="0.2">
      <c r="A19" s="517"/>
      <c r="B19" s="633" t="s">
        <v>190</v>
      </c>
      <c r="C19" s="39"/>
      <c r="D19" s="185"/>
      <c r="E19" s="185"/>
      <c r="F19" s="231">
        <f t="shared" ca="1" si="0"/>
        <v>-43388</v>
      </c>
      <c r="G19" s="200"/>
      <c r="H19" s="38"/>
      <c r="I19" s="39"/>
      <c r="J19" s="40" t="str">
        <f t="shared" ca="1" si="2"/>
        <v>OVERDUE</v>
      </c>
      <c r="K19" s="107"/>
    </row>
    <row r="20" spans="1:11" ht="15" x14ac:dyDescent="0.2">
      <c r="A20" s="517"/>
      <c r="B20" s="397" t="s">
        <v>191</v>
      </c>
      <c r="C20" s="39"/>
      <c r="D20" s="185"/>
      <c r="E20" s="185"/>
      <c r="F20" s="231">
        <f t="shared" ca="1" si="0"/>
        <v>-43388</v>
      </c>
      <c r="G20" s="200"/>
      <c r="H20" s="38"/>
      <c r="I20" s="39"/>
      <c r="J20" s="40" t="str">
        <f t="shared" ca="1" si="2"/>
        <v>OVERDUE</v>
      </c>
      <c r="K20" s="107"/>
    </row>
    <row r="21" spans="1:11" ht="15" x14ac:dyDescent="0.2">
      <c r="A21" s="517"/>
      <c r="B21" s="397" t="s">
        <v>192</v>
      </c>
      <c r="C21" s="39"/>
      <c r="D21" s="185"/>
      <c r="E21" s="185"/>
      <c r="F21" s="231">
        <f t="shared" ca="1" si="0"/>
        <v>-43388</v>
      </c>
      <c r="G21" s="200"/>
      <c r="H21" s="38"/>
      <c r="I21" s="39"/>
      <c r="J21" s="40" t="str">
        <f t="shared" ca="1" si="2"/>
        <v>OVERDUE</v>
      </c>
      <c r="K21" s="107"/>
    </row>
    <row r="22" spans="1:11" ht="15" x14ac:dyDescent="0.2">
      <c r="A22" s="517"/>
      <c r="B22" s="397" t="s">
        <v>193</v>
      </c>
      <c r="C22" s="39"/>
      <c r="D22" s="185"/>
      <c r="E22" s="185"/>
      <c r="F22" s="231">
        <f t="shared" ca="1" si="0"/>
        <v>-43388</v>
      </c>
      <c r="G22" s="200"/>
      <c r="H22" s="38"/>
      <c r="I22" s="39"/>
      <c r="J22" s="40" t="str">
        <f t="shared" ca="1" si="2"/>
        <v>OVERDUE</v>
      </c>
      <c r="K22" s="107"/>
    </row>
    <row r="23" spans="1:11" ht="14.25" customHeight="1" x14ac:dyDescent="0.2">
      <c r="A23" s="517"/>
      <c r="B23" s="397" t="s">
        <v>194</v>
      </c>
      <c r="C23" s="39"/>
      <c r="D23" s="185"/>
      <c r="E23" s="185"/>
      <c r="F23" s="231">
        <f t="shared" ca="1" si="0"/>
        <v>-43388</v>
      </c>
      <c r="G23" s="200"/>
      <c r="H23" s="38"/>
      <c r="I23" s="39"/>
      <c r="J23" s="40" t="str">
        <f t="shared" ca="1" si="2"/>
        <v>OVERDUE</v>
      </c>
      <c r="K23" s="107"/>
    </row>
    <row r="24" spans="1:11" ht="15" x14ac:dyDescent="0.2">
      <c r="A24" s="517"/>
      <c r="B24" s="633" t="s">
        <v>195</v>
      </c>
      <c r="C24" s="39"/>
      <c r="D24" s="185"/>
      <c r="E24" s="185"/>
      <c r="F24" s="231">
        <f t="shared" ca="1" si="0"/>
        <v>-43388</v>
      </c>
      <c r="G24" s="200"/>
      <c r="H24" s="38"/>
      <c r="I24" s="39"/>
      <c r="J24" s="40" t="str">
        <f t="shared" ca="1" si="2"/>
        <v>OVERDUE</v>
      </c>
      <c r="K24" s="107"/>
    </row>
    <row r="25" spans="1:11" ht="15" x14ac:dyDescent="0.2">
      <c r="A25" s="517"/>
      <c r="B25" s="634" t="s">
        <v>196</v>
      </c>
      <c r="C25" s="152"/>
      <c r="D25" s="186"/>
      <c r="E25" s="186"/>
      <c r="F25" s="410">
        <f t="shared" ca="1" si="0"/>
        <v>-43388</v>
      </c>
      <c r="G25" s="219"/>
      <c r="H25" s="175"/>
      <c r="I25" s="152"/>
      <c r="J25" s="153" t="str">
        <f t="shared" ca="1" si="2"/>
        <v>OVERDUE</v>
      </c>
      <c r="K25" s="264"/>
    </row>
    <row r="26" spans="1:11" ht="15" x14ac:dyDescent="0.2">
      <c r="A26" s="517"/>
      <c r="B26" s="632" t="s">
        <v>197</v>
      </c>
      <c r="C26" s="81"/>
      <c r="D26" s="619"/>
      <c r="E26" s="619"/>
      <c r="F26" s="411">
        <f t="shared" ca="1" si="0"/>
        <v>-43388</v>
      </c>
      <c r="G26" s="220"/>
      <c r="H26" s="116"/>
      <c r="I26" s="81"/>
      <c r="J26" s="141" t="str">
        <f ca="1">IF(AND(J27="completed",J28="completed",J29="completed",J30="completed"),"Deliverable Completed","DELIVERABLE STILL IN PROGRESS")</f>
        <v>DELIVERABLE STILL IN PROGRESS</v>
      </c>
      <c r="K26" s="107"/>
    </row>
    <row r="27" spans="1:11" ht="16.5" customHeight="1" x14ac:dyDescent="0.2">
      <c r="A27" s="517"/>
      <c r="B27" s="397" t="s">
        <v>198</v>
      </c>
      <c r="C27" s="39"/>
      <c r="D27" s="185"/>
      <c r="E27" s="185"/>
      <c r="F27" s="231">
        <f t="shared" ca="1" si="0"/>
        <v>-43388</v>
      </c>
      <c r="G27" s="200"/>
      <c r="H27" s="38"/>
      <c r="I27" s="39"/>
      <c r="J27" s="40" t="str">
        <f t="shared" ref="J27:J30" ca="1" si="3">IF(G27&gt;0,"COMPLETED",(IF(I27&gt;0,"ISSUE IDENTIFIED",(IF(TODAY()&gt;E27,"OVERDUE","In Progress")))))</f>
        <v>OVERDUE</v>
      </c>
      <c r="K27" s="107"/>
    </row>
    <row r="28" spans="1:11" ht="15" x14ac:dyDescent="0.2">
      <c r="A28" s="517"/>
      <c r="B28" s="397" t="s">
        <v>199</v>
      </c>
      <c r="C28" s="39"/>
      <c r="D28" s="185"/>
      <c r="E28" s="185"/>
      <c r="F28" s="231">
        <f t="shared" ca="1" si="0"/>
        <v>-43388</v>
      </c>
      <c r="G28" s="200"/>
      <c r="H28" s="38"/>
      <c r="I28" s="39"/>
      <c r="J28" s="40" t="str">
        <f t="shared" ca="1" si="3"/>
        <v>OVERDUE</v>
      </c>
      <c r="K28" s="107"/>
    </row>
    <row r="29" spans="1:11" ht="15" x14ac:dyDescent="0.2">
      <c r="A29" s="517"/>
      <c r="B29" s="397" t="s">
        <v>200</v>
      </c>
      <c r="C29" s="39"/>
      <c r="D29" s="185"/>
      <c r="E29" s="185"/>
      <c r="F29" s="231">
        <f t="shared" ca="1" si="0"/>
        <v>-43388</v>
      </c>
      <c r="G29" s="200"/>
      <c r="H29" s="38"/>
      <c r="I29" s="39"/>
      <c r="J29" s="40" t="str">
        <f t="shared" ca="1" si="3"/>
        <v>OVERDUE</v>
      </c>
      <c r="K29" s="107"/>
    </row>
    <row r="30" spans="1:11" ht="15" x14ac:dyDescent="0.2">
      <c r="A30" s="517"/>
      <c r="B30" s="398" t="s">
        <v>201</v>
      </c>
      <c r="C30" s="152"/>
      <c r="D30" s="174"/>
      <c r="E30" s="186"/>
      <c r="F30" s="410">
        <f t="shared" ca="1" si="0"/>
        <v>-43388</v>
      </c>
      <c r="G30" s="219"/>
      <c r="H30" s="175"/>
      <c r="I30" s="152"/>
      <c r="J30" s="153" t="str">
        <f t="shared" ca="1" si="3"/>
        <v>OVERDUE</v>
      </c>
      <c r="K30" s="201"/>
    </row>
    <row r="31" spans="1:11" ht="15" x14ac:dyDescent="0.2">
      <c r="A31" s="517"/>
      <c r="B31" s="632" t="s">
        <v>202</v>
      </c>
      <c r="C31" s="145"/>
      <c r="D31" s="619"/>
      <c r="E31" s="619"/>
      <c r="F31" s="409">
        <f t="shared" ca="1" si="0"/>
        <v>-43388</v>
      </c>
      <c r="G31" s="154"/>
      <c r="H31" s="173"/>
      <c r="I31" s="145"/>
      <c r="J31" s="138" t="str">
        <f ca="1">IF(AND(J33="completed",J34="completed",J35="completed",J36="completed",J37="completed"),"Deliverable Completed","DELIVERABLE STILL IN PROGRESS")</f>
        <v>DELIVERABLE STILL IN PROGRESS</v>
      </c>
      <c r="K31" s="107"/>
    </row>
    <row r="32" spans="1:11" ht="30" x14ac:dyDescent="0.2">
      <c r="A32" s="517"/>
      <c r="B32" s="635" t="s">
        <v>203</v>
      </c>
      <c r="C32" s="81"/>
      <c r="D32" s="199"/>
      <c r="E32" s="199"/>
      <c r="F32" s="411">
        <f t="shared" ca="1" si="0"/>
        <v>-43388</v>
      </c>
      <c r="G32" s="103"/>
      <c r="H32" s="38"/>
      <c r="I32" s="81"/>
      <c r="J32" s="40" t="str">
        <f t="shared" ref="J32:J42" ca="1" si="4">IF(G32&gt;0,"COMPLETED",(IF(I32&gt;0,"ISSUE IDENTIFIED",(IF(TODAY()&gt;E32,"OVERDUE","In Progress")))))</f>
        <v>OVERDUE</v>
      </c>
      <c r="K32" s="107"/>
    </row>
    <row r="33" spans="1:11" ht="15" x14ac:dyDescent="0.2">
      <c r="A33" s="517"/>
      <c r="B33" s="636" t="s">
        <v>204</v>
      </c>
      <c r="C33" s="39"/>
      <c r="D33" s="185"/>
      <c r="E33" s="185"/>
      <c r="F33" s="231">
        <f t="shared" ca="1" si="0"/>
        <v>-43388</v>
      </c>
      <c r="G33" s="200"/>
      <c r="H33" s="38"/>
      <c r="I33" s="39"/>
      <c r="J33" s="40" t="str">
        <f t="shared" ca="1" si="4"/>
        <v>OVERDUE</v>
      </c>
      <c r="K33" s="107"/>
    </row>
    <row r="34" spans="1:11" ht="15" x14ac:dyDescent="0.2">
      <c r="A34" s="517"/>
      <c r="B34" s="397" t="s">
        <v>205</v>
      </c>
      <c r="C34" s="39"/>
      <c r="D34" s="185"/>
      <c r="E34" s="185"/>
      <c r="F34" s="231">
        <f t="shared" ca="1" si="0"/>
        <v>-43388</v>
      </c>
      <c r="G34" s="200"/>
      <c r="H34" s="38"/>
      <c r="I34" s="39"/>
      <c r="J34" s="40" t="str">
        <f t="shared" ca="1" si="4"/>
        <v>OVERDUE</v>
      </c>
      <c r="K34" s="107"/>
    </row>
    <row r="35" spans="1:11" ht="15" x14ac:dyDescent="0.2">
      <c r="A35" s="517"/>
      <c r="B35" s="397" t="s">
        <v>206</v>
      </c>
      <c r="C35" s="39"/>
      <c r="D35" s="185"/>
      <c r="E35" s="185"/>
      <c r="F35" s="231">
        <f t="shared" ca="1" si="0"/>
        <v>-43388</v>
      </c>
      <c r="G35" s="200"/>
      <c r="H35" s="38"/>
      <c r="I35" s="39"/>
      <c r="J35" s="40" t="str">
        <f t="shared" ca="1" si="4"/>
        <v>OVERDUE</v>
      </c>
      <c r="K35" s="107"/>
    </row>
    <row r="36" spans="1:11" ht="15" x14ac:dyDescent="0.2">
      <c r="A36" s="517"/>
      <c r="B36" s="397" t="s">
        <v>207</v>
      </c>
      <c r="C36" s="216"/>
      <c r="D36" s="185"/>
      <c r="E36" s="534"/>
      <c r="F36" s="419">
        <f t="shared" ca="1" si="0"/>
        <v>-43388</v>
      </c>
      <c r="G36" s="266"/>
      <c r="H36" s="38"/>
      <c r="I36" s="216"/>
      <c r="J36" s="40" t="str">
        <f t="shared" ca="1" si="4"/>
        <v>OVERDUE</v>
      </c>
      <c r="K36" s="107"/>
    </row>
    <row r="37" spans="1:11" ht="15" x14ac:dyDescent="0.2">
      <c r="A37" s="517"/>
      <c r="B37" s="399" t="s">
        <v>208</v>
      </c>
      <c r="C37" s="152"/>
      <c r="D37" s="174"/>
      <c r="E37" s="186"/>
      <c r="F37" s="410">
        <f t="shared" ca="1" si="0"/>
        <v>-43388</v>
      </c>
      <c r="G37" s="219"/>
      <c r="H37" s="175"/>
      <c r="I37" s="152"/>
      <c r="J37" s="153" t="str">
        <f t="shared" ca="1" si="4"/>
        <v>OVERDUE</v>
      </c>
      <c r="K37" s="264"/>
    </row>
    <row r="38" spans="1:11" ht="15" x14ac:dyDescent="0.2">
      <c r="A38" s="517"/>
      <c r="B38" s="632" t="s">
        <v>209</v>
      </c>
      <c r="C38" s="81"/>
      <c r="D38" s="619"/>
      <c r="E38" s="619"/>
      <c r="F38" s="411">
        <f t="shared" ca="1" si="0"/>
        <v>-43388</v>
      </c>
      <c r="G38" s="220"/>
      <c r="H38" s="116"/>
      <c r="I38" s="81"/>
      <c r="J38" s="141" t="str">
        <f ca="1">IF(AND(J39="completed",J40="completed",J41="completed",J42="completed"),"Deliverable Completed","DELIVERABLE STILL IN PROGRESS")</f>
        <v>DELIVERABLE STILL IN PROGRESS</v>
      </c>
      <c r="K38" s="107"/>
    </row>
    <row r="39" spans="1:11" ht="15" x14ac:dyDescent="0.2">
      <c r="A39" s="517"/>
      <c r="B39" s="397" t="s">
        <v>210</v>
      </c>
      <c r="C39" s="39"/>
      <c r="D39" s="185"/>
      <c r="E39" s="185"/>
      <c r="F39" s="231">
        <f t="shared" ca="1" si="0"/>
        <v>-43388</v>
      </c>
      <c r="G39" s="200"/>
      <c r="H39" s="38"/>
      <c r="I39" s="39"/>
      <c r="J39" s="40" t="str">
        <f t="shared" ca="1" si="4"/>
        <v>OVERDUE</v>
      </c>
      <c r="K39" s="107"/>
    </row>
    <row r="40" spans="1:11" ht="15" x14ac:dyDescent="0.2">
      <c r="A40" s="517"/>
      <c r="B40" s="397" t="s">
        <v>211</v>
      </c>
      <c r="C40" s="39"/>
      <c r="D40" s="185"/>
      <c r="E40" s="185"/>
      <c r="F40" s="231">
        <f t="shared" ca="1" si="0"/>
        <v>-43388</v>
      </c>
      <c r="G40" s="200"/>
      <c r="H40" s="38"/>
      <c r="I40" s="39"/>
      <c r="J40" s="40" t="str">
        <f t="shared" ca="1" si="4"/>
        <v>OVERDUE</v>
      </c>
      <c r="K40" s="107"/>
    </row>
    <row r="41" spans="1:11" x14ac:dyDescent="0.2">
      <c r="A41" s="517"/>
      <c r="B41" s="397" t="s">
        <v>212</v>
      </c>
      <c r="C41" s="216"/>
      <c r="D41" s="185"/>
      <c r="E41" s="185"/>
      <c r="F41" s="564">
        <f t="shared" ca="1" si="0"/>
        <v>-43388</v>
      </c>
      <c r="G41" s="200"/>
      <c r="H41" s="38"/>
      <c r="I41" s="39"/>
      <c r="J41" s="40" t="str">
        <f t="shared" ca="1" si="4"/>
        <v>OVERDUE</v>
      </c>
      <c r="K41" s="107"/>
    </row>
    <row r="42" spans="1:11" x14ac:dyDescent="0.2">
      <c r="A42" s="517"/>
      <c r="B42" s="398" t="s">
        <v>213</v>
      </c>
      <c r="C42" s="152"/>
      <c r="D42" s="186"/>
      <c r="E42" s="186"/>
      <c r="F42" s="617">
        <f t="shared" ca="1" si="0"/>
        <v>-43388</v>
      </c>
      <c r="G42" s="219"/>
      <c r="H42" s="175"/>
      <c r="I42" s="152"/>
      <c r="J42" s="153" t="str">
        <f t="shared" ca="1" si="4"/>
        <v>OVERDUE</v>
      </c>
      <c r="K42" s="264"/>
    </row>
    <row r="43" spans="1:11" ht="15" x14ac:dyDescent="0.2">
      <c r="A43" s="517"/>
      <c r="B43" s="632" t="s">
        <v>214</v>
      </c>
      <c r="C43" s="145"/>
      <c r="D43" s="265"/>
      <c r="E43" s="265"/>
      <c r="F43" s="525">
        <f t="shared" ca="1" si="0"/>
        <v>-43388</v>
      </c>
      <c r="G43" s="177"/>
      <c r="H43" s="178"/>
      <c r="I43" s="180"/>
      <c r="J43" s="138" t="str">
        <f ca="1">IF(AND(J44="completed",J45="completed",J46="completed",J47="completed"),"Deliverable Completed","DELIVERABLE STILL IN PROGRESS")</f>
        <v>DELIVERABLE STILL IN PROGRESS</v>
      </c>
      <c r="K43" s="107"/>
    </row>
    <row r="44" spans="1:11" ht="15" x14ac:dyDescent="0.2">
      <c r="A44" s="517"/>
      <c r="B44" s="397"/>
      <c r="C44" s="39"/>
      <c r="D44" s="185"/>
      <c r="E44" s="185"/>
      <c r="F44" s="231">
        <f t="shared" ca="1" si="0"/>
        <v>-43388</v>
      </c>
      <c r="G44" s="200"/>
      <c r="H44" s="38"/>
      <c r="I44" s="38"/>
      <c r="J44" s="40" t="str">
        <f t="shared" ref="J44:J47" ca="1" si="5">IF(G44&gt;0,"COMPLETED",(IF(I44&gt;0,"ISSUE IDENTIFIED",(IF(TODAY()&gt;E44,"OVERDUE","In Progress")))))</f>
        <v>OVERDUE</v>
      </c>
      <c r="K44" s="107"/>
    </row>
    <row r="45" spans="1:11" ht="15" x14ac:dyDescent="0.2">
      <c r="A45" s="517"/>
      <c r="B45" s="397"/>
      <c r="C45" s="39"/>
      <c r="D45" s="185"/>
      <c r="E45" s="185"/>
      <c r="F45" s="231">
        <f t="shared" ca="1" si="0"/>
        <v>-43388</v>
      </c>
      <c r="G45" s="200"/>
      <c r="H45" s="38"/>
      <c r="I45" s="38"/>
      <c r="J45" s="40" t="str">
        <f t="shared" ca="1" si="5"/>
        <v>OVERDUE</v>
      </c>
      <c r="K45" s="107"/>
    </row>
    <row r="46" spans="1:11" ht="15" x14ac:dyDescent="0.2">
      <c r="A46" s="517"/>
      <c r="B46" s="397"/>
      <c r="C46" s="39"/>
      <c r="D46" s="185"/>
      <c r="E46" s="185"/>
      <c r="F46" s="231">
        <f t="shared" ca="1" si="0"/>
        <v>-43388</v>
      </c>
      <c r="G46" s="200"/>
      <c r="H46" s="38"/>
      <c r="I46" s="38"/>
      <c r="J46" s="40" t="str">
        <f t="shared" ca="1" si="5"/>
        <v>OVERDUE</v>
      </c>
      <c r="K46" s="107"/>
    </row>
    <row r="47" spans="1:11" ht="15.75" thickBot="1" x14ac:dyDescent="0.25">
      <c r="A47" s="519"/>
      <c r="B47" s="637"/>
      <c r="C47" s="59"/>
      <c r="D47" s="272"/>
      <c r="E47" s="209"/>
      <c r="F47" s="526">
        <f t="shared" ca="1" si="0"/>
        <v>-43388</v>
      </c>
      <c r="G47" s="209"/>
      <c r="H47" s="59"/>
      <c r="I47" s="63"/>
      <c r="J47" s="74" t="str">
        <f t="shared" ca="1" si="5"/>
        <v>OVERDUE</v>
      </c>
      <c r="K47" s="66"/>
    </row>
    <row r="48" spans="1:11" x14ac:dyDescent="0.2">
      <c r="A48" s="36"/>
      <c r="B48" s="37"/>
      <c r="C48" s="36"/>
      <c r="D48" s="43"/>
      <c r="E48" s="43"/>
      <c r="F48" s="43"/>
      <c r="G48" s="104"/>
      <c r="H48" s="36"/>
      <c r="I48" s="37"/>
      <c r="J48" s="36"/>
      <c r="K48" s="36"/>
    </row>
    <row r="49" spans="1:11" x14ac:dyDescent="0.2">
      <c r="A49" s="36"/>
      <c r="B49" s="37"/>
      <c r="C49" s="36"/>
      <c r="D49" s="43"/>
      <c r="E49" s="43"/>
      <c r="F49" s="43"/>
      <c r="G49" s="104"/>
      <c r="H49" s="36"/>
      <c r="I49" s="37"/>
      <c r="J49" s="36"/>
      <c r="K49" s="36"/>
    </row>
  </sheetData>
  <sheetProtection algorithmName="SHA-512" hashValue="Q1HbnmMygsnEIJNJ/V5oyxQHhzRsYVwa4Ma3jyNVdCLMeNiDl4g8MPqHeldPyHj9yQcGsmItw8l3/nyDaNmd3A==" saltValue="sNZQDvH2+nLETAevv0PDhg==" spinCount="100000" sheet="1" insertRows="0" deleteRows="0" sort="0" autoFilter="0"/>
  <mergeCells count="1">
    <mergeCell ref="A1:K1"/>
  </mergeCells>
  <conditionalFormatting sqref="F9:F150">
    <cfRule type="cellIs" dxfId="125" priority="2" stopIfTrue="1" operator="lessThan">
      <formula>-1000</formula>
    </cfRule>
  </conditionalFormatting>
  <conditionalFormatting sqref="D9:E47">
    <cfRule type="cellIs" dxfId="124" priority="1" operator="equal">
      <formula>0</formula>
    </cfRule>
  </conditionalFormatting>
  <conditionalFormatting sqref="J9:J150">
    <cfRule type="containsText" dxfId="123" priority="6" operator="containsText" text="DELIVERABLE STILL IN PROGRESS">
      <formula>NOT(ISERROR(SEARCH("DELIVERABLE STILL IN PROGRESS",J9)))</formula>
    </cfRule>
    <cfRule type="containsText" dxfId="122" priority="7" operator="containsText" text="DELIVERABLE COMPLETED">
      <formula>NOT(ISERROR(SEARCH("DELIVERABLE COMPLETED",J9)))</formula>
    </cfRule>
    <cfRule type="cellIs" dxfId="121" priority="8" stopIfTrue="1" operator="equal">
      <formula>"OVERDUE"</formula>
    </cfRule>
    <cfRule type="cellIs" dxfId="120" priority="9" stopIfTrue="1" operator="equal">
      <formula>"COMPLETED"</formula>
    </cfRule>
    <cfRule type="cellIs" dxfId="119" priority="10" stopIfTrue="1" operator="equal">
      <formula>"ISSUE IDENTIFIED"</formula>
    </cfRule>
  </conditionalFormatting>
  <printOptions horizontalCentered="1"/>
  <pageMargins left="0.25" right="0.25" top="0.5" bottom="0.75" header="0.25" footer="0.5"/>
  <pageSetup scale="45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8B5C9-B2C0-4989-A25A-FA22411A6DA1}">
  <sheetPr codeName="Sheet6">
    <tabColor rgb="FF0C3964"/>
    <pageSetUpPr fitToPage="1"/>
  </sheetPr>
  <dimension ref="A1:L61"/>
  <sheetViews>
    <sheetView showGridLines="0" zoomScaleNormal="100" workbookViewId="0">
      <pane xSplit="3" ySplit="8" topLeftCell="E52" activePane="bottomRight" state="frozen"/>
      <selection pane="topRight" activeCell="D1" sqref="D1"/>
      <selection pane="bottomLeft" activeCell="A9" sqref="A9"/>
      <selection pane="bottomRight" activeCell="B56" sqref="B56"/>
    </sheetView>
  </sheetViews>
  <sheetFormatPr defaultRowHeight="12.75" x14ac:dyDescent="0.2"/>
  <cols>
    <col min="1" max="1" width="19.140625" style="25" bestFit="1" customWidth="1"/>
    <col min="2" max="2" width="87.7109375" style="27" customWidth="1"/>
    <col min="3" max="3" width="35.28515625" style="25" bestFit="1" customWidth="1"/>
    <col min="4" max="7" width="13.7109375" style="5" customWidth="1"/>
    <col min="8" max="8" width="14.7109375" style="25" bestFit="1" customWidth="1"/>
    <col min="9" max="9" width="28.7109375" style="27" bestFit="1" customWidth="1"/>
    <col min="10" max="10" width="33.28515625" style="25" bestFit="1" customWidth="1"/>
    <col min="11" max="11" width="40.7109375" style="25" customWidth="1"/>
    <col min="12" max="12" width="15.5703125" style="25" customWidth="1"/>
    <col min="13" max="13" width="7" style="25" customWidth="1"/>
    <col min="14" max="256" width="9.140625" style="25"/>
    <col min="257" max="257" width="10.7109375" style="25" customWidth="1"/>
    <col min="258" max="258" width="50.7109375" style="25" customWidth="1"/>
    <col min="259" max="259" width="15.5703125" style="25" customWidth="1"/>
    <col min="260" max="263" width="10.7109375" style="25" customWidth="1"/>
    <col min="264" max="265" width="12.7109375" style="25" customWidth="1"/>
    <col min="266" max="266" width="15.7109375" style="25" customWidth="1"/>
    <col min="267" max="267" width="40.7109375" style="25" customWidth="1"/>
    <col min="268" max="268" width="15.5703125" style="25" customWidth="1"/>
    <col min="269" max="512" width="9.140625" style="25"/>
    <col min="513" max="513" width="10.7109375" style="25" customWidth="1"/>
    <col min="514" max="514" width="50.7109375" style="25" customWidth="1"/>
    <col min="515" max="515" width="15.5703125" style="25" customWidth="1"/>
    <col min="516" max="519" width="10.7109375" style="25" customWidth="1"/>
    <col min="520" max="521" width="12.7109375" style="25" customWidth="1"/>
    <col min="522" max="522" width="15.7109375" style="25" customWidth="1"/>
    <col min="523" max="523" width="40.7109375" style="25" customWidth="1"/>
    <col min="524" max="524" width="15.5703125" style="25" customWidth="1"/>
    <col min="525" max="768" width="9.140625" style="25"/>
    <col min="769" max="769" width="10.7109375" style="25" customWidth="1"/>
    <col min="770" max="770" width="50.7109375" style="25" customWidth="1"/>
    <col min="771" max="771" width="15.5703125" style="25" customWidth="1"/>
    <col min="772" max="775" width="10.7109375" style="25" customWidth="1"/>
    <col min="776" max="777" width="12.7109375" style="25" customWidth="1"/>
    <col min="778" max="778" width="15.7109375" style="25" customWidth="1"/>
    <col min="779" max="779" width="40.7109375" style="25" customWidth="1"/>
    <col min="780" max="780" width="15.5703125" style="25" customWidth="1"/>
    <col min="781" max="1024" width="9.140625" style="25"/>
    <col min="1025" max="1025" width="10.7109375" style="25" customWidth="1"/>
    <col min="1026" max="1026" width="50.7109375" style="25" customWidth="1"/>
    <col min="1027" max="1027" width="15.5703125" style="25" customWidth="1"/>
    <col min="1028" max="1031" width="10.7109375" style="25" customWidth="1"/>
    <col min="1032" max="1033" width="12.7109375" style="25" customWidth="1"/>
    <col min="1034" max="1034" width="15.7109375" style="25" customWidth="1"/>
    <col min="1035" max="1035" width="40.7109375" style="25" customWidth="1"/>
    <col min="1036" max="1036" width="15.5703125" style="25" customWidth="1"/>
    <col min="1037" max="1280" width="9.140625" style="25"/>
    <col min="1281" max="1281" width="10.7109375" style="25" customWidth="1"/>
    <col min="1282" max="1282" width="50.7109375" style="25" customWidth="1"/>
    <col min="1283" max="1283" width="15.5703125" style="25" customWidth="1"/>
    <col min="1284" max="1287" width="10.7109375" style="25" customWidth="1"/>
    <col min="1288" max="1289" width="12.7109375" style="25" customWidth="1"/>
    <col min="1290" max="1290" width="15.7109375" style="25" customWidth="1"/>
    <col min="1291" max="1291" width="40.7109375" style="25" customWidth="1"/>
    <col min="1292" max="1292" width="15.5703125" style="25" customWidth="1"/>
    <col min="1293" max="1536" width="9.140625" style="25"/>
    <col min="1537" max="1537" width="10.7109375" style="25" customWidth="1"/>
    <col min="1538" max="1538" width="50.7109375" style="25" customWidth="1"/>
    <col min="1539" max="1539" width="15.5703125" style="25" customWidth="1"/>
    <col min="1540" max="1543" width="10.7109375" style="25" customWidth="1"/>
    <col min="1544" max="1545" width="12.7109375" style="25" customWidth="1"/>
    <col min="1546" max="1546" width="15.7109375" style="25" customWidth="1"/>
    <col min="1547" max="1547" width="40.7109375" style="25" customWidth="1"/>
    <col min="1548" max="1548" width="15.5703125" style="25" customWidth="1"/>
    <col min="1549" max="1792" width="9.140625" style="25"/>
    <col min="1793" max="1793" width="10.7109375" style="25" customWidth="1"/>
    <col min="1794" max="1794" width="50.7109375" style="25" customWidth="1"/>
    <col min="1795" max="1795" width="15.5703125" style="25" customWidth="1"/>
    <col min="1796" max="1799" width="10.7109375" style="25" customWidth="1"/>
    <col min="1800" max="1801" width="12.7109375" style="25" customWidth="1"/>
    <col min="1802" max="1802" width="15.7109375" style="25" customWidth="1"/>
    <col min="1803" max="1803" width="40.7109375" style="25" customWidth="1"/>
    <col min="1804" max="1804" width="15.5703125" style="25" customWidth="1"/>
    <col min="1805" max="2048" width="9.140625" style="25"/>
    <col min="2049" max="2049" width="10.7109375" style="25" customWidth="1"/>
    <col min="2050" max="2050" width="50.7109375" style="25" customWidth="1"/>
    <col min="2051" max="2051" width="15.5703125" style="25" customWidth="1"/>
    <col min="2052" max="2055" width="10.7109375" style="25" customWidth="1"/>
    <col min="2056" max="2057" width="12.7109375" style="25" customWidth="1"/>
    <col min="2058" max="2058" width="15.7109375" style="25" customWidth="1"/>
    <col min="2059" max="2059" width="40.7109375" style="25" customWidth="1"/>
    <col min="2060" max="2060" width="15.5703125" style="25" customWidth="1"/>
    <col min="2061" max="2304" width="9.140625" style="25"/>
    <col min="2305" max="2305" width="10.7109375" style="25" customWidth="1"/>
    <col min="2306" max="2306" width="50.7109375" style="25" customWidth="1"/>
    <col min="2307" max="2307" width="15.5703125" style="25" customWidth="1"/>
    <col min="2308" max="2311" width="10.7109375" style="25" customWidth="1"/>
    <col min="2312" max="2313" width="12.7109375" style="25" customWidth="1"/>
    <col min="2314" max="2314" width="15.7109375" style="25" customWidth="1"/>
    <col min="2315" max="2315" width="40.7109375" style="25" customWidth="1"/>
    <col min="2316" max="2316" width="15.5703125" style="25" customWidth="1"/>
    <col min="2317" max="2560" width="9.140625" style="25"/>
    <col min="2561" max="2561" width="10.7109375" style="25" customWidth="1"/>
    <col min="2562" max="2562" width="50.7109375" style="25" customWidth="1"/>
    <col min="2563" max="2563" width="15.5703125" style="25" customWidth="1"/>
    <col min="2564" max="2567" width="10.7109375" style="25" customWidth="1"/>
    <col min="2568" max="2569" width="12.7109375" style="25" customWidth="1"/>
    <col min="2570" max="2570" width="15.7109375" style="25" customWidth="1"/>
    <col min="2571" max="2571" width="40.7109375" style="25" customWidth="1"/>
    <col min="2572" max="2572" width="15.5703125" style="25" customWidth="1"/>
    <col min="2573" max="2816" width="9.140625" style="25"/>
    <col min="2817" max="2817" width="10.7109375" style="25" customWidth="1"/>
    <col min="2818" max="2818" width="50.7109375" style="25" customWidth="1"/>
    <col min="2819" max="2819" width="15.5703125" style="25" customWidth="1"/>
    <col min="2820" max="2823" width="10.7109375" style="25" customWidth="1"/>
    <col min="2824" max="2825" width="12.7109375" style="25" customWidth="1"/>
    <col min="2826" max="2826" width="15.7109375" style="25" customWidth="1"/>
    <col min="2827" max="2827" width="40.7109375" style="25" customWidth="1"/>
    <col min="2828" max="2828" width="15.5703125" style="25" customWidth="1"/>
    <col min="2829" max="3072" width="9.140625" style="25"/>
    <col min="3073" max="3073" width="10.7109375" style="25" customWidth="1"/>
    <col min="3074" max="3074" width="50.7109375" style="25" customWidth="1"/>
    <col min="3075" max="3075" width="15.5703125" style="25" customWidth="1"/>
    <col min="3076" max="3079" width="10.7109375" style="25" customWidth="1"/>
    <col min="3080" max="3081" width="12.7109375" style="25" customWidth="1"/>
    <col min="3082" max="3082" width="15.7109375" style="25" customWidth="1"/>
    <col min="3083" max="3083" width="40.7109375" style="25" customWidth="1"/>
    <col min="3084" max="3084" width="15.5703125" style="25" customWidth="1"/>
    <col min="3085" max="3328" width="9.140625" style="25"/>
    <col min="3329" max="3329" width="10.7109375" style="25" customWidth="1"/>
    <col min="3330" max="3330" width="50.7109375" style="25" customWidth="1"/>
    <col min="3331" max="3331" width="15.5703125" style="25" customWidth="1"/>
    <col min="3332" max="3335" width="10.7109375" style="25" customWidth="1"/>
    <col min="3336" max="3337" width="12.7109375" style="25" customWidth="1"/>
    <col min="3338" max="3338" width="15.7109375" style="25" customWidth="1"/>
    <col min="3339" max="3339" width="40.7109375" style="25" customWidth="1"/>
    <col min="3340" max="3340" width="15.5703125" style="25" customWidth="1"/>
    <col min="3341" max="3584" width="9.140625" style="25"/>
    <col min="3585" max="3585" width="10.7109375" style="25" customWidth="1"/>
    <col min="3586" max="3586" width="50.7109375" style="25" customWidth="1"/>
    <col min="3587" max="3587" width="15.5703125" style="25" customWidth="1"/>
    <col min="3588" max="3591" width="10.7109375" style="25" customWidth="1"/>
    <col min="3592" max="3593" width="12.7109375" style="25" customWidth="1"/>
    <col min="3594" max="3594" width="15.7109375" style="25" customWidth="1"/>
    <col min="3595" max="3595" width="40.7109375" style="25" customWidth="1"/>
    <col min="3596" max="3596" width="15.5703125" style="25" customWidth="1"/>
    <col min="3597" max="3840" width="9.140625" style="25"/>
    <col min="3841" max="3841" width="10.7109375" style="25" customWidth="1"/>
    <col min="3842" max="3842" width="50.7109375" style="25" customWidth="1"/>
    <col min="3843" max="3843" width="15.5703125" style="25" customWidth="1"/>
    <col min="3844" max="3847" width="10.7109375" style="25" customWidth="1"/>
    <col min="3848" max="3849" width="12.7109375" style="25" customWidth="1"/>
    <col min="3850" max="3850" width="15.7109375" style="25" customWidth="1"/>
    <col min="3851" max="3851" width="40.7109375" style="25" customWidth="1"/>
    <col min="3852" max="3852" width="15.5703125" style="25" customWidth="1"/>
    <col min="3853" max="4096" width="9.140625" style="25"/>
    <col min="4097" max="4097" width="10.7109375" style="25" customWidth="1"/>
    <col min="4098" max="4098" width="50.7109375" style="25" customWidth="1"/>
    <col min="4099" max="4099" width="15.5703125" style="25" customWidth="1"/>
    <col min="4100" max="4103" width="10.7109375" style="25" customWidth="1"/>
    <col min="4104" max="4105" width="12.7109375" style="25" customWidth="1"/>
    <col min="4106" max="4106" width="15.7109375" style="25" customWidth="1"/>
    <col min="4107" max="4107" width="40.7109375" style="25" customWidth="1"/>
    <col min="4108" max="4108" width="15.5703125" style="25" customWidth="1"/>
    <col min="4109" max="4352" width="9.140625" style="25"/>
    <col min="4353" max="4353" width="10.7109375" style="25" customWidth="1"/>
    <col min="4354" max="4354" width="50.7109375" style="25" customWidth="1"/>
    <col min="4355" max="4355" width="15.5703125" style="25" customWidth="1"/>
    <col min="4356" max="4359" width="10.7109375" style="25" customWidth="1"/>
    <col min="4360" max="4361" width="12.7109375" style="25" customWidth="1"/>
    <col min="4362" max="4362" width="15.7109375" style="25" customWidth="1"/>
    <col min="4363" max="4363" width="40.7109375" style="25" customWidth="1"/>
    <col min="4364" max="4364" width="15.5703125" style="25" customWidth="1"/>
    <col min="4365" max="4608" width="9.140625" style="25"/>
    <col min="4609" max="4609" width="10.7109375" style="25" customWidth="1"/>
    <col min="4610" max="4610" width="50.7109375" style="25" customWidth="1"/>
    <col min="4611" max="4611" width="15.5703125" style="25" customWidth="1"/>
    <col min="4612" max="4615" width="10.7109375" style="25" customWidth="1"/>
    <col min="4616" max="4617" width="12.7109375" style="25" customWidth="1"/>
    <col min="4618" max="4618" width="15.7109375" style="25" customWidth="1"/>
    <col min="4619" max="4619" width="40.7109375" style="25" customWidth="1"/>
    <col min="4620" max="4620" width="15.5703125" style="25" customWidth="1"/>
    <col min="4621" max="4864" width="9.140625" style="25"/>
    <col min="4865" max="4865" width="10.7109375" style="25" customWidth="1"/>
    <col min="4866" max="4866" width="50.7109375" style="25" customWidth="1"/>
    <col min="4867" max="4867" width="15.5703125" style="25" customWidth="1"/>
    <col min="4868" max="4871" width="10.7109375" style="25" customWidth="1"/>
    <col min="4872" max="4873" width="12.7109375" style="25" customWidth="1"/>
    <col min="4874" max="4874" width="15.7109375" style="25" customWidth="1"/>
    <col min="4875" max="4875" width="40.7109375" style="25" customWidth="1"/>
    <col min="4876" max="4876" width="15.5703125" style="25" customWidth="1"/>
    <col min="4877" max="5120" width="9.140625" style="25"/>
    <col min="5121" max="5121" width="10.7109375" style="25" customWidth="1"/>
    <col min="5122" max="5122" width="50.7109375" style="25" customWidth="1"/>
    <col min="5123" max="5123" width="15.5703125" style="25" customWidth="1"/>
    <col min="5124" max="5127" width="10.7109375" style="25" customWidth="1"/>
    <col min="5128" max="5129" width="12.7109375" style="25" customWidth="1"/>
    <col min="5130" max="5130" width="15.7109375" style="25" customWidth="1"/>
    <col min="5131" max="5131" width="40.7109375" style="25" customWidth="1"/>
    <col min="5132" max="5132" width="15.5703125" style="25" customWidth="1"/>
    <col min="5133" max="5376" width="9.140625" style="25"/>
    <col min="5377" max="5377" width="10.7109375" style="25" customWidth="1"/>
    <col min="5378" max="5378" width="50.7109375" style="25" customWidth="1"/>
    <col min="5379" max="5379" width="15.5703125" style="25" customWidth="1"/>
    <col min="5380" max="5383" width="10.7109375" style="25" customWidth="1"/>
    <col min="5384" max="5385" width="12.7109375" style="25" customWidth="1"/>
    <col min="5386" max="5386" width="15.7109375" style="25" customWidth="1"/>
    <col min="5387" max="5387" width="40.7109375" style="25" customWidth="1"/>
    <col min="5388" max="5388" width="15.5703125" style="25" customWidth="1"/>
    <col min="5389" max="5632" width="9.140625" style="25"/>
    <col min="5633" max="5633" width="10.7109375" style="25" customWidth="1"/>
    <col min="5634" max="5634" width="50.7109375" style="25" customWidth="1"/>
    <col min="5635" max="5635" width="15.5703125" style="25" customWidth="1"/>
    <col min="5636" max="5639" width="10.7109375" style="25" customWidth="1"/>
    <col min="5640" max="5641" width="12.7109375" style="25" customWidth="1"/>
    <col min="5642" max="5642" width="15.7109375" style="25" customWidth="1"/>
    <col min="5643" max="5643" width="40.7109375" style="25" customWidth="1"/>
    <col min="5644" max="5644" width="15.5703125" style="25" customWidth="1"/>
    <col min="5645" max="5888" width="9.140625" style="25"/>
    <col min="5889" max="5889" width="10.7109375" style="25" customWidth="1"/>
    <col min="5890" max="5890" width="50.7109375" style="25" customWidth="1"/>
    <col min="5891" max="5891" width="15.5703125" style="25" customWidth="1"/>
    <col min="5892" max="5895" width="10.7109375" style="25" customWidth="1"/>
    <col min="5896" max="5897" width="12.7109375" style="25" customWidth="1"/>
    <col min="5898" max="5898" width="15.7109375" style="25" customWidth="1"/>
    <col min="5899" max="5899" width="40.7109375" style="25" customWidth="1"/>
    <col min="5900" max="5900" width="15.5703125" style="25" customWidth="1"/>
    <col min="5901" max="6144" width="9.140625" style="25"/>
    <col min="6145" max="6145" width="10.7109375" style="25" customWidth="1"/>
    <col min="6146" max="6146" width="50.7109375" style="25" customWidth="1"/>
    <col min="6147" max="6147" width="15.5703125" style="25" customWidth="1"/>
    <col min="6148" max="6151" width="10.7109375" style="25" customWidth="1"/>
    <col min="6152" max="6153" width="12.7109375" style="25" customWidth="1"/>
    <col min="6154" max="6154" width="15.7109375" style="25" customWidth="1"/>
    <col min="6155" max="6155" width="40.7109375" style="25" customWidth="1"/>
    <col min="6156" max="6156" width="15.5703125" style="25" customWidth="1"/>
    <col min="6157" max="6400" width="9.140625" style="25"/>
    <col min="6401" max="6401" width="10.7109375" style="25" customWidth="1"/>
    <col min="6402" max="6402" width="50.7109375" style="25" customWidth="1"/>
    <col min="6403" max="6403" width="15.5703125" style="25" customWidth="1"/>
    <col min="6404" max="6407" width="10.7109375" style="25" customWidth="1"/>
    <col min="6408" max="6409" width="12.7109375" style="25" customWidth="1"/>
    <col min="6410" max="6410" width="15.7109375" style="25" customWidth="1"/>
    <col min="6411" max="6411" width="40.7109375" style="25" customWidth="1"/>
    <col min="6412" max="6412" width="15.5703125" style="25" customWidth="1"/>
    <col min="6413" max="6656" width="9.140625" style="25"/>
    <col min="6657" max="6657" width="10.7109375" style="25" customWidth="1"/>
    <col min="6658" max="6658" width="50.7109375" style="25" customWidth="1"/>
    <col min="6659" max="6659" width="15.5703125" style="25" customWidth="1"/>
    <col min="6660" max="6663" width="10.7109375" style="25" customWidth="1"/>
    <col min="6664" max="6665" width="12.7109375" style="25" customWidth="1"/>
    <col min="6666" max="6666" width="15.7109375" style="25" customWidth="1"/>
    <col min="6667" max="6667" width="40.7109375" style="25" customWidth="1"/>
    <col min="6668" max="6668" width="15.5703125" style="25" customWidth="1"/>
    <col min="6669" max="6912" width="9.140625" style="25"/>
    <col min="6913" max="6913" width="10.7109375" style="25" customWidth="1"/>
    <col min="6914" max="6914" width="50.7109375" style="25" customWidth="1"/>
    <col min="6915" max="6915" width="15.5703125" style="25" customWidth="1"/>
    <col min="6916" max="6919" width="10.7109375" style="25" customWidth="1"/>
    <col min="6920" max="6921" width="12.7109375" style="25" customWidth="1"/>
    <col min="6922" max="6922" width="15.7109375" style="25" customWidth="1"/>
    <col min="6923" max="6923" width="40.7109375" style="25" customWidth="1"/>
    <col min="6924" max="6924" width="15.5703125" style="25" customWidth="1"/>
    <col min="6925" max="7168" width="9.140625" style="25"/>
    <col min="7169" max="7169" width="10.7109375" style="25" customWidth="1"/>
    <col min="7170" max="7170" width="50.7109375" style="25" customWidth="1"/>
    <col min="7171" max="7171" width="15.5703125" style="25" customWidth="1"/>
    <col min="7172" max="7175" width="10.7109375" style="25" customWidth="1"/>
    <col min="7176" max="7177" width="12.7109375" style="25" customWidth="1"/>
    <col min="7178" max="7178" width="15.7109375" style="25" customWidth="1"/>
    <col min="7179" max="7179" width="40.7109375" style="25" customWidth="1"/>
    <col min="7180" max="7180" width="15.5703125" style="25" customWidth="1"/>
    <col min="7181" max="7424" width="9.140625" style="25"/>
    <col min="7425" max="7425" width="10.7109375" style="25" customWidth="1"/>
    <col min="7426" max="7426" width="50.7109375" style="25" customWidth="1"/>
    <col min="7427" max="7427" width="15.5703125" style="25" customWidth="1"/>
    <col min="7428" max="7431" width="10.7109375" style="25" customWidth="1"/>
    <col min="7432" max="7433" width="12.7109375" style="25" customWidth="1"/>
    <col min="7434" max="7434" width="15.7109375" style="25" customWidth="1"/>
    <col min="7435" max="7435" width="40.7109375" style="25" customWidth="1"/>
    <col min="7436" max="7436" width="15.5703125" style="25" customWidth="1"/>
    <col min="7437" max="7680" width="9.140625" style="25"/>
    <col min="7681" max="7681" width="10.7109375" style="25" customWidth="1"/>
    <col min="7682" max="7682" width="50.7109375" style="25" customWidth="1"/>
    <col min="7683" max="7683" width="15.5703125" style="25" customWidth="1"/>
    <col min="7684" max="7687" width="10.7109375" style="25" customWidth="1"/>
    <col min="7688" max="7689" width="12.7109375" style="25" customWidth="1"/>
    <col min="7690" max="7690" width="15.7109375" style="25" customWidth="1"/>
    <col min="7691" max="7691" width="40.7109375" style="25" customWidth="1"/>
    <col min="7692" max="7692" width="15.5703125" style="25" customWidth="1"/>
    <col min="7693" max="7936" width="9.140625" style="25"/>
    <col min="7937" max="7937" width="10.7109375" style="25" customWidth="1"/>
    <col min="7938" max="7938" width="50.7109375" style="25" customWidth="1"/>
    <col min="7939" max="7939" width="15.5703125" style="25" customWidth="1"/>
    <col min="7940" max="7943" width="10.7109375" style="25" customWidth="1"/>
    <col min="7944" max="7945" width="12.7109375" style="25" customWidth="1"/>
    <col min="7946" max="7946" width="15.7109375" style="25" customWidth="1"/>
    <col min="7947" max="7947" width="40.7109375" style="25" customWidth="1"/>
    <col min="7948" max="7948" width="15.5703125" style="25" customWidth="1"/>
    <col min="7949" max="8192" width="9.140625" style="25"/>
    <col min="8193" max="8193" width="10.7109375" style="25" customWidth="1"/>
    <col min="8194" max="8194" width="50.7109375" style="25" customWidth="1"/>
    <col min="8195" max="8195" width="15.5703125" style="25" customWidth="1"/>
    <col min="8196" max="8199" width="10.7109375" style="25" customWidth="1"/>
    <col min="8200" max="8201" width="12.7109375" style="25" customWidth="1"/>
    <col min="8202" max="8202" width="15.7109375" style="25" customWidth="1"/>
    <col min="8203" max="8203" width="40.7109375" style="25" customWidth="1"/>
    <col min="8204" max="8204" width="15.5703125" style="25" customWidth="1"/>
    <col min="8205" max="8448" width="9.140625" style="25"/>
    <col min="8449" max="8449" width="10.7109375" style="25" customWidth="1"/>
    <col min="8450" max="8450" width="50.7109375" style="25" customWidth="1"/>
    <col min="8451" max="8451" width="15.5703125" style="25" customWidth="1"/>
    <col min="8452" max="8455" width="10.7109375" style="25" customWidth="1"/>
    <col min="8456" max="8457" width="12.7109375" style="25" customWidth="1"/>
    <col min="8458" max="8458" width="15.7109375" style="25" customWidth="1"/>
    <col min="8459" max="8459" width="40.7109375" style="25" customWidth="1"/>
    <col min="8460" max="8460" width="15.5703125" style="25" customWidth="1"/>
    <col min="8461" max="8704" width="9.140625" style="25"/>
    <col min="8705" max="8705" width="10.7109375" style="25" customWidth="1"/>
    <col min="8706" max="8706" width="50.7109375" style="25" customWidth="1"/>
    <col min="8707" max="8707" width="15.5703125" style="25" customWidth="1"/>
    <col min="8708" max="8711" width="10.7109375" style="25" customWidth="1"/>
    <col min="8712" max="8713" width="12.7109375" style="25" customWidth="1"/>
    <col min="8714" max="8714" width="15.7109375" style="25" customWidth="1"/>
    <col min="8715" max="8715" width="40.7109375" style="25" customWidth="1"/>
    <col min="8716" max="8716" width="15.5703125" style="25" customWidth="1"/>
    <col min="8717" max="8960" width="9.140625" style="25"/>
    <col min="8961" max="8961" width="10.7109375" style="25" customWidth="1"/>
    <col min="8962" max="8962" width="50.7109375" style="25" customWidth="1"/>
    <col min="8963" max="8963" width="15.5703125" style="25" customWidth="1"/>
    <col min="8964" max="8967" width="10.7109375" style="25" customWidth="1"/>
    <col min="8968" max="8969" width="12.7109375" style="25" customWidth="1"/>
    <col min="8970" max="8970" width="15.7109375" style="25" customWidth="1"/>
    <col min="8971" max="8971" width="40.7109375" style="25" customWidth="1"/>
    <col min="8972" max="8972" width="15.5703125" style="25" customWidth="1"/>
    <col min="8973" max="9216" width="9.140625" style="25"/>
    <col min="9217" max="9217" width="10.7109375" style="25" customWidth="1"/>
    <col min="9218" max="9218" width="50.7109375" style="25" customWidth="1"/>
    <col min="9219" max="9219" width="15.5703125" style="25" customWidth="1"/>
    <col min="9220" max="9223" width="10.7109375" style="25" customWidth="1"/>
    <col min="9224" max="9225" width="12.7109375" style="25" customWidth="1"/>
    <col min="9226" max="9226" width="15.7109375" style="25" customWidth="1"/>
    <col min="9227" max="9227" width="40.7109375" style="25" customWidth="1"/>
    <col min="9228" max="9228" width="15.5703125" style="25" customWidth="1"/>
    <col min="9229" max="9472" width="9.140625" style="25"/>
    <col min="9473" max="9473" width="10.7109375" style="25" customWidth="1"/>
    <col min="9474" max="9474" width="50.7109375" style="25" customWidth="1"/>
    <col min="9475" max="9475" width="15.5703125" style="25" customWidth="1"/>
    <col min="9476" max="9479" width="10.7109375" style="25" customWidth="1"/>
    <col min="9480" max="9481" width="12.7109375" style="25" customWidth="1"/>
    <col min="9482" max="9482" width="15.7109375" style="25" customWidth="1"/>
    <col min="9483" max="9483" width="40.7109375" style="25" customWidth="1"/>
    <col min="9484" max="9484" width="15.5703125" style="25" customWidth="1"/>
    <col min="9485" max="9728" width="9.140625" style="25"/>
    <col min="9729" max="9729" width="10.7109375" style="25" customWidth="1"/>
    <col min="9730" max="9730" width="50.7109375" style="25" customWidth="1"/>
    <col min="9731" max="9731" width="15.5703125" style="25" customWidth="1"/>
    <col min="9732" max="9735" width="10.7109375" style="25" customWidth="1"/>
    <col min="9736" max="9737" width="12.7109375" style="25" customWidth="1"/>
    <col min="9738" max="9738" width="15.7109375" style="25" customWidth="1"/>
    <col min="9739" max="9739" width="40.7109375" style="25" customWidth="1"/>
    <col min="9740" max="9740" width="15.5703125" style="25" customWidth="1"/>
    <col min="9741" max="9984" width="9.140625" style="25"/>
    <col min="9985" max="9985" width="10.7109375" style="25" customWidth="1"/>
    <col min="9986" max="9986" width="50.7109375" style="25" customWidth="1"/>
    <col min="9987" max="9987" width="15.5703125" style="25" customWidth="1"/>
    <col min="9988" max="9991" width="10.7109375" style="25" customWidth="1"/>
    <col min="9992" max="9993" width="12.7109375" style="25" customWidth="1"/>
    <col min="9994" max="9994" width="15.7109375" style="25" customWidth="1"/>
    <col min="9995" max="9995" width="40.7109375" style="25" customWidth="1"/>
    <col min="9996" max="9996" width="15.5703125" style="25" customWidth="1"/>
    <col min="9997" max="10240" width="9.140625" style="25"/>
    <col min="10241" max="10241" width="10.7109375" style="25" customWidth="1"/>
    <col min="10242" max="10242" width="50.7109375" style="25" customWidth="1"/>
    <col min="10243" max="10243" width="15.5703125" style="25" customWidth="1"/>
    <col min="10244" max="10247" width="10.7109375" style="25" customWidth="1"/>
    <col min="10248" max="10249" width="12.7109375" style="25" customWidth="1"/>
    <col min="10250" max="10250" width="15.7109375" style="25" customWidth="1"/>
    <col min="10251" max="10251" width="40.7109375" style="25" customWidth="1"/>
    <col min="10252" max="10252" width="15.5703125" style="25" customWidth="1"/>
    <col min="10253" max="10496" width="9.140625" style="25"/>
    <col min="10497" max="10497" width="10.7109375" style="25" customWidth="1"/>
    <col min="10498" max="10498" width="50.7109375" style="25" customWidth="1"/>
    <col min="10499" max="10499" width="15.5703125" style="25" customWidth="1"/>
    <col min="10500" max="10503" width="10.7109375" style="25" customWidth="1"/>
    <col min="10504" max="10505" width="12.7109375" style="25" customWidth="1"/>
    <col min="10506" max="10506" width="15.7109375" style="25" customWidth="1"/>
    <col min="10507" max="10507" width="40.7109375" style="25" customWidth="1"/>
    <col min="10508" max="10508" width="15.5703125" style="25" customWidth="1"/>
    <col min="10509" max="10752" width="9.140625" style="25"/>
    <col min="10753" max="10753" width="10.7109375" style="25" customWidth="1"/>
    <col min="10754" max="10754" width="50.7109375" style="25" customWidth="1"/>
    <col min="10755" max="10755" width="15.5703125" style="25" customWidth="1"/>
    <col min="10756" max="10759" width="10.7109375" style="25" customWidth="1"/>
    <col min="10760" max="10761" width="12.7109375" style="25" customWidth="1"/>
    <col min="10762" max="10762" width="15.7109375" style="25" customWidth="1"/>
    <col min="10763" max="10763" width="40.7109375" style="25" customWidth="1"/>
    <col min="10764" max="10764" width="15.5703125" style="25" customWidth="1"/>
    <col min="10765" max="11008" width="9.140625" style="25"/>
    <col min="11009" max="11009" width="10.7109375" style="25" customWidth="1"/>
    <col min="11010" max="11010" width="50.7109375" style="25" customWidth="1"/>
    <col min="11011" max="11011" width="15.5703125" style="25" customWidth="1"/>
    <col min="11012" max="11015" width="10.7109375" style="25" customWidth="1"/>
    <col min="11016" max="11017" width="12.7109375" style="25" customWidth="1"/>
    <col min="11018" max="11018" width="15.7109375" style="25" customWidth="1"/>
    <col min="11019" max="11019" width="40.7109375" style="25" customWidth="1"/>
    <col min="11020" max="11020" width="15.5703125" style="25" customWidth="1"/>
    <col min="11021" max="11264" width="9.140625" style="25"/>
    <col min="11265" max="11265" width="10.7109375" style="25" customWidth="1"/>
    <col min="11266" max="11266" width="50.7109375" style="25" customWidth="1"/>
    <col min="11267" max="11267" width="15.5703125" style="25" customWidth="1"/>
    <col min="11268" max="11271" width="10.7109375" style="25" customWidth="1"/>
    <col min="11272" max="11273" width="12.7109375" style="25" customWidth="1"/>
    <col min="11274" max="11274" width="15.7109375" style="25" customWidth="1"/>
    <col min="11275" max="11275" width="40.7109375" style="25" customWidth="1"/>
    <col min="11276" max="11276" width="15.5703125" style="25" customWidth="1"/>
    <col min="11277" max="11520" width="9.140625" style="25"/>
    <col min="11521" max="11521" width="10.7109375" style="25" customWidth="1"/>
    <col min="11522" max="11522" width="50.7109375" style="25" customWidth="1"/>
    <col min="11523" max="11523" width="15.5703125" style="25" customWidth="1"/>
    <col min="11524" max="11527" width="10.7109375" style="25" customWidth="1"/>
    <col min="11528" max="11529" width="12.7109375" style="25" customWidth="1"/>
    <col min="11530" max="11530" width="15.7109375" style="25" customWidth="1"/>
    <col min="11531" max="11531" width="40.7109375" style="25" customWidth="1"/>
    <col min="11532" max="11532" width="15.5703125" style="25" customWidth="1"/>
    <col min="11533" max="11776" width="9.140625" style="25"/>
    <col min="11777" max="11777" width="10.7109375" style="25" customWidth="1"/>
    <col min="11778" max="11778" width="50.7109375" style="25" customWidth="1"/>
    <col min="11779" max="11779" width="15.5703125" style="25" customWidth="1"/>
    <col min="11780" max="11783" width="10.7109375" style="25" customWidth="1"/>
    <col min="11784" max="11785" width="12.7109375" style="25" customWidth="1"/>
    <col min="11786" max="11786" width="15.7109375" style="25" customWidth="1"/>
    <col min="11787" max="11787" width="40.7109375" style="25" customWidth="1"/>
    <col min="11788" max="11788" width="15.5703125" style="25" customWidth="1"/>
    <col min="11789" max="12032" width="9.140625" style="25"/>
    <col min="12033" max="12033" width="10.7109375" style="25" customWidth="1"/>
    <col min="12034" max="12034" width="50.7109375" style="25" customWidth="1"/>
    <col min="12035" max="12035" width="15.5703125" style="25" customWidth="1"/>
    <col min="12036" max="12039" width="10.7109375" style="25" customWidth="1"/>
    <col min="12040" max="12041" width="12.7109375" style="25" customWidth="1"/>
    <col min="12042" max="12042" width="15.7109375" style="25" customWidth="1"/>
    <col min="12043" max="12043" width="40.7109375" style="25" customWidth="1"/>
    <col min="12044" max="12044" width="15.5703125" style="25" customWidth="1"/>
    <col min="12045" max="12288" width="9.140625" style="25"/>
    <col min="12289" max="12289" width="10.7109375" style="25" customWidth="1"/>
    <col min="12290" max="12290" width="50.7109375" style="25" customWidth="1"/>
    <col min="12291" max="12291" width="15.5703125" style="25" customWidth="1"/>
    <col min="12292" max="12295" width="10.7109375" style="25" customWidth="1"/>
    <col min="12296" max="12297" width="12.7109375" style="25" customWidth="1"/>
    <col min="12298" max="12298" width="15.7109375" style="25" customWidth="1"/>
    <col min="12299" max="12299" width="40.7109375" style="25" customWidth="1"/>
    <col min="12300" max="12300" width="15.5703125" style="25" customWidth="1"/>
    <col min="12301" max="12544" width="9.140625" style="25"/>
    <col min="12545" max="12545" width="10.7109375" style="25" customWidth="1"/>
    <col min="12546" max="12546" width="50.7109375" style="25" customWidth="1"/>
    <col min="12547" max="12547" width="15.5703125" style="25" customWidth="1"/>
    <col min="12548" max="12551" width="10.7109375" style="25" customWidth="1"/>
    <col min="12552" max="12553" width="12.7109375" style="25" customWidth="1"/>
    <col min="12554" max="12554" width="15.7109375" style="25" customWidth="1"/>
    <col min="12555" max="12555" width="40.7109375" style="25" customWidth="1"/>
    <col min="12556" max="12556" width="15.5703125" style="25" customWidth="1"/>
    <col min="12557" max="12800" width="9.140625" style="25"/>
    <col min="12801" max="12801" width="10.7109375" style="25" customWidth="1"/>
    <col min="12802" max="12802" width="50.7109375" style="25" customWidth="1"/>
    <col min="12803" max="12803" width="15.5703125" style="25" customWidth="1"/>
    <col min="12804" max="12807" width="10.7109375" style="25" customWidth="1"/>
    <col min="12808" max="12809" width="12.7109375" style="25" customWidth="1"/>
    <col min="12810" max="12810" width="15.7109375" style="25" customWidth="1"/>
    <col min="12811" max="12811" width="40.7109375" style="25" customWidth="1"/>
    <col min="12812" max="12812" width="15.5703125" style="25" customWidth="1"/>
    <col min="12813" max="13056" width="9.140625" style="25"/>
    <col min="13057" max="13057" width="10.7109375" style="25" customWidth="1"/>
    <col min="13058" max="13058" width="50.7109375" style="25" customWidth="1"/>
    <col min="13059" max="13059" width="15.5703125" style="25" customWidth="1"/>
    <col min="13060" max="13063" width="10.7109375" style="25" customWidth="1"/>
    <col min="13064" max="13065" width="12.7109375" style="25" customWidth="1"/>
    <col min="13066" max="13066" width="15.7109375" style="25" customWidth="1"/>
    <col min="13067" max="13067" width="40.7109375" style="25" customWidth="1"/>
    <col min="13068" max="13068" width="15.5703125" style="25" customWidth="1"/>
    <col min="13069" max="13312" width="9.140625" style="25"/>
    <col min="13313" max="13313" width="10.7109375" style="25" customWidth="1"/>
    <col min="13314" max="13314" width="50.7109375" style="25" customWidth="1"/>
    <col min="13315" max="13315" width="15.5703125" style="25" customWidth="1"/>
    <col min="13316" max="13319" width="10.7109375" style="25" customWidth="1"/>
    <col min="13320" max="13321" width="12.7109375" style="25" customWidth="1"/>
    <col min="13322" max="13322" width="15.7109375" style="25" customWidth="1"/>
    <col min="13323" max="13323" width="40.7109375" style="25" customWidth="1"/>
    <col min="13324" max="13324" width="15.5703125" style="25" customWidth="1"/>
    <col min="13325" max="13568" width="9.140625" style="25"/>
    <col min="13569" max="13569" width="10.7109375" style="25" customWidth="1"/>
    <col min="13570" max="13570" width="50.7109375" style="25" customWidth="1"/>
    <col min="13571" max="13571" width="15.5703125" style="25" customWidth="1"/>
    <col min="13572" max="13575" width="10.7109375" style="25" customWidth="1"/>
    <col min="13576" max="13577" width="12.7109375" style="25" customWidth="1"/>
    <col min="13578" max="13578" width="15.7109375" style="25" customWidth="1"/>
    <col min="13579" max="13579" width="40.7109375" style="25" customWidth="1"/>
    <col min="13580" max="13580" width="15.5703125" style="25" customWidth="1"/>
    <col min="13581" max="13824" width="9.140625" style="25"/>
    <col min="13825" max="13825" width="10.7109375" style="25" customWidth="1"/>
    <col min="13826" max="13826" width="50.7109375" style="25" customWidth="1"/>
    <col min="13827" max="13827" width="15.5703125" style="25" customWidth="1"/>
    <col min="13828" max="13831" width="10.7109375" style="25" customWidth="1"/>
    <col min="13832" max="13833" width="12.7109375" style="25" customWidth="1"/>
    <col min="13834" max="13834" width="15.7109375" style="25" customWidth="1"/>
    <col min="13835" max="13835" width="40.7109375" style="25" customWidth="1"/>
    <col min="13836" max="13836" width="15.5703125" style="25" customWidth="1"/>
    <col min="13837" max="14080" width="9.140625" style="25"/>
    <col min="14081" max="14081" width="10.7109375" style="25" customWidth="1"/>
    <col min="14082" max="14082" width="50.7109375" style="25" customWidth="1"/>
    <col min="14083" max="14083" width="15.5703125" style="25" customWidth="1"/>
    <col min="14084" max="14087" width="10.7109375" style="25" customWidth="1"/>
    <col min="14088" max="14089" width="12.7109375" style="25" customWidth="1"/>
    <col min="14090" max="14090" width="15.7109375" style="25" customWidth="1"/>
    <col min="14091" max="14091" width="40.7109375" style="25" customWidth="1"/>
    <col min="14092" max="14092" width="15.5703125" style="25" customWidth="1"/>
    <col min="14093" max="14336" width="9.140625" style="25"/>
    <col min="14337" max="14337" width="10.7109375" style="25" customWidth="1"/>
    <col min="14338" max="14338" width="50.7109375" style="25" customWidth="1"/>
    <col min="14339" max="14339" width="15.5703125" style="25" customWidth="1"/>
    <col min="14340" max="14343" width="10.7109375" style="25" customWidth="1"/>
    <col min="14344" max="14345" width="12.7109375" style="25" customWidth="1"/>
    <col min="14346" max="14346" width="15.7109375" style="25" customWidth="1"/>
    <col min="14347" max="14347" width="40.7109375" style="25" customWidth="1"/>
    <col min="14348" max="14348" width="15.5703125" style="25" customWidth="1"/>
    <col min="14349" max="14592" width="9.140625" style="25"/>
    <col min="14593" max="14593" width="10.7109375" style="25" customWidth="1"/>
    <col min="14594" max="14594" width="50.7109375" style="25" customWidth="1"/>
    <col min="14595" max="14595" width="15.5703125" style="25" customWidth="1"/>
    <col min="14596" max="14599" width="10.7109375" style="25" customWidth="1"/>
    <col min="14600" max="14601" width="12.7109375" style="25" customWidth="1"/>
    <col min="14602" max="14602" width="15.7109375" style="25" customWidth="1"/>
    <col min="14603" max="14603" width="40.7109375" style="25" customWidth="1"/>
    <col min="14604" max="14604" width="15.5703125" style="25" customWidth="1"/>
    <col min="14605" max="14848" width="9.140625" style="25"/>
    <col min="14849" max="14849" width="10.7109375" style="25" customWidth="1"/>
    <col min="14850" max="14850" width="50.7109375" style="25" customWidth="1"/>
    <col min="14851" max="14851" width="15.5703125" style="25" customWidth="1"/>
    <col min="14852" max="14855" width="10.7109375" style="25" customWidth="1"/>
    <col min="14856" max="14857" width="12.7109375" style="25" customWidth="1"/>
    <col min="14858" max="14858" width="15.7109375" style="25" customWidth="1"/>
    <col min="14859" max="14859" width="40.7109375" style="25" customWidth="1"/>
    <col min="14860" max="14860" width="15.5703125" style="25" customWidth="1"/>
    <col min="14861" max="15104" width="9.140625" style="25"/>
    <col min="15105" max="15105" width="10.7109375" style="25" customWidth="1"/>
    <col min="15106" max="15106" width="50.7109375" style="25" customWidth="1"/>
    <col min="15107" max="15107" width="15.5703125" style="25" customWidth="1"/>
    <col min="15108" max="15111" width="10.7109375" style="25" customWidth="1"/>
    <col min="15112" max="15113" width="12.7109375" style="25" customWidth="1"/>
    <col min="15114" max="15114" width="15.7109375" style="25" customWidth="1"/>
    <col min="15115" max="15115" width="40.7109375" style="25" customWidth="1"/>
    <col min="15116" max="15116" width="15.5703125" style="25" customWidth="1"/>
    <col min="15117" max="15360" width="9.140625" style="25"/>
    <col min="15361" max="15361" width="10.7109375" style="25" customWidth="1"/>
    <col min="15362" max="15362" width="50.7109375" style="25" customWidth="1"/>
    <col min="15363" max="15363" width="15.5703125" style="25" customWidth="1"/>
    <col min="15364" max="15367" width="10.7109375" style="25" customWidth="1"/>
    <col min="15368" max="15369" width="12.7109375" style="25" customWidth="1"/>
    <col min="15370" max="15370" width="15.7109375" style="25" customWidth="1"/>
    <col min="15371" max="15371" width="40.7109375" style="25" customWidth="1"/>
    <col min="15372" max="15372" width="15.5703125" style="25" customWidth="1"/>
    <col min="15373" max="15616" width="9.140625" style="25"/>
    <col min="15617" max="15617" width="10.7109375" style="25" customWidth="1"/>
    <col min="15618" max="15618" width="50.7109375" style="25" customWidth="1"/>
    <col min="15619" max="15619" width="15.5703125" style="25" customWidth="1"/>
    <col min="15620" max="15623" width="10.7109375" style="25" customWidth="1"/>
    <col min="15624" max="15625" width="12.7109375" style="25" customWidth="1"/>
    <col min="15626" max="15626" width="15.7109375" style="25" customWidth="1"/>
    <col min="15627" max="15627" width="40.7109375" style="25" customWidth="1"/>
    <col min="15628" max="15628" width="15.5703125" style="25" customWidth="1"/>
    <col min="15629" max="15872" width="9.140625" style="25"/>
    <col min="15873" max="15873" width="10.7109375" style="25" customWidth="1"/>
    <col min="15874" max="15874" width="50.7109375" style="25" customWidth="1"/>
    <col min="15875" max="15875" width="15.5703125" style="25" customWidth="1"/>
    <col min="15876" max="15879" width="10.7109375" style="25" customWidth="1"/>
    <col min="15880" max="15881" width="12.7109375" style="25" customWidth="1"/>
    <col min="15882" max="15882" width="15.7109375" style="25" customWidth="1"/>
    <col min="15883" max="15883" width="40.7109375" style="25" customWidth="1"/>
    <col min="15884" max="15884" width="15.5703125" style="25" customWidth="1"/>
    <col min="15885" max="16128" width="9.140625" style="25"/>
    <col min="16129" max="16129" width="10.7109375" style="25" customWidth="1"/>
    <col min="16130" max="16130" width="50.7109375" style="25" customWidth="1"/>
    <col min="16131" max="16131" width="15.5703125" style="25" customWidth="1"/>
    <col min="16132" max="16135" width="10.7109375" style="25" customWidth="1"/>
    <col min="16136" max="16137" width="12.7109375" style="25" customWidth="1"/>
    <col min="16138" max="16138" width="15.7109375" style="25" customWidth="1"/>
    <col min="16139" max="16139" width="40.7109375" style="25" customWidth="1"/>
    <col min="16140" max="16140" width="15.5703125" style="25" customWidth="1"/>
    <col min="16141" max="16384" width="9.140625" style="25"/>
  </cols>
  <sheetData>
    <row r="1" spans="1:12" ht="69.95" customHeight="1" thickBot="1" x14ac:dyDescent="0.25">
      <c r="A1" s="966" t="s">
        <v>63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6"/>
    </row>
    <row r="2" spans="1:12" s="493" customFormat="1" ht="15.95" customHeight="1" thickTop="1" x14ac:dyDescent="0.25">
      <c r="A2" s="436" t="s">
        <v>1019</v>
      </c>
      <c r="B2" s="437">
        <f>Resources!C14</f>
        <v>0</v>
      </c>
      <c r="C2" s="438" t="s">
        <v>776</v>
      </c>
      <c r="D2" s="439">
        <f ca="1">COUNTIF($J$9:$J$61,"Deliverable Still In Progress")</f>
        <v>6</v>
      </c>
      <c r="E2" s="440"/>
      <c r="F2" s="441"/>
      <c r="G2" s="441"/>
      <c r="H2" s="454"/>
      <c r="I2" s="490"/>
      <c r="J2" s="454"/>
      <c r="K2" s="505"/>
    </row>
    <row r="3" spans="1:12" s="493" customFormat="1" ht="15.95" customHeight="1" x14ac:dyDescent="0.25">
      <c r="A3" s="436" t="s">
        <v>1020</v>
      </c>
      <c r="B3" s="437">
        <f>Resources!E14</f>
        <v>0</v>
      </c>
      <c r="C3" s="438" t="s">
        <v>777</v>
      </c>
      <c r="D3" s="439">
        <f ca="1">COUNTIF($J$9:$J$61,"Deliverable Completed")</f>
        <v>0</v>
      </c>
      <c r="E3" s="449">
        <f ca="1">D3/D6</f>
        <v>0</v>
      </c>
      <c r="F3" s="441"/>
      <c r="G3" s="441"/>
      <c r="H3" s="454"/>
      <c r="I3" s="490"/>
      <c r="J3" s="454"/>
      <c r="K3" s="505"/>
    </row>
    <row r="4" spans="1:12" s="493" customFormat="1" ht="15.95" customHeight="1" x14ac:dyDescent="0.25">
      <c r="A4" s="436" t="s">
        <v>1021</v>
      </c>
      <c r="B4" s="621"/>
      <c r="C4" s="438" t="s">
        <v>778</v>
      </c>
      <c r="D4" s="439">
        <f ca="1">D7-COUNTIF($J$9:$J$61,"completed")</f>
        <v>36</v>
      </c>
      <c r="E4" s="440"/>
      <c r="F4" s="441"/>
      <c r="G4" s="441"/>
      <c r="H4" s="454"/>
      <c r="I4" s="620"/>
      <c r="J4" s="454"/>
      <c r="K4" s="505"/>
    </row>
    <row r="5" spans="1:12" s="493" customFormat="1" ht="15.95" customHeight="1" x14ac:dyDescent="0.25">
      <c r="A5" s="451"/>
      <c r="B5" s="450"/>
      <c r="C5" s="452" t="s">
        <v>779</v>
      </c>
      <c r="D5" s="439">
        <f ca="1">D7-D4</f>
        <v>0</v>
      </c>
      <c r="E5" s="449">
        <f ca="1">D5/D7</f>
        <v>0</v>
      </c>
      <c r="F5" s="441"/>
      <c r="G5" s="441"/>
      <c r="H5" s="454"/>
      <c r="I5" s="620"/>
      <c r="J5" s="454"/>
      <c r="K5" s="505"/>
    </row>
    <row r="6" spans="1:12" s="493" customFormat="1" ht="15.95" customHeight="1" thickBot="1" x14ac:dyDescent="0.3">
      <c r="A6" s="451"/>
      <c r="B6" s="506"/>
      <c r="C6" s="452" t="s">
        <v>780</v>
      </c>
      <c r="D6" s="439">
        <f ca="1">D2+D3</f>
        <v>6</v>
      </c>
      <c r="E6" s="449"/>
      <c r="F6" s="441"/>
      <c r="G6" s="441"/>
      <c r="H6" s="454"/>
      <c r="I6" s="490"/>
      <c r="J6" s="454"/>
      <c r="K6" s="505"/>
    </row>
    <row r="7" spans="1:12" s="493" customFormat="1" ht="15.95" customHeight="1" thickBot="1" x14ac:dyDescent="0.3">
      <c r="A7" s="451"/>
      <c r="B7" s="450"/>
      <c r="C7" s="452" t="s">
        <v>781</v>
      </c>
      <c r="D7" s="439">
        <f ca="1">COUNTA(B9:B61)-D6</f>
        <v>36</v>
      </c>
      <c r="E7" s="449"/>
      <c r="F7" s="544" t="s">
        <v>1017</v>
      </c>
      <c r="G7" s="441"/>
      <c r="H7" s="454"/>
      <c r="I7" s="490"/>
      <c r="J7" s="544" t="s">
        <v>1017</v>
      </c>
      <c r="K7" s="505"/>
    </row>
    <row r="8" spans="1:12" s="127" customFormat="1" ht="47.25" x14ac:dyDescent="0.25">
      <c r="A8" s="352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496" t="s">
        <v>53</v>
      </c>
      <c r="H8" s="496" t="s">
        <v>95</v>
      </c>
      <c r="I8" s="496" t="s">
        <v>54</v>
      </c>
      <c r="J8" s="528" t="s">
        <v>55</v>
      </c>
      <c r="K8" s="356" t="s">
        <v>56</v>
      </c>
      <c r="L8" s="126"/>
    </row>
    <row r="9" spans="1:12" ht="15" x14ac:dyDescent="0.2">
      <c r="A9" s="499"/>
      <c r="B9" s="520" t="s">
        <v>215</v>
      </c>
      <c r="C9" s="583"/>
      <c r="D9" s="619"/>
      <c r="E9" s="184"/>
      <c r="F9" s="563">
        <f t="shared" ref="F9:F61" ca="1" si="0">IF(ISBLANK(G9),IF(ISERROR(DAYS360(TODAY(),E9))," ",(DAYS360(TODAY(),E9))),E9-G9)</f>
        <v>-43388</v>
      </c>
      <c r="G9" s="103"/>
      <c r="H9" s="116"/>
      <c r="I9" s="81"/>
      <c r="J9" s="138" t="str">
        <f ca="1">IF(AND(J10="completed",J11="completed",J12="completed",J13="completed",J14="completed"),"Deliverable Completed","DELIVERABLE STILL IN PROGRESS")</f>
        <v>DELIVERABLE STILL IN PROGRESS</v>
      </c>
      <c r="K9" s="82"/>
    </row>
    <row r="10" spans="1:12" x14ac:dyDescent="0.2">
      <c r="A10" s="499"/>
      <c r="B10" s="156" t="s">
        <v>216</v>
      </c>
      <c r="C10" s="424"/>
      <c r="D10" s="104"/>
      <c r="E10" s="104"/>
      <c r="F10" s="564">
        <f t="shared" ca="1" si="0"/>
        <v>-43388</v>
      </c>
      <c r="G10" s="101"/>
      <c r="H10" s="38"/>
      <c r="I10" s="39"/>
      <c r="J10" s="40" t="str">
        <f ca="1">IF(G10&gt;0,"COMPLETED",(IF(I10&gt;0,"ISSUE IDENTIFIED",(IF(TODAY()&gt;E10,"OVERDUE","In Progress")))))</f>
        <v>OVERDUE</v>
      </c>
      <c r="K10" s="68"/>
    </row>
    <row r="11" spans="1:12" ht="25.5" x14ac:dyDescent="0.2">
      <c r="A11" s="499"/>
      <c r="B11" s="146" t="s">
        <v>217</v>
      </c>
      <c r="C11" s="424"/>
      <c r="D11" s="187"/>
      <c r="E11" s="187"/>
      <c r="F11" s="564">
        <f t="shared" ca="1" si="0"/>
        <v>-43388</v>
      </c>
      <c r="G11" s="101"/>
      <c r="H11" s="38"/>
      <c r="I11" s="39"/>
      <c r="J11" s="40" t="str">
        <f ca="1">IF(G11&gt;0,"COMPLETED",(IF(I11&gt;0,"ISSUE IDENTIFIED",(IF(TODAY()&gt;E11,"OVERDUE","In Progress")))))</f>
        <v>OVERDUE</v>
      </c>
      <c r="K11" s="68"/>
    </row>
    <row r="12" spans="1:12" x14ac:dyDescent="0.2">
      <c r="A12" s="499"/>
      <c r="B12" s="146" t="s">
        <v>218</v>
      </c>
      <c r="C12" s="424"/>
      <c r="D12" s="187"/>
      <c r="E12" s="187"/>
      <c r="F12" s="564">
        <f t="shared" ca="1" si="0"/>
        <v>-43388</v>
      </c>
      <c r="G12" s="101"/>
      <c r="H12" s="38"/>
      <c r="I12" s="39"/>
      <c r="J12" s="40" t="str">
        <f ca="1">IF(G12&gt;0,"COMPLETED",(IF(I12&gt;0,"ISSUE IDENTIFIED",(IF(TODAY()&gt;E12,"OVERDUE","In Progress")))))</f>
        <v>OVERDUE</v>
      </c>
      <c r="K12" s="68"/>
    </row>
    <row r="13" spans="1:12" x14ac:dyDescent="0.2">
      <c r="A13" s="499"/>
      <c r="B13" s="155"/>
      <c r="C13" s="424"/>
      <c r="D13" s="187"/>
      <c r="E13" s="187"/>
      <c r="F13" s="564">
        <f t="shared" ca="1" si="0"/>
        <v>-43388</v>
      </c>
      <c r="G13" s="101"/>
      <c r="H13" s="38"/>
      <c r="I13" s="39"/>
      <c r="J13" s="40" t="str">
        <f ca="1">IF(G13&gt;0,"COMPLETED",(IF(I13&gt;0,"ISSUE IDENTIFIED",(IF(TODAY()&gt;E13,"OVERDUE","In Progress")))))</f>
        <v>OVERDUE</v>
      </c>
      <c r="K13" s="68"/>
    </row>
    <row r="14" spans="1:12" x14ac:dyDescent="0.2">
      <c r="A14" s="499"/>
      <c r="B14" s="160"/>
      <c r="C14" s="584"/>
      <c r="D14" s="174"/>
      <c r="E14" s="174"/>
      <c r="F14" s="617">
        <f t="shared" ca="1" si="0"/>
        <v>-43388</v>
      </c>
      <c r="G14" s="149"/>
      <c r="H14" s="175"/>
      <c r="I14" s="152"/>
      <c r="J14" s="153" t="str">
        <f ca="1">IF(G14&gt;0,"COMPLETED",(IF(I14&gt;0,"ISSUE IDENTIFIED",(IF(TODAY()&gt;E14,"OVERDUE","In Progress")))))</f>
        <v>OVERDUE</v>
      </c>
      <c r="K14" s="170"/>
    </row>
    <row r="15" spans="1:12" ht="15" x14ac:dyDescent="0.2">
      <c r="A15" s="622"/>
      <c r="B15" s="520" t="s">
        <v>219</v>
      </c>
      <c r="C15" s="87"/>
      <c r="D15" s="619"/>
      <c r="E15" s="619"/>
      <c r="F15" s="618">
        <f t="shared" ca="1" si="0"/>
        <v>-43388</v>
      </c>
      <c r="G15" s="220"/>
      <c r="H15" s="116"/>
      <c r="I15" s="81"/>
      <c r="J15" s="138" t="str">
        <f ca="1">IF(AND(J16="completed",J17="completed",J18="completed",J19="completed",J20="completed",J21="completed",J22="completed",J23="completed",J24="completed",J25="completed",J26="completed"),"Deliverable Completed","DELIVERABLE STILL IN PROGRESS")</f>
        <v>DELIVERABLE STILL IN PROGRESS</v>
      </c>
      <c r="K15" s="107"/>
    </row>
    <row r="16" spans="1:12" ht="15" x14ac:dyDescent="0.2">
      <c r="A16" s="623"/>
      <c r="B16" s="156" t="s">
        <v>220</v>
      </c>
      <c r="C16" s="216" t="s">
        <v>57</v>
      </c>
      <c r="D16" s="185"/>
      <c r="E16" s="185"/>
      <c r="F16" s="618">
        <f t="shared" ca="1" si="0"/>
        <v>-43388</v>
      </c>
      <c r="G16" s="220"/>
      <c r="H16" s="116"/>
      <c r="I16" s="81"/>
      <c r="J16" s="40" t="str">
        <f t="shared" ref="J16:J26" ca="1" si="1">IF(G16&gt;0,"COMPLETED",(IF(I16&gt;0,"ISSUE IDENTIFIED",(IF(TODAY()&gt;E16,"OVERDUE","In Progress")))))</f>
        <v>OVERDUE</v>
      </c>
      <c r="K16" s="107"/>
    </row>
    <row r="17" spans="1:11" ht="15" x14ac:dyDescent="0.2">
      <c r="A17" s="623"/>
      <c r="B17" s="146" t="s">
        <v>221</v>
      </c>
      <c r="C17" s="216"/>
      <c r="D17" s="185"/>
      <c r="E17" s="185"/>
      <c r="F17" s="618">
        <f t="shared" ca="1" si="0"/>
        <v>-43388</v>
      </c>
      <c r="G17" s="220"/>
      <c r="H17" s="116"/>
      <c r="I17" s="81"/>
      <c r="J17" s="40" t="str">
        <f t="shared" ca="1" si="1"/>
        <v>OVERDUE</v>
      </c>
      <c r="K17" s="107"/>
    </row>
    <row r="18" spans="1:11" ht="15" x14ac:dyDescent="0.2">
      <c r="A18" s="623"/>
      <c r="B18" s="146" t="s">
        <v>222</v>
      </c>
      <c r="C18" s="216"/>
      <c r="D18" s="185"/>
      <c r="E18" s="185"/>
      <c r="F18" s="618">
        <f t="shared" ca="1" si="0"/>
        <v>-43388</v>
      </c>
      <c r="G18" s="220"/>
      <c r="H18" s="116"/>
      <c r="I18" s="81"/>
      <c r="J18" s="40" t="str">
        <f t="shared" ca="1" si="1"/>
        <v>OVERDUE</v>
      </c>
      <c r="K18" s="107"/>
    </row>
    <row r="19" spans="1:11" ht="15" x14ac:dyDescent="0.2">
      <c r="A19" s="623"/>
      <c r="B19" s="304" t="s">
        <v>223</v>
      </c>
      <c r="C19" s="216"/>
      <c r="D19" s="185"/>
      <c r="E19" s="185"/>
      <c r="F19" s="618">
        <f t="shared" ca="1" si="0"/>
        <v>-43388</v>
      </c>
      <c r="G19" s="220"/>
      <c r="H19" s="116"/>
      <c r="I19" s="81"/>
      <c r="J19" s="40" t="str">
        <f t="shared" ca="1" si="1"/>
        <v>OVERDUE</v>
      </c>
      <c r="K19" s="107"/>
    </row>
    <row r="20" spans="1:11" ht="15" x14ac:dyDescent="0.2">
      <c r="A20" s="623"/>
      <c r="B20" s="304" t="s">
        <v>224</v>
      </c>
      <c r="C20" s="216"/>
      <c r="D20" s="534"/>
      <c r="E20" s="534"/>
      <c r="F20" s="618">
        <f t="shared" ca="1" si="0"/>
        <v>-43388</v>
      </c>
      <c r="G20" s="220"/>
      <c r="H20" s="116"/>
      <c r="I20" s="81"/>
      <c r="J20" s="40" t="str">
        <f t="shared" ca="1" si="1"/>
        <v>OVERDUE</v>
      </c>
      <c r="K20" s="107"/>
    </row>
    <row r="21" spans="1:11" ht="15" x14ac:dyDescent="0.2">
      <c r="A21" s="623"/>
      <c r="B21" s="305" t="s">
        <v>225</v>
      </c>
      <c r="C21" s="216"/>
      <c r="D21" s="534"/>
      <c r="E21" s="534"/>
      <c r="F21" s="618">
        <f t="shared" ca="1" si="0"/>
        <v>-43388</v>
      </c>
      <c r="G21" s="220"/>
      <c r="H21" s="116"/>
      <c r="I21" s="81"/>
      <c r="J21" s="40" t="str">
        <f t="shared" ca="1" si="1"/>
        <v>OVERDUE</v>
      </c>
      <c r="K21" s="107"/>
    </row>
    <row r="22" spans="1:11" ht="15" x14ac:dyDescent="0.2">
      <c r="A22" s="623"/>
      <c r="B22" s="304" t="s">
        <v>226</v>
      </c>
      <c r="C22" s="216"/>
      <c r="D22" s="534"/>
      <c r="E22" s="534"/>
      <c r="F22" s="618">
        <f t="shared" ca="1" si="0"/>
        <v>-43388</v>
      </c>
      <c r="G22" s="220"/>
      <c r="H22" s="116"/>
      <c r="I22" s="81"/>
      <c r="J22" s="40" t="str">
        <f t="shared" ca="1" si="1"/>
        <v>OVERDUE</v>
      </c>
      <c r="K22" s="107"/>
    </row>
    <row r="23" spans="1:11" ht="15" x14ac:dyDescent="0.2">
      <c r="A23" s="623"/>
      <c r="B23" s="304" t="s">
        <v>227</v>
      </c>
      <c r="C23" s="216"/>
      <c r="D23" s="534"/>
      <c r="E23" s="534"/>
      <c r="F23" s="618">
        <f t="shared" ca="1" si="0"/>
        <v>-43388</v>
      </c>
      <c r="G23" s="220"/>
      <c r="H23" s="116"/>
      <c r="I23" s="81"/>
      <c r="J23" s="40" t="str">
        <f t="shared" ca="1" si="1"/>
        <v>OVERDUE</v>
      </c>
      <c r="K23" s="107"/>
    </row>
    <row r="24" spans="1:11" ht="25.5" x14ac:dyDescent="0.2">
      <c r="A24" s="623"/>
      <c r="B24" s="305" t="s">
        <v>228</v>
      </c>
      <c r="C24" s="216"/>
      <c r="D24" s="534"/>
      <c r="E24" s="534"/>
      <c r="F24" s="618">
        <f t="shared" ca="1" si="0"/>
        <v>-43388</v>
      </c>
      <c r="G24" s="220"/>
      <c r="H24" s="116"/>
      <c r="I24" s="81"/>
      <c r="J24" s="40" t="str">
        <f t="shared" ca="1" si="1"/>
        <v>OVERDUE</v>
      </c>
      <c r="K24" s="107"/>
    </row>
    <row r="25" spans="1:11" ht="38.25" x14ac:dyDescent="0.2">
      <c r="A25" s="623"/>
      <c r="B25" s="304" t="s">
        <v>229</v>
      </c>
      <c r="C25" s="216"/>
      <c r="D25" s="534"/>
      <c r="E25" s="534"/>
      <c r="F25" s="618">
        <f t="shared" ca="1" si="0"/>
        <v>-43388</v>
      </c>
      <c r="G25" s="220"/>
      <c r="H25" s="116"/>
      <c r="I25" s="81"/>
      <c r="J25" s="40" t="str">
        <f t="shared" ca="1" si="1"/>
        <v>OVERDUE</v>
      </c>
      <c r="K25" s="107"/>
    </row>
    <row r="26" spans="1:11" ht="15" x14ac:dyDescent="0.2">
      <c r="A26" s="623"/>
      <c r="B26" s="305" t="s">
        <v>1039</v>
      </c>
      <c r="C26" s="152"/>
      <c r="D26" s="186"/>
      <c r="E26" s="186"/>
      <c r="F26" s="617">
        <f t="shared" ca="1" si="0"/>
        <v>-43388</v>
      </c>
      <c r="G26" s="219"/>
      <c r="H26" s="175"/>
      <c r="I26" s="81"/>
      <c r="J26" s="40" t="str">
        <f t="shared" ca="1" si="1"/>
        <v>OVERDUE</v>
      </c>
      <c r="K26" s="107"/>
    </row>
    <row r="27" spans="1:11" ht="15" x14ac:dyDescent="0.2">
      <c r="A27" s="499"/>
      <c r="B27" s="520" t="s">
        <v>230</v>
      </c>
      <c r="C27" s="87"/>
      <c r="D27" s="619"/>
      <c r="E27" s="619"/>
      <c r="F27" s="618">
        <f t="shared" ca="1" si="0"/>
        <v>-43388</v>
      </c>
      <c r="G27" s="103"/>
      <c r="H27" s="116"/>
      <c r="I27" s="145"/>
      <c r="J27" s="138" t="str">
        <f ca="1">IF(AND(J28="completed",J29="completed",J30="completed",J31="completed"),"Deliverable Completed","DELIVERABLE STILL IN PROGRESS")</f>
        <v>DELIVERABLE STILL IN PROGRESS</v>
      </c>
      <c r="K27" s="169"/>
    </row>
    <row r="28" spans="1:11" x14ac:dyDescent="0.2">
      <c r="A28" s="499"/>
      <c r="B28" s="146" t="s">
        <v>231</v>
      </c>
      <c r="C28" s="216"/>
      <c r="D28" s="104"/>
      <c r="E28" s="104"/>
      <c r="F28" s="564">
        <f t="shared" ca="1" si="0"/>
        <v>-43388</v>
      </c>
      <c r="G28" s="43"/>
      <c r="H28" s="38"/>
      <c r="I28" s="39"/>
      <c r="J28" s="40" t="str">
        <f t="shared" ref="J28:J61" ca="1" si="2">IF(G28&gt;0,"COMPLETED",(IF(I28&gt;0,"ISSUE IDENTIFIED",(IF(TODAY()&gt;E28,"OVERDUE","In Progress")))))</f>
        <v>OVERDUE</v>
      </c>
      <c r="K28" s="68"/>
    </row>
    <row r="29" spans="1:11" x14ac:dyDescent="0.2">
      <c r="A29" s="499"/>
      <c r="B29" s="146" t="s">
        <v>232</v>
      </c>
      <c r="C29" s="216"/>
      <c r="D29" s="187"/>
      <c r="E29" s="187"/>
      <c r="F29" s="564">
        <f t="shared" ca="1" si="0"/>
        <v>-43388</v>
      </c>
      <c r="G29" s="101"/>
      <c r="H29" s="38"/>
      <c r="I29" s="39"/>
      <c r="J29" s="40" t="str">
        <f t="shared" ca="1" si="2"/>
        <v>OVERDUE</v>
      </c>
      <c r="K29" s="68"/>
    </row>
    <row r="30" spans="1:11" x14ac:dyDescent="0.2">
      <c r="A30" s="499"/>
      <c r="B30" s="146" t="s">
        <v>233</v>
      </c>
      <c r="C30" s="216"/>
      <c r="D30" s="187"/>
      <c r="E30" s="187"/>
      <c r="F30" s="564">
        <f t="shared" ca="1" si="0"/>
        <v>-43388</v>
      </c>
      <c r="G30" s="101"/>
      <c r="H30" s="38"/>
      <c r="I30" s="39"/>
      <c r="J30" s="40" t="str">
        <f t="shared" ca="1" si="2"/>
        <v>OVERDUE</v>
      </c>
      <c r="K30" s="68"/>
    </row>
    <row r="31" spans="1:11" x14ac:dyDescent="0.2">
      <c r="A31" s="499"/>
      <c r="B31" s="155" t="s">
        <v>234</v>
      </c>
      <c r="C31" s="584"/>
      <c r="D31" s="174"/>
      <c r="E31" s="174"/>
      <c r="F31" s="617">
        <f t="shared" ca="1" si="0"/>
        <v>-43388</v>
      </c>
      <c r="G31" s="149"/>
      <c r="H31" s="175"/>
      <c r="I31" s="152"/>
      <c r="J31" s="153" t="str">
        <f t="shared" ca="1" si="2"/>
        <v>OVERDUE</v>
      </c>
      <c r="K31" s="170"/>
    </row>
    <row r="32" spans="1:11" ht="15" x14ac:dyDescent="0.2">
      <c r="A32" s="499"/>
      <c r="B32" s="520" t="s">
        <v>235</v>
      </c>
      <c r="C32" s="585"/>
      <c r="D32" s="619"/>
      <c r="E32" s="619"/>
      <c r="F32" s="563">
        <f t="shared" ca="1" si="0"/>
        <v>-43388</v>
      </c>
      <c r="G32" s="154"/>
      <c r="H32" s="173"/>
      <c r="I32" s="145"/>
      <c r="J32" s="138" t="str">
        <f ca="1">IF(AND(J33="completed",J34="completed",J35="completed",J36="completed",J37="completed",J38="completed",J39="completed",J40="completed",J41="completed",J42="completed",J43="completed",J44="completed",J45="completed",J46="completed",J47="completed",J48="completed",J49="completed",J50="completed",J51="completed",J52="completed",J53="completed"),"Deliverable Completed","DELIVERABLE STILL IN PROGRESS")</f>
        <v>DELIVERABLE STILL IN PROGRESS</v>
      </c>
      <c r="K32" s="169"/>
    </row>
    <row r="33" spans="1:11" x14ac:dyDescent="0.2">
      <c r="A33" s="499"/>
      <c r="B33" s="146" t="s">
        <v>236</v>
      </c>
      <c r="C33" s="424"/>
      <c r="D33" s="187"/>
      <c r="E33" s="187"/>
      <c r="F33" s="564">
        <f t="shared" ca="1" si="0"/>
        <v>-43388</v>
      </c>
      <c r="G33" s="101"/>
      <c r="H33" s="38"/>
      <c r="I33" s="39"/>
      <c r="J33" s="40" t="str">
        <f t="shared" ca="1" si="2"/>
        <v>OVERDUE</v>
      </c>
      <c r="K33" s="68"/>
    </row>
    <row r="34" spans="1:11" ht="25.5" x14ac:dyDescent="0.2">
      <c r="A34" s="499"/>
      <c r="B34" s="146" t="s">
        <v>237</v>
      </c>
      <c r="C34" s="424"/>
      <c r="D34" s="187"/>
      <c r="E34" s="187"/>
      <c r="F34" s="564">
        <f t="shared" ca="1" si="0"/>
        <v>-43388</v>
      </c>
      <c r="G34" s="101"/>
      <c r="H34" s="38"/>
      <c r="I34" s="39"/>
      <c r="J34" s="40" t="str">
        <f t="shared" ca="1" si="2"/>
        <v>OVERDUE</v>
      </c>
      <c r="K34" s="68"/>
    </row>
    <row r="35" spans="1:11" x14ac:dyDescent="0.2">
      <c r="A35" s="499"/>
      <c r="B35" s="155" t="s">
        <v>238</v>
      </c>
      <c r="C35" s="424"/>
      <c r="D35" s="187"/>
      <c r="E35" s="187"/>
      <c r="F35" s="564">
        <f t="shared" ca="1" si="0"/>
        <v>-43388</v>
      </c>
      <c r="G35" s="101"/>
      <c r="H35" s="38"/>
      <c r="I35" s="39"/>
      <c r="J35" s="40" t="str">
        <f t="shared" ca="1" si="2"/>
        <v>OVERDUE</v>
      </c>
      <c r="K35" s="68"/>
    </row>
    <row r="36" spans="1:11" ht="25.5" x14ac:dyDescent="0.2">
      <c r="A36" s="499"/>
      <c r="B36" s="155" t="s">
        <v>239</v>
      </c>
      <c r="C36" s="424"/>
      <c r="D36" s="187"/>
      <c r="E36" s="187"/>
      <c r="F36" s="564">
        <f t="shared" ca="1" si="0"/>
        <v>-43388</v>
      </c>
      <c r="G36" s="101"/>
      <c r="H36" s="38"/>
      <c r="I36" s="39"/>
      <c r="J36" s="40" t="str">
        <f t="shared" ca="1" si="2"/>
        <v>OVERDUE</v>
      </c>
      <c r="K36" s="68"/>
    </row>
    <row r="37" spans="1:11" x14ac:dyDescent="0.2">
      <c r="A37" s="499"/>
      <c r="B37" s="155" t="s">
        <v>240</v>
      </c>
      <c r="C37" s="424"/>
      <c r="D37" s="187"/>
      <c r="E37" s="187"/>
      <c r="F37" s="564">
        <f t="shared" ca="1" si="0"/>
        <v>-43388</v>
      </c>
      <c r="G37" s="101"/>
      <c r="H37" s="38"/>
      <c r="I37" s="39"/>
      <c r="J37" s="40" t="str">
        <f t="shared" ca="1" si="2"/>
        <v>OVERDUE</v>
      </c>
      <c r="K37" s="68"/>
    </row>
    <row r="38" spans="1:11" x14ac:dyDescent="0.2">
      <c r="A38" s="499"/>
      <c r="B38" s="146" t="s">
        <v>241</v>
      </c>
      <c r="C38" s="424"/>
      <c r="D38" s="187"/>
      <c r="E38" s="187"/>
      <c r="F38" s="564">
        <f t="shared" ca="1" si="0"/>
        <v>-43388</v>
      </c>
      <c r="G38" s="101"/>
      <c r="H38" s="38"/>
      <c r="I38" s="39"/>
      <c r="J38" s="40" t="str">
        <f t="shared" ca="1" si="2"/>
        <v>OVERDUE</v>
      </c>
      <c r="K38" s="68"/>
    </row>
    <row r="39" spans="1:11" x14ac:dyDescent="0.2">
      <c r="A39" s="499"/>
      <c r="B39" s="146" t="s">
        <v>242</v>
      </c>
      <c r="C39" s="424"/>
      <c r="D39" s="187"/>
      <c r="E39" s="187"/>
      <c r="F39" s="564">
        <f t="shared" ca="1" si="0"/>
        <v>-43388</v>
      </c>
      <c r="G39" s="101"/>
      <c r="H39" s="38"/>
      <c r="I39" s="39"/>
      <c r="J39" s="40" t="str">
        <f t="shared" ca="1" si="2"/>
        <v>OVERDUE</v>
      </c>
      <c r="K39" s="68"/>
    </row>
    <row r="40" spans="1:11" ht="25.5" x14ac:dyDescent="0.2">
      <c r="A40" s="499"/>
      <c r="B40" s="146" t="s">
        <v>243</v>
      </c>
      <c r="C40" s="424"/>
      <c r="D40" s="187"/>
      <c r="E40" s="187"/>
      <c r="F40" s="564">
        <f t="shared" ca="1" si="0"/>
        <v>-43388</v>
      </c>
      <c r="G40" s="101"/>
      <c r="H40" s="38"/>
      <c r="I40" s="39"/>
      <c r="J40" s="40" t="str">
        <f t="shared" ca="1" si="2"/>
        <v>OVERDUE</v>
      </c>
      <c r="K40" s="68"/>
    </row>
    <row r="41" spans="1:11" ht="25.5" x14ac:dyDescent="0.2">
      <c r="A41" s="499"/>
      <c r="B41" s="155" t="s">
        <v>244</v>
      </c>
      <c r="C41" s="424"/>
      <c r="D41" s="187"/>
      <c r="E41" s="187"/>
      <c r="F41" s="564">
        <f t="shared" ca="1" si="0"/>
        <v>-43388</v>
      </c>
      <c r="G41" s="101"/>
      <c r="H41" s="38"/>
      <c r="I41" s="39"/>
      <c r="J41" s="40" t="str">
        <f t="shared" ca="1" si="2"/>
        <v>OVERDUE</v>
      </c>
      <c r="K41" s="68"/>
    </row>
    <row r="42" spans="1:11" x14ac:dyDescent="0.2">
      <c r="A42" s="499"/>
      <c r="B42" s="155" t="s">
        <v>245</v>
      </c>
      <c r="C42" s="424"/>
      <c r="D42" s="187"/>
      <c r="E42" s="187"/>
      <c r="F42" s="564">
        <f t="shared" ca="1" si="0"/>
        <v>-43388</v>
      </c>
      <c r="G42" s="101"/>
      <c r="H42" s="38"/>
      <c r="I42" s="39"/>
      <c r="J42" s="40" t="str">
        <f t="shared" ca="1" si="2"/>
        <v>OVERDUE</v>
      </c>
      <c r="K42" s="68"/>
    </row>
    <row r="43" spans="1:11" x14ac:dyDescent="0.2">
      <c r="A43" s="499"/>
      <c r="B43" s="155" t="s">
        <v>246</v>
      </c>
      <c r="C43" s="424"/>
      <c r="D43" s="187"/>
      <c r="E43" s="187"/>
      <c r="F43" s="564">
        <f t="shared" ca="1" si="0"/>
        <v>-43388</v>
      </c>
      <c r="G43" s="101"/>
      <c r="H43" s="38"/>
      <c r="I43" s="39"/>
      <c r="J43" s="40" t="str">
        <f t="shared" ca="1" si="2"/>
        <v>OVERDUE</v>
      </c>
      <c r="K43" s="68"/>
    </row>
    <row r="44" spans="1:11" x14ac:dyDescent="0.2">
      <c r="A44" s="499"/>
      <c r="B44" s="155" t="s">
        <v>247</v>
      </c>
      <c r="C44" s="424"/>
      <c r="D44" s="187"/>
      <c r="E44" s="187"/>
      <c r="F44" s="564">
        <f t="shared" ca="1" si="0"/>
        <v>-43388</v>
      </c>
      <c r="G44" s="101"/>
      <c r="H44" s="38"/>
      <c r="I44" s="39"/>
      <c r="J44" s="40" t="str">
        <f t="shared" ca="1" si="2"/>
        <v>OVERDUE</v>
      </c>
      <c r="K44" s="68"/>
    </row>
    <row r="45" spans="1:11" x14ac:dyDescent="0.2">
      <c r="A45" s="499"/>
      <c r="B45" s="181" t="s">
        <v>248</v>
      </c>
      <c r="C45" s="424"/>
      <c r="D45" s="187"/>
      <c r="E45" s="187"/>
      <c r="F45" s="564">
        <f t="shared" ca="1" si="0"/>
        <v>-43388</v>
      </c>
      <c r="G45" s="101"/>
      <c r="H45" s="38"/>
      <c r="I45" s="39"/>
      <c r="J45" s="40" t="str">
        <f t="shared" ca="1" si="2"/>
        <v>OVERDUE</v>
      </c>
      <c r="K45" s="68"/>
    </row>
    <row r="46" spans="1:11" x14ac:dyDescent="0.2">
      <c r="A46" s="499"/>
      <c r="B46" s="146" t="s">
        <v>249</v>
      </c>
      <c r="C46" s="424"/>
      <c r="D46" s="187"/>
      <c r="E46" s="187"/>
      <c r="F46" s="564">
        <f t="shared" ca="1" si="0"/>
        <v>-43388</v>
      </c>
      <c r="G46" s="101"/>
      <c r="H46" s="38"/>
      <c r="I46" s="39"/>
      <c r="J46" s="40" t="str">
        <f t="shared" ca="1" si="2"/>
        <v>OVERDUE</v>
      </c>
      <c r="K46" s="68"/>
    </row>
    <row r="47" spans="1:11" x14ac:dyDescent="0.2">
      <c r="A47" s="499"/>
      <c r="B47" s="155" t="s">
        <v>250</v>
      </c>
      <c r="C47" s="424"/>
      <c r="D47" s="187"/>
      <c r="E47" s="187"/>
      <c r="F47" s="564">
        <f t="shared" ca="1" si="0"/>
        <v>-43388</v>
      </c>
      <c r="G47" s="101"/>
      <c r="H47" s="38"/>
      <c r="I47" s="39"/>
      <c r="J47" s="40" t="str">
        <f t="shared" ca="1" si="2"/>
        <v>OVERDUE</v>
      </c>
      <c r="K47" s="68"/>
    </row>
    <row r="48" spans="1:11" x14ac:dyDescent="0.2">
      <c r="A48" s="499"/>
      <c r="B48" s="155" t="s">
        <v>251</v>
      </c>
      <c r="C48" s="424"/>
      <c r="D48" s="187"/>
      <c r="E48" s="187"/>
      <c r="F48" s="564">
        <f t="shared" ca="1" si="0"/>
        <v>-43388</v>
      </c>
      <c r="G48" s="101"/>
      <c r="H48" s="38"/>
      <c r="I48" s="39"/>
      <c r="J48" s="40" t="str">
        <f t="shared" ca="1" si="2"/>
        <v>OVERDUE</v>
      </c>
      <c r="K48" s="68"/>
    </row>
    <row r="49" spans="1:11" ht="25.5" x14ac:dyDescent="0.2">
      <c r="A49" s="499"/>
      <c r="B49" s="146" t="s">
        <v>252</v>
      </c>
      <c r="C49" s="424"/>
      <c r="D49" s="187"/>
      <c r="E49" s="187"/>
      <c r="F49" s="564">
        <f t="shared" ca="1" si="0"/>
        <v>-43388</v>
      </c>
      <c r="G49" s="101"/>
      <c r="H49" s="38"/>
      <c r="I49" s="39"/>
      <c r="J49" s="40" t="str">
        <f t="shared" ca="1" si="2"/>
        <v>OVERDUE</v>
      </c>
      <c r="K49" s="68"/>
    </row>
    <row r="50" spans="1:11" x14ac:dyDescent="0.2">
      <c r="A50" s="499"/>
      <c r="B50" s="146" t="s">
        <v>253</v>
      </c>
      <c r="C50" s="424"/>
      <c r="D50" s="187"/>
      <c r="E50" s="187"/>
      <c r="F50" s="564">
        <f t="shared" ca="1" si="0"/>
        <v>-43388</v>
      </c>
      <c r="G50" s="101"/>
      <c r="H50" s="38"/>
      <c r="I50" s="39"/>
      <c r="J50" s="40" t="str">
        <f t="shared" ca="1" si="2"/>
        <v>OVERDUE</v>
      </c>
      <c r="K50" s="68"/>
    </row>
    <row r="51" spans="1:11" x14ac:dyDescent="0.2">
      <c r="A51" s="499"/>
      <c r="B51" s="147" t="s">
        <v>254</v>
      </c>
      <c r="C51" s="424"/>
      <c r="D51" s="187"/>
      <c r="E51" s="187"/>
      <c r="F51" s="564">
        <f t="shared" ca="1" si="0"/>
        <v>-43388</v>
      </c>
      <c r="G51" s="101"/>
      <c r="H51" s="38"/>
      <c r="I51" s="39"/>
      <c r="J51" s="40" t="str">
        <f t="shared" ca="1" si="2"/>
        <v>OVERDUE</v>
      </c>
      <c r="K51" s="68"/>
    </row>
    <row r="52" spans="1:11" x14ac:dyDescent="0.2">
      <c r="A52" s="499"/>
      <c r="B52" s="277" t="s">
        <v>255</v>
      </c>
      <c r="C52" s="424"/>
      <c r="D52" s="187"/>
      <c r="E52" s="187"/>
      <c r="F52" s="564">
        <f t="shared" ca="1" si="0"/>
        <v>-43388</v>
      </c>
      <c r="G52" s="101"/>
      <c r="H52" s="38"/>
      <c r="I52" s="39"/>
      <c r="J52" s="40" t="str">
        <f t="shared" ca="1" si="2"/>
        <v>OVERDUE</v>
      </c>
      <c r="K52" s="68"/>
    </row>
    <row r="53" spans="1:11" x14ac:dyDescent="0.2">
      <c r="A53" s="499"/>
      <c r="B53" s="160"/>
      <c r="C53" s="424"/>
      <c r="D53" s="188"/>
      <c r="E53" s="187"/>
      <c r="F53" s="564">
        <f t="shared" ca="1" si="0"/>
        <v>-43388</v>
      </c>
      <c r="G53" s="149"/>
      <c r="H53" s="175"/>
      <c r="I53" s="152"/>
      <c r="J53" s="40" t="str">
        <f t="shared" ca="1" si="2"/>
        <v>OVERDUE</v>
      </c>
      <c r="K53" s="170"/>
    </row>
    <row r="54" spans="1:11" ht="15" x14ac:dyDescent="0.2">
      <c r="A54" s="499"/>
      <c r="B54" s="520"/>
      <c r="C54" s="583"/>
      <c r="D54" s="172"/>
      <c r="E54" s="172"/>
      <c r="F54" s="563">
        <f t="shared" ca="1" si="0"/>
        <v>-43388</v>
      </c>
      <c r="G54" s="154"/>
      <c r="H54" s="173"/>
      <c r="I54" s="145"/>
      <c r="J54" s="138" t="str">
        <f ca="1">IF(AND(J55="completed",J56="completed",J57="completed",J58="completed"),"Deliverable Completed","DELIVERABLE STILL IN PROGRESS")</f>
        <v>DELIVERABLE STILL IN PROGRESS</v>
      </c>
      <c r="K54" s="169"/>
    </row>
    <row r="55" spans="1:11" x14ac:dyDescent="0.2">
      <c r="A55" s="499"/>
      <c r="B55" s="176"/>
      <c r="C55" s="424"/>
      <c r="D55" s="187"/>
      <c r="E55" s="187"/>
      <c r="F55" s="564">
        <f t="shared" ca="1" si="0"/>
        <v>-43388</v>
      </c>
      <c r="G55" s="101"/>
      <c r="H55" s="38"/>
      <c r="I55" s="39"/>
      <c r="J55" s="40" t="str">
        <f t="shared" ca="1" si="2"/>
        <v>OVERDUE</v>
      </c>
      <c r="K55" s="68"/>
    </row>
    <row r="56" spans="1:11" x14ac:dyDescent="0.2">
      <c r="A56" s="499"/>
      <c r="B56" s="146"/>
      <c r="C56" s="424"/>
      <c r="D56" s="187"/>
      <c r="E56" s="187"/>
      <c r="F56" s="564">
        <f t="shared" ca="1" si="0"/>
        <v>-43388</v>
      </c>
      <c r="G56" s="101"/>
      <c r="H56" s="38"/>
      <c r="I56" s="39"/>
      <c r="J56" s="105" t="str">
        <f t="shared" ca="1" si="2"/>
        <v>OVERDUE</v>
      </c>
      <c r="K56" s="68"/>
    </row>
    <row r="57" spans="1:11" x14ac:dyDescent="0.2">
      <c r="A57" s="499"/>
      <c r="B57" s="146"/>
      <c r="C57" s="424"/>
      <c r="D57" s="187"/>
      <c r="E57" s="187"/>
      <c r="F57" s="564">
        <f t="shared" ca="1" si="0"/>
        <v>-43388</v>
      </c>
      <c r="G57" s="101"/>
      <c r="H57" s="38"/>
      <c r="I57" s="39"/>
      <c r="J57" s="105" t="str">
        <f t="shared" ca="1" si="2"/>
        <v>OVERDUE</v>
      </c>
      <c r="K57" s="68"/>
    </row>
    <row r="58" spans="1:11" ht="18" customHeight="1" x14ac:dyDescent="0.2">
      <c r="A58" s="499"/>
      <c r="B58" s="160"/>
      <c r="C58" s="584"/>
      <c r="D58" s="188"/>
      <c r="E58" s="188"/>
      <c r="F58" s="617">
        <f t="shared" ca="1" si="0"/>
        <v>-43388</v>
      </c>
      <c r="G58" s="149"/>
      <c r="H58" s="175"/>
      <c r="I58" s="152"/>
      <c r="J58" s="153" t="str">
        <f t="shared" ca="1" si="2"/>
        <v>OVERDUE</v>
      </c>
      <c r="K58" s="170"/>
    </row>
    <row r="59" spans="1:11" ht="15" x14ac:dyDescent="0.2">
      <c r="A59" s="499"/>
      <c r="B59" s="520"/>
      <c r="C59" s="585"/>
      <c r="D59" s="172"/>
      <c r="E59" s="172"/>
      <c r="F59" s="618">
        <f t="shared" ca="1" si="0"/>
        <v>-43388</v>
      </c>
      <c r="G59" s="103"/>
      <c r="H59" s="116"/>
      <c r="I59" s="81"/>
      <c r="J59" s="141" t="str">
        <f ca="1">IF(AND(J60="completed",J61="completed"),"Deliverable Completed","DELIVERABLE STILL IN PROGRESS")</f>
        <v>DELIVERABLE STILL IN PROGRESS</v>
      </c>
      <c r="K59" s="82"/>
    </row>
    <row r="60" spans="1:11" x14ac:dyDescent="0.2">
      <c r="A60" s="499"/>
      <c r="B60" s="146"/>
      <c r="C60" s="424"/>
      <c r="D60" s="187"/>
      <c r="E60" s="187"/>
      <c r="F60" s="564">
        <f t="shared" ca="1" si="0"/>
        <v>-43388</v>
      </c>
      <c r="G60" s="101"/>
      <c r="H60" s="38"/>
      <c r="I60" s="39"/>
      <c r="J60" s="105" t="str">
        <f t="shared" ca="1" si="2"/>
        <v>OVERDUE</v>
      </c>
      <c r="K60" s="68"/>
    </row>
    <row r="61" spans="1:11" ht="13.5" thickBot="1" x14ac:dyDescent="0.25">
      <c r="A61" s="503"/>
      <c r="B61" s="208"/>
      <c r="C61" s="586"/>
      <c r="D61" s="209"/>
      <c r="E61" s="209"/>
      <c r="F61" s="565">
        <f t="shared" ca="1" si="0"/>
        <v>-43388</v>
      </c>
      <c r="G61" s="211"/>
      <c r="H61" s="212"/>
      <c r="I61" s="213"/>
      <c r="J61" s="74" t="str">
        <f t="shared" ca="1" si="2"/>
        <v>OVERDUE</v>
      </c>
      <c r="K61" s="214"/>
    </row>
  </sheetData>
  <sheetProtection algorithmName="SHA-512" hashValue="mO2ZhRtZBuEFIFuczyDgCsAw0FD55iwJ0phIvuJ8+QOQ2NaMnQm33UX8zrJlgCldDHtKuSNvaxpGrBEq07Xi0g==" saltValue="wf06bklm7f4KqXDkKJu/1w==" spinCount="100000" sheet="1" insertRows="0" deleteRows="0" sort="0" autoFilter="0"/>
  <mergeCells count="1">
    <mergeCell ref="A1:K1"/>
  </mergeCells>
  <conditionalFormatting sqref="F9:F150">
    <cfRule type="cellIs" dxfId="118" priority="22" stopIfTrue="1" operator="lessThan">
      <formula>-1000</formula>
    </cfRule>
  </conditionalFormatting>
  <conditionalFormatting sqref="D9:E61">
    <cfRule type="cellIs" dxfId="117" priority="1" operator="equal">
      <formula>0</formula>
    </cfRule>
  </conditionalFormatting>
  <conditionalFormatting sqref="J9:J150">
    <cfRule type="containsText" dxfId="116" priority="2" operator="containsText" text="DELIVERABLE STILL IN PROGRESS">
      <formula>NOT(ISERROR(SEARCH("DELIVERABLE STILL IN PROGRESS",J9)))</formula>
    </cfRule>
    <cfRule type="containsText" dxfId="115" priority="3" operator="containsText" text="DELIVERABLE COMPLETED">
      <formula>NOT(ISERROR(SEARCH("DELIVERABLE COMPLETED",J9)))</formula>
    </cfRule>
    <cfRule type="cellIs" dxfId="114" priority="4" stopIfTrue="1" operator="equal">
      <formula>"OVERDUE"</formula>
    </cfRule>
    <cfRule type="cellIs" dxfId="113" priority="5" stopIfTrue="1" operator="equal">
      <formula>"COMPLETED"</formula>
    </cfRule>
    <cfRule type="cellIs" dxfId="112" priority="6" stopIfTrue="1" operator="equal">
      <formula>"ISSUE IDENTIFIED"</formula>
    </cfRule>
  </conditionalFormatting>
  <printOptions horizontalCentered="1"/>
  <pageMargins left="0.25" right="0.25" top="0.5" bottom="0.75" header="0.25" footer="0.5"/>
  <pageSetup scale="42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68D2-91AA-4FC8-875F-1F72E31190BE}">
  <sheetPr codeName="Sheet8">
    <tabColor rgb="FF0C3964"/>
    <pageSetUpPr fitToPage="1"/>
  </sheetPr>
  <dimension ref="A1:L77"/>
  <sheetViews>
    <sheetView showGridLines="0" zoomScaleNormal="100" workbookViewId="0">
      <pane xSplit="3" ySplit="8" topLeftCell="H65" activePane="bottomRight" state="frozen"/>
      <selection pane="topRight" activeCell="D1" sqref="D1"/>
      <selection pane="bottomLeft" activeCell="A9" sqref="A9"/>
      <selection pane="bottomRight" activeCell="I4" sqref="I4"/>
    </sheetView>
  </sheetViews>
  <sheetFormatPr defaultRowHeight="12.75" x14ac:dyDescent="0.2"/>
  <cols>
    <col min="1" max="1" width="26.85546875" style="25" customWidth="1"/>
    <col min="2" max="2" width="87.7109375" style="27" customWidth="1"/>
    <col min="3" max="3" width="31.7109375" style="25" customWidth="1"/>
    <col min="4" max="7" width="13.7109375" style="5" customWidth="1"/>
    <col min="8" max="8" width="14.7109375" style="25" bestFit="1" customWidth="1"/>
    <col min="9" max="9" width="22" style="27" customWidth="1"/>
    <col min="10" max="10" width="26" style="25" bestFit="1" customWidth="1"/>
    <col min="11" max="11" width="40.7109375" style="25" customWidth="1"/>
    <col min="12" max="12" width="15.5703125" style="25" customWidth="1"/>
    <col min="13" max="13" width="7" style="25" customWidth="1"/>
    <col min="14" max="256" width="9.140625" style="25"/>
    <col min="257" max="257" width="10.7109375" style="25" customWidth="1"/>
    <col min="258" max="258" width="50.7109375" style="25" customWidth="1"/>
    <col min="259" max="259" width="15.5703125" style="25" customWidth="1"/>
    <col min="260" max="263" width="10.7109375" style="25" customWidth="1"/>
    <col min="264" max="265" width="12.7109375" style="25" customWidth="1"/>
    <col min="266" max="266" width="15.7109375" style="25" customWidth="1"/>
    <col min="267" max="267" width="40.7109375" style="25" customWidth="1"/>
    <col min="268" max="268" width="15.5703125" style="25" customWidth="1"/>
    <col min="269" max="512" width="9.140625" style="25"/>
    <col min="513" max="513" width="10.7109375" style="25" customWidth="1"/>
    <col min="514" max="514" width="50.7109375" style="25" customWidth="1"/>
    <col min="515" max="515" width="15.5703125" style="25" customWidth="1"/>
    <col min="516" max="519" width="10.7109375" style="25" customWidth="1"/>
    <col min="520" max="521" width="12.7109375" style="25" customWidth="1"/>
    <col min="522" max="522" width="15.7109375" style="25" customWidth="1"/>
    <col min="523" max="523" width="40.7109375" style="25" customWidth="1"/>
    <col min="524" max="524" width="15.5703125" style="25" customWidth="1"/>
    <col min="525" max="768" width="9.140625" style="25"/>
    <col min="769" max="769" width="10.7109375" style="25" customWidth="1"/>
    <col min="770" max="770" width="50.7109375" style="25" customWidth="1"/>
    <col min="771" max="771" width="15.5703125" style="25" customWidth="1"/>
    <col min="772" max="775" width="10.7109375" style="25" customWidth="1"/>
    <col min="776" max="777" width="12.7109375" style="25" customWidth="1"/>
    <col min="778" max="778" width="15.7109375" style="25" customWidth="1"/>
    <col min="779" max="779" width="40.7109375" style="25" customWidth="1"/>
    <col min="780" max="780" width="15.5703125" style="25" customWidth="1"/>
    <col min="781" max="1024" width="9.140625" style="25"/>
    <col min="1025" max="1025" width="10.7109375" style="25" customWidth="1"/>
    <col min="1026" max="1026" width="50.7109375" style="25" customWidth="1"/>
    <col min="1027" max="1027" width="15.5703125" style="25" customWidth="1"/>
    <col min="1028" max="1031" width="10.7109375" style="25" customWidth="1"/>
    <col min="1032" max="1033" width="12.7109375" style="25" customWidth="1"/>
    <col min="1034" max="1034" width="15.7109375" style="25" customWidth="1"/>
    <col min="1035" max="1035" width="40.7109375" style="25" customWidth="1"/>
    <col min="1036" max="1036" width="15.5703125" style="25" customWidth="1"/>
    <col min="1037" max="1280" width="9.140625" style="25"/>
    <col min="1281" max="1281" width="10.7109375" style="25" customWidth="1"/>
    <col min="1282" max="1282" width="50.7109375" style="25" customWidth="1"/>
    <col min="1283" max="1283" width="15.5703125" style="25" customWidth="1"/>
    <col min="1284" max="1287" width="10.7109375" style="25" customWidth="1"/>
    <col min="1288" max="1289" width="12.7109375" style="25" customWidth="1"/>
    <col min="1290" max="1290" width="15.7109375" style="25" customWidth="1"/>
    <col min="1291" max="1291" width="40.7109375" style="25" customWidth="1"/>
    <col min="1292" max="1292" width="15.5703125" style="25" customWidth="1"/>
    <col min="1293" max="1536" width="9.140625" style="25"/>
    <col min="1537" max="1537" width="10.7109375" style="25" customWidth="1"/>
    <col min="1538" max="1538" width="50.7109375" style="25" customWidth="1"/>
    <col min="1539" max="1539" width="15.5703125" style="25" customWidth="1"/>
    <col min="1540" max="1543" width="10.7109375" style="25" customWidth="1"/>
    <col min="1544" max="1545" width="12.7109375" style="25" customWidth="1"/>
    <col min="1546" max="1546" width="15.7109375" style="25" customWidth="1"/>
    <col min="1547" max="1547" width="40.7109375" style="25" customWidth="1"/>
    <col min="1548" max="1548" width="15.5703125" style="25" customWidth="1"/>
    <col min="1549" max="1792" width="9.140625" style="25"/>
    <col min="1793" max="1793" width="10.7109375" style="25" customWidth="1"/>
    <col min="1794" max="1794" width="50.7109375" style="25" customWidth="1"/>
    <col min="1795" max="1795" width="15.5703125" style="25" customWidth="1"/>
    <col min="1796" max="1799" width="10.7109375" style="25" customWidth="1"/>
    <col min="1800" max="1801" width="12.7109375" style="25" customWidth="1"/>
    <col min="1802" max="1802" width="15.7109375" style="25" customWidth="1"/>
    <col min="1803" max="1803" width="40.7109375" style="25" customWidth="1"/>
    <col min="1804" max="1804" width="15.5703125" style="25" customWidth="1"/>
    <col min="1805" max="2048" width="9.140625" style="25"/>
    <col min="2049" max="2049" width="10.7109375" style="25" customWidth="1"/>
    <col min="2050" max="2050" width="50.7109375" style="25" customWidth="1"/>
    <col min="2051" max="2051" width="15.5703125" style="25" customWidth="1"/>
    <col min="2052" max="2055" width="10.7109375" style="25" customWidth="1"/>
    <col min="2056" max="2057" width="12.7109375" style="25" customWidth="1"/>
    <col min="2058" max="2058" width="15.7109375" style="25" customWidth="1"/>
    <col min="2059" max="2059" width="40.7109375" style="25" customWidth="1"/>
    <col min="2060" max="2060" width="15.5703125" style="25" customWidth="1"/>
    <col min="2061" max="2304" width="9.140625" style="25"/>
    <col min="2305" max="2305" width="10.7109375" style="25" customWidth="1"/>
    <col min="2306" max="2306" width="50.7109375" style="25" customWidth="1"/>
    <col min="2307" max="2307" width="15.5703125" style="25" customWidth="1"/>
    <col min="2308" max="2311" width="10.7109375" style="25" customWidth="1"/>
    <col min="2312" max="2313" width="12.7109375" style="25" customWidth="1"/>
    <col min="2314" max="2314" width="15.7109375" style="25" customWidth="1"/>
    <col min="2315" max="2315" width="40.7109375" style="25" customWidth="1"/>
    <col min="2316" max="2316" width="15.5703125" style="25" customWidth="1"/>
    <col min="2317" max="2560" width="9.140625" style="25"/>
    <col min="2561" max="2561" width="10.7109375" style="25" customWidth="1"/>
    <col min="2562" max="2562" width="50.7109375" style="25" customWidth="1"/>
    <col min="2563" max="2563" width="15.5703125" style="25" customWidth="1"/>
    <col min="2564" max="2567" width="10.7109375" style="25" customWidth="1"/>
    <col min="2568" max="2569" width="12.7109375" style="25" customWidth="1"/>
    <col min="2570" max="2570" width="15.7109375" style="25" customWidth="1"/>
    <col min="2571" max="2571" width="40.7109375" style="25" customWidth="1"/>
    <col min="2572" max="2572" width="15.5703125" style="25" customWidth="1"/>
    <col min="2573" max="2816" width="9.140625" style="25"/>
    <col min="2817" max="2817" width="10.7109375" style="25" customWidth="1"/>
    <col min="2818" max="2818" width="50.7109375" style="25" customWidth="1"/>
    <col min="2819" max="2819" width="15.5703125" style="25" customWidth="1"/>
    <col min="2820" max="2823" width="10.7109375" style="25" customWidth="1"/>
    <col min="2824" max="2825" width="12.7109375" style="25" customWidth="1"/>
    <col min="2826" max="2826" width="15.7109375" style="25" customWidth="1"/>
    <col min="2827" max="2827" width="40.7109375" style="25" customWidth="1"/>
    <col min="2828" max="2828" width="15.5703125" style="25" customWidth="1"/>
    <col min="2829" max="3072" width="9.140625" style="25"/>
    <col min="3073" max="3073" width="10.7109375" style="25" customWidth="1"/>
    <col min="3074" max="3074" width="50.7109375" style="25" customWidth="1"/>
    <col min="3075" max="3075" width="15.5703125" style="25" customWidth="1"/>
    <col min="3076" max="3079" width="10.7109375" style="25" customWidth="1"/>
    <col min="3080" max="3081" width="12.7109375" style="25" customWidth="1"/>
    <col min="3082" max="3082" width="15.7109375" style="25" customWidth="1"/>
    <col min="3083" max="3083" width="40.7109375" style="25" customWidth="1"/>
    <col min="3084" max="3084" width="15.5703125" style="25" customWidth="1"/>
    <col min="3085" max="3328" width="9.140625" style="25"/>
    <col min="3329" max="3329" width="10.7109375" style="25" customWidth="1"/>
    <col min="3330" max="3330" width="50.7109375" style="25" customWidth="1"/>
    <col min="3331" max="3331" width="15.5703125" style="25" customWidth="1"/>
    <col min="3332" max="3335" width="10.7109375" style="25" customWidth="1"/>
    <col min="3336" max="3337" width="12.7109375" style="25" customWidth="1"/>
    <col min="3338" max="3338" width="15.7109375" style="25" customWidth="1"/>
    <col min="3339" max="3339" width="40.7109375" style="25" customWidth="1"/>
    <col min="3340" max="3340" width="15.5703125" style="25" customWidth="1"/>
    <col min="3341" max="3584" width="9.140625" style="25"/>
    <col min="3585" max="3585" width="10.7109375" style="25" customWidth="1"/>
    <col min="3586" max="3586" width="50.7109375" style="25" customWidth="1"/>
    <col min="3587" max="3587" width="15.5703125" style="25" customWidth="1"/>
    <col min="3588" max="3591" width="10.7109375" style="25" customWidth="1"/>
    <col min="3592" max="3593" width="12.7109375" style="25" customWidth="1"/>
    <col min="3594" max="3594" width="15.7109375" style="25" customWidth="1"/>
    <col min="3595" max="3595" width="40.7109375" style="25" customWidth="1"/>
    <col min="3596" max="3596" width="15.5703125" style="25" customWidth="1"/>
    <col min="3597" max="3840" width="9.140625" style="25"/>
    <col min="3841" max="3841" width="10.7109375" style="25" customWidth="1"/>
    <col min="3842" max="3842" width="50.7109375" style="25" customWidth="1"/>
    <col min="3843" max="3843" width="15.5703125" style="25" customWidth="1"/>
    <col min="3844" max="3847" width="10.7109375" style="25" customWidth="1"/>
    <col min="3848" max="3849" width="12.7109375" style="25" customWidth="1"/>
    <col min="3850" max="3850" width="15.7109375" style="25" customWidth="1"/>
    <col min="3851" max="3851" width="40.7109375" style="25" customWidth="1"/>
    <col min="3852" max="3852" width="15.5703125" style="25" customWidth="1"/>
    <col min="3853" max="4096" width="9.140625" style="25"/>
    <col min="4097" max="4097" width="10.7109375" style="25" customWidth="1"/>
    <col min="4098" max="4098" width="50.7109375" style="25" customWidth="1"/>
    <col min="4099" max="4099" width="15.5703125" style="25" customWidth="1"/>
    <col min="4100" max="4103" width="10.7109375" style="25" customWidth="1"/>
    <col min="4104" max="4105" width="12.7109375" style="25" customWidth="1"/>
    <col min="4106" max="4106" width="15.7109375" style="25" customWidth="1"/>
    <col min="4107" max="4107" width="40.7109375" style="25" customWidth="1"/>
    <col min="4108" max="4108" width="15.5703125" style="25" customWidth="1"/>
    <col min="4109" max="4352" width="9.140625" style="25"/>
    <col min="4353" max="4353" width="10.7109375" style="25" customWidth="1"/>
    <col min="4354" max="4354" width="50.7109375" style="25" customWidth="1"/>
    <col min="4355" max="4355" width="15.5703125" style="25" customWidth="1"/>
    <col min="4356" max="4359" width="10.7109375" style="25" customWidth="1"/>
    <col min="4360" max="4361" width="12.7109375" style="25" customWidth="1"/>
    <col min="4362" max="4362" width="15.7109375" style="25" customWidth="1"/>
    <col min="4363" max="4363" width="40.7109375" style="25" customWidth="1"/>
    <col min="4364" max="4364" width="15.5703125" style="25" customWidth="1"/>
    <col min="4365" max="4608" width="9.140625" style="25"/>
    <col min="4609" max="4609" width="10.7109375" style="25" customWidth="1"/>
    <col min="4610" max="4610" width="50.7109375" style="25" customWidth="1"/>
    <col min="4611" max="4611" width="15.5703125" style="25" customWidth="1"/>
    <col min="4612" max="4615" width="10.7109375" style="25" customWidth="1"/>
    <col min="4616" max="4617" width="12.7109375" style="25" customWidth="1"/>
    <col min="4618" max="4618" width="15.7109375" style="25" customWidth="1"/>
    <col min="4619" max="4619" width="40.7109375" style="25" customWidth="1"/>
    <col min="4620" max="4620" width="15.5703125" style="25" customWidth="1"/>
    <col min="4621" max="4864" width="9.140625" style="25"/>
    <col min="4865" max="4865" width="10.7109375" style="25" customWidth="1"/>
    <col min="4866" max="4866" width="50.7109375" style="25" customWidth="1"/>
    <col min="4867" max="4867" width="15.5703125" style="25" customWidth="1"/>
    <col min="4868" max="4871" width="10.7109375" style="25" customWidth="1"/>
    <col min="4872" max="4873" width="12.7109375" style="25" customWidth="1"/>
    <col min="4874" max="4874" width="15.7109375" style="25" customWidth="1"/>
    <col min="4875" max="4875" width="40.7109375" style="25" customWidth="1"/>
    <col min="4876" max="4876" width="15.5703125" style="25" customWidth="1"/>
    <col min="4877" max="5120" width="9.140625" style="25"/>
    <col min="5121" max="5121" width="10.7109375" style="25" customWidth="1"/>
    <col min="5122" max="5122" width="50.7109375" style="25" customWidth="1"/>
    <col min="5123" max="5123" width="15.5703125" style="25" customWidth="1"/>
    <col min="5124" max="5127" width="10.7109375" style="25" customWidth="1"/>
    <col min="5128" max="5129" width="12.7109375" style="25" customWidth="1"/>
    <col min="5130" max="5130" width="15.7109375" style="25" customWidth="1"/>
    <col min="5131" max="5131" width="40.7109375" style="25" customWidth="1"/>
    <col min="5132" max="5132" width="15.5703125" style="25" customWidth="1"/>
    <col min="5133" max="5376" width="9.140625" style="25"/>
    <col min="5377" max="5377" width="10.7109375" style="25" customWidth="1"/>
    <col min="5378" max="5378" width="50.7109375" style="25" customWidth="1"/>
    <col min="5379" max="5379" width="15.5703125" style="25" customWidth="1"/>
    <col min="5380" max="5383" width="10.7109375" style="25" customWidth="1"/>
    <col min="5384" max="5385" width="12.7109375" style="25" customWidth="1"/>
    <col min="5386" max="5386" width="15.7109375" style="25" customWidth="1"/>
    <col min="5387" max="5387" width="40.7109375" style="25" customWidth="1"/>
    <col min="5388" max="5388" width="15.5703125" style="25" customWidth="1"/>
    <col min="5389" max="5632" width="9.140625" style="25"/>
    <col min="5633" max="5633" width="10.7109375" style="25" customWidth="1"/>
    <col min="5634" max="5634" width="50.7109375" style="25" customWidth="1"/>
    <col min="5635" max="5635" width="15.5703125" style="25" customWidth="1"/>
    <col min="5636" max="5639" width="10.7109375" style="25" customWidth="1"/>
    <col min="5640" max="5641" width="12.7109375" style="25" customWidth="1"/>
    <col min="5642" max="5642" width="15.7109375" style="25" customWidth="1"/>
    <col min="5643" max="5643" width="40.7109375" style="25" customWidth="1"/>
    <col min="5644" max="5644" width="15.5703125" style="25" customWidth="1"/>
    <col min="5645" max="5888" width="9.140625" style="25"/>
    <col min="5889" max="5889" width="10.7109375" style="25" customWidth="1"/>
    <col min="5890" max="5890" width="50.7109375" style="25" customWidth="1"/>
    <col min="5891" max="5891" width="15.5703125" style="25" customWidth="1"/>
    <col min="5892" max="5895" width="10.7109375" style="25" customWidth="1"/>
    <col min="5896" max="5897" width="12.7109375" style="25" customWidth="1"/>
    <col min="5898" max="5898" width="15.7109375" style="25" customWidth="1"/>
    <col min="5899" max="5899" width="40.7109375" style="25" customWidth="1"/>
    <col min="5900" max="5900" width="15.5703125" style="25" customWidth="1"/>
    <col min="5901" max="6144" width="9.140625" style="25"/>
    <col min="6145" max="6145" width="10.7109375" style="25" customWidth="1"/>
    <col min="6146" max="6146" width="50.7109375" style="25" customWidth="1"/>
    <col min="6147" max="6147" width="15.5703125" style="25" customWidth="1"/>
    <col min="6148" max="6151" width="10.7109375" style="25" customWidth="1"/>
    <col min="6152" max="6153" width="12.7109375" style="25" customWidth="1"/>
    <col min="6154" max="6154" width="15.7109375" style="25" customWidth="1"/>
    <col min="6155" max="6155" width="40.7109375" style="25" customWidth="1"/>
    <col min="6156" max="6156" width="15.5703125" style="25" customWidth="1"/>
    <col min="6157" max="6400" width="9.140625" style="25"/>
    <col min="6401" max="6401" width="10.7109375" style="25" customWidth="1"/>
    <col min="6402" max="6402" width="50.7109375" style="25" customWidth="1"/>
    <col min="6403" max="6403" width="15.5703125" style="25" customWidth="1"/>
    <col min="6404" max="6407" width="10.7109375" style="25" customWidth="1"/>
    <col min="6408" max="6409" width="12.7109375" style="25" customWidth="1"/>
    <col min="6410" max="6410" width="15.7109375" style="25" customWidth="1"/>
    <col min="6411" max="6411" width="40.7109375" style="25" customWidth="1"/>
    <col min="6412" max="6412" width="15.5703125" style="25" customWidth="1"/>
    <col min="6413" max="6656" width="9.140625" style="25"/>
    <col min="6657" max="6657" width="10.7109375" style="25" customWidth="1"/>
    <col min="6658" max="6658" width="50.7109375" style="25" customWidth="1"/>
    <col min="6659" max="6659" width="15.5703125" style="25" customWidth="1"/>
    <col min="6660" max="6663" width="10.7109375" style="25" customWidth="1"/>
    <col min="6664" max="6665" width="12.7109375" style="25" customWidth="1"/>
    <col min="6666" max="6666" width="15.7109375" style="25" customWidth="1"/>
    <col min="6667" max="6667" width="40.7109375" style="25" customWidth="1"/>
    <col min="6668" max="6668" width="15.5703125" style="25" customWidth="1"/>
    <col min="6669" max="6912" width="9.140625" style="25"/>
    <col min="6913" max="6913" width="10.7109375" style="25" customWidth="1"/>
    <col min="6914" max="6914" width="50.7109375" style="25" customWidth="1"/>
    <col min="6915" max="6915" width="15.5703125" style="25" customWidth="1"/>
    <col min="6916" max="6919" width="10.7109375" style="25" customWidth="1"/>
    <col min="6920" max="6921" width="12.7109375" style="25" customWidth="1"/>
    <col min="6922" max="6922" width="15.7109375" style="25" customWidth="1"/>
    <col min="6923" max="6923" width="40.7109375" style="25" customWidth="1"/>
    <col min="6924" max="6924" width="15.5703125" style="25" customWidth="1"/>
    <col min="6925" max="7168" width="9.140625" style="25"/>
    <col min="7169" max="7169" width="10.7109375" style="25" customWidth="1"/>
    <col min="7170" max="7170" width="50.7109375" style="25" customWidth="1"/>
    <col min="7171" max="7171" width="15.5703125" style="25" customWidth="1"/>
    <col min="7172" max="7175" width="10.7109375" style="25" customWidth="1"/>
    <col min="7176" max="7177" width="12.7109375" style="25" customWidth="1"/>
    <col min="7178" max="7178" width="15.7109375" style="25" customWidth="1"/>
    <col min="7179" max="7179" width="40.7109375" style="25" customWidth="1"/>
    <col min="7180" max="7180" width="15.5703125" style="25" customWidth="1"/>
    <col min="7181" max="7424" width="9.140625" style="25"/>
    <col min="7425" max="7425" width="10.7109375" style="25" customWidth="1"/>
    <col min="7426" max="7426" width="50.7109375" style="25" customWidth="1"/>
    <col min="7427" max="7427" width="15.5703125" style="25" customWidth="1"/>
    <col min="7428" max="7431" width="10.7109375" style="25" customWidth="1"/>
    <col min="7432" max="7433" width="12.7109375" style="25" customWidth="1"/>
    <col min="7434" max="7434" width="15.7109375" style="25" customWidth="1"/>
    <col min="7435" max="7435" width="40.7109375" style="25" customWidth="1"/>
    <col min="7436" max="7436" width="15.5703125" style="25" customWidth="1"/>
    <col min="7437" max="7680" width="9.140625" style="25"/>
    <col min="7681" max="7681" width="10.7109375" style="25" customWidth="1"/>
    <col min="7682" max="7682" width="50.7109375" style="25" customWidth="1"/>
    <col min="7683" max="7683" width="15.5703125" style="25" customWidth="1"/>
    <col min="7684" max="7687" width="10.7109375" style="25" customWidth="1"/>
    <col min="7688" max="7689" width="12.7109375" style="25" customWidth="1"/>
    <col min="7690" max="7690" width="15.7109375" style="25" customWidth="1"/>
    <col min="7691" max="7691" width="40.7109375" style="25" customWidth="1"/>
    <col min="7692" max="7692" width="15.5703125" style="25" customWidth="1"/>
    <col min="7693" max="7936" width="9.140625" style="25"/>
    <col min="7937" max="7937" width="10.7109375" style="25" customWidth="1"/>
    <col min="7938" max="7938" width="50.7109375" style="25" customWidth="1"/>
    <col min="7939" max="7939" width="15.5703125" style="25" customWidth="1"/>
    <col min="7940" max="7943" width="10.7109375" style="25" customWidth="1"/>
    <col min="7944" max="7945" width="12.7109375" style="25" customWidth="1"/>
    <col min="7946" max="7946" width="15.7109375" style="25" customWidth="1"/>
    <col min="7947" max="7947" width="40.7109375" style="25" customWidth="1"/>
    <col min="7948" max="7948" width="15.5703125" style="25" customWidth="1"/>
    <col min="7949" max="8192" width="9.140625" style="25"/>
    <col min="8193" max="8193" width="10.7109375" style="25" customWidth="1"/>
    <col min="8194" max="8194" width="50.7109375" style="25" customWidth="1"/>
    <col min="8195" max="8195" width="15.5703125" style="25" customWidth="1"/>
    <col min="8196" max="8199" width="10.7109375" style="25" customWidth="1"/>
    <col min="8200" max="8201" width="12.7109375" style="25" customWidth="1"/>
    <col min="8202" max="8202" width="15.7109375" style="25" customWidth="1"/>
    <col min="8203" max="8203" width="40.7109375" style="25" customWidth="1"/>
    <col min="8204" max="8204" width="15.5703125" style="25" customWidth="1"/>
    <col min="8205" max="8448" width="9.140625" style="25"/>
    <col min="8449" max="8449" width="10.7109375" style="25" customWidth="1"/>
    <col min="8450" max="8450" width="50.7109375" style="25" customWidth="1"/>
    <col min="8451" max="8451" width="15.5703125" style="25" customWidth="1"/>
    <col min="8452" max="8455" width="10.7109375" style="25" customWidth="1"/>
    <col min="8456" max="8457" width="12.7109375" style="25" customWidth="1"/>
    <col min="8458" max="8458" width="15.7109375" style="25" customWidth="1"/>
    <col min="8459" max="8459" width="40.7109375" style="25" customWidth="1"/>
    <col min="8460" max="8460" width="15.5703125" style="25" customWidth="1"/>
    <col min="8461" max="8704" width="9.140625" style="25"/>
    <col min="8705" max="8705" width="10.7109375" style="25" customWidth="1"/>
    <col min="8706" max="8706" width="50.7109375" style="25" customWidth="1"/>
    <col min="8707" max="8707" width="15.5703125" style="25" customWidth="1"/>
    <col min="8708" max="8711" width="10.7109375" style="25" customWidth="1"/>
    <col min="8712" max="8713" width="12.7109375" style="25" customWidth="1"/>
    <col min="8714" max="8714" width="15.7109375" style="25" customWidth="1"/>
    <col min="8715" max="8715" width="40.7109375" style="25" customWidth="1"/>
    <col min="8716" max="8716" width="15.5703125" style="25" customWidth="1"/>
    <col min="8717" max="8960" width="9.140625" style="25"/>
    <col min="8961" max="8961" width="10.7109375" style="25" customWidth="1"/>
    <col min="8962" max="8962" width="50.7109375" style="25" customWidth="1"/>
    <col min="8963" max="8963" width="15.5703125" style="25" customWidth="1"/>
    <col min="8964" max="8967" width="10.7109375" style="25" customWidth="1"/>
    <col min="8968" max="8969" width="12.7109375" style="25" customWidth="1"/>
    <col min="8970" max="8970" width="15.7109375" style="25" customWidth="1"/>
    <col min="8971" max="8971" width="40.7109375" style="25" customWidth="1"/>
    <col min="8972" max="8972" width="15.5703125" style="25" customWidth="1"/>
    <col min="8973" max="9216" width="9.140625" style="25"/>
    <col min="9217" max="9217" width="10.7109375" style="25" customWidth="1"/>
    <col min="9218" max="9218" width="50.7109375" style="25" customWidth="1"/>
    <col min="9219" max="9219" width="15.5703125" style="25" customWidth="1"/>
    <col min="9220" max="9223" width="10.7109375" style="25" customWidth="1"/>
    <col min="9224" max="9225" width="12.7109375" style="25" customWidth="1"/>
    <col min="9226" max="9226" width="15.7109375" style="25" customWidth="1"/>
    <col min="9227" max="9227" width="40.7109375" style="25" customWidth="1"/>
    <col min="9228" max="9228" width="15.5703125" style="25" customWidth="1"/>
    <col min="9229" max="9472" width="9.140625" style="25"/>
    <col min="9473" max="9473" width="10.7109375" style="25" customWidth="1"/>
    <col min="9474" max="9474" width="50.7109375" style="25" customWidth="1"/>
    <col min="9475" max="9475" width="15.5703125" style="25" customWidth="1"/>
    <col min="9476" max="9479" width="10.7109375" style="25" customWidth="1"/>
    <col min="9480" max="9481" width="12.7109375" style="25" customWidth="1"/>
    <col min="9482" max="9482" width="15.7109375" style="25" customWidth="1"/>
    <col min="9483" max="9483" width="40.7109375" style="25" customWidth="1"/>
    <col min="9484" max="9484" width="15.5703125" style="25" customWidth="1"/>
    <col min="9485" max="9728" width="9.140625" style="25"/>
    <col min="9729" max="9729" width="10.7109375" style="25" customWidth="1"/>
    <col min="9730" max="9730" width="50.7109375" style="25" customWidth="1"/>
    <col min="9731" max="9731" width="15.5703125" style="25" customWidth="1"/>
    <col min="9732" max="9735" width="10.7109375" style="25" customWidth="1"/>
    <col min="9736" max="9737" width="12.7109375" style="25" customWidth="1"/>
    <col min="9738" max="9738" width="15.7109375" style="25" customWidth="1"/>
    <col min="9739" max="9739" width="40.7109375" style="25" customWidth="1"/>
    <col min="9740" max="9740" width="15.5703125" style="25" customWidth="1"/>
    <col min="9741" max="9984" width="9.140625" style="25"/>
    <col min="9985" max="9985" width="10.7109375" style="25" customWidth="1"/>
    <col min="9986" max="9986" width="50.7109375" style="25" customWidth="1"/>
    <col min="9987" max="9987" width="15.5703125" style="25" customWidth="1"/>
    <col min="9988" max="9991" width="10.7109375" style="25" customWidth="1"/>
    <col min="9992" max="9993" width="12.7109375" style="25" customWidth="1"/>
    <col min="9994" max="9994" width="15.7109375" style="25" customWidth="1"/>
    <col min="9995" max="9995" width="40.7109375" style="25" customWidth="1"/>
    <col min="9996" max="9996" width="15.5703125" style="25" customWidth="1"/>
    <col min="9997" max="10240" width="9.140625" style="25"/>
    <col min="10241" max="10241" width="10.7109375" style="25" customWidth="1"/>
    <col min="10242" max="10242" width="50.7109375" style="25" customWidth="1"/>
    <col min="10243" max="10243" width="15.5703125" style="25" customWidth="1"/>
    <col min="10244" max="10247" width="10.7109375" style="25" customWidth="1"/>
    <col min="10248" max="10249" width="12.7109375" style="25" customWidth="1"/>
    <col min="10250" max="10250" width="15.7109375" style="25" customWidth="1"/>
    <col min="10251" max="10251" width="40.7109375" style="25" customWidth="1"/>
    <col min="10252" max="10252" width="15.5703125" style="25" customWidth="1"/>
    <col min="10253" max="10496" width="9.140625" style="25"/>
    <col min="10497" max="10497" width="10.7109375" style="25" customWidth="1"/>
    <col min="10498" max="10498" width="50.7109375" style="25" customWidth="1"/>
    <col min="10499" max="10499" width="15.5703125" style="25" customWidth="1"/>
    <col min="10500" max="10503" width="10.7109375" style="25" customWidth="1"/>
    <col min="10504" max="10505" width="12.7109375" style="25" customWidth="1"/>
    <col min="10506" max="10506" width="15.7109375" style="25" customWidth="1"/>
    <col min="10507" max="10507" width="40.7109375" style="25" customWidth="1"/>
    <col min="10508" max="10508" width="15.5703125" style="25" customWidth="1"/>
    <col min="10509" max="10752" width="9.140625" style="25"/>
    <col min="10753" max="10753" width="10.7109375" style="25" customWidth="1"/>
    <col min="10754" max="10754" width="50.7109375" style="25" customWidth="1"/>
    <col min="10755" max="10755" width="15.5703125" style="25" customWidth="1"/>
    <col min="10756" max="10759" width="10.7109375" style="25" customWidth="1"/>
    <col min="10760" max="10761" width="12.7109375" style="25" customWidth="1"/>
    <col min="10762" max="10762" width="15.7109375" style="25" customWidth="1"/>
    <col min="10763" max="10763" width="40.7109375" style="25" customWidth="1"/>
    <col min="10764" max="10764" width="15.5703125" style="25" customWidth="1"/>
    <col min="10765" max="11008" width="9.140625" style="25"/>
    <col min="11009" max="11009" width="10.7109375" style="25" customWidth="1"/>
    <col min="11010" max="11010" width="50.7109375" style="25" customWidth="1"/>
    <col min="11011" max="11011" width="15.5703125" style="25" customWidth="1"/>
    <col min="11012" max="11015" width="10.7109375" style="25" customWidth="1"/>
    <col min="11016" max="11017" width="12.7109375" style="25" customWidth="1"/>
    <col min="11018" max="11018" width="15.7109375" style="25" customWidth="1"/>
    <col min="11019" max="11019" width="40.7109375" style="25" customWidth="1"/>
    <col min="11020" max="11020" width="15.5703125" style="25" customWidth="1"/>
    <col min="11021" max="11264" width="9.140625" style="25"/>
    <col min="11265" max="11265" width="10.7109375" style="25" customWidth="1"/>
    <col min="11266" max="11266" width="50.7109375" style="25" customWidth="1"/>
    <col min="11267" max="11267" width="15.5703125" style="25" customWidth="1"/>
    <col min="11268" max="11271" width="10.7109375" style="25" customWidth="1"/>
    <col min="11272" max="11273" width="12.7109375" style="25" customWidth="1"/>
    <col min="11274" max="11274" width="15.7109375" style="25" customWidth="1"/>
    <col min="11275" max="11275" width="40.7109375" style="25" customWidth="1"/>
    <col min="11276" max="11276" width="15.5703125" style="25" customWidth="1"/>
    <col min="11277" max="11520" width="9.140625" style="25"/>
    <col min="11521" max="11521" width="10.7109375" style="25" customWidth="1"/>
    <col min="11522" max="11522" width="50.7109375" style="25" customWidth="1"/>
    <col min="11523" max="11523" width="15.5703125" style="25" customWidth="1"/>
    <col min="11524" max="11527" width="10.7109375" style="25" customWidth="1"/>
    <col min="11528" max="11529" width="12.7109375" style="25" customWidth="1"/>
    <col min="11530" max="11530" width="15.7109375" style="25" customWidth="1"/>
    <col min="11531" max="11531" width="40.7109375" style="25" customWidth="1"/>
    <col min="11532" max="11532" width="15.5703125" style="25" customWidth="1"/>
    <col min="11533" max="11776" width="9.140625" style="25"/>
    <col min="11777" max="11777" width="10.7109375" style="25" customWidth="1"/>
    <col min="11778" max="11778" width="50.7109375" style="25" customWidth="1"/>
    <col min="11779" max="11779" width="15.5703125" style="25" customWidth="1"/>
    <col min="11780" max="11783" width="10.7109375" style="25" customWidth="1"/>
    <col min="11784" max="11785" width="12.7109375" style="25" customWidth="1"/>
    <col min="11786" max="11786" width="15.7109375" style="25" customWidth="1"/>
    <col min="11787" max="11787" width="40.7109375" style="25" customWidth="1"/>
    <col min="11788" max="11788" width="15.5703125" style="25" customWidth="1"/>
    <col min="11789" max="12032" width="9.140625" style="25"/>
    <col min="12033" max="12033" width="10.7109375" style="25" customWidth="1"/>
    <col min="12034" max="12034" width="50.7109375" style="25" customWidth="1"/>
    <col min="12035" max="12035" width="15.5703125" style="25" customWidth="1"/>
    <col min="12036" max="12039" width="10.7109375" style="25" customWidth="1"/>
    <col min="12040" max="12041" width="12.7109375" style="25" customWidth="1"/>
    <col min="12042" max="12042" width="15.7109375" style="25" customWidth="1"/>
    <col min="12043" max="12043" width="40.7109375" style="25" customWidth="1"/>
    <col min="12044" max="12044" width="15.5703125" style="25" customWidth="1"/>
    <col min="12045" max="12288" width="9.140625" style="25"/>
    <col min="12289" max="12289" width="10.7109375" style="25" customWidth="1"/>
    <col min="12290" max="12290" width="50.7109375" style="25" customWidth="1"/>
    <col min="12291" max="12291" width="15.5703125" style="25" customWidth="1"/>
    <col min="12292" max="12295" width="10.7109375" style="25" customWidth="1"/>
    <col min="12296" max="12297" width="12.7109375" style="25" customWidth="1"/>
    <col min="12298" max="12298" width="15.7109375" style="25" customWidth="1"/>
    <col min="12299" max="12299" width="40.7109375" style="25" customWidth="1"/>
    <col min="12300" max="12300" width="15.5703125" style="25" customWidth="1"/>
    <col min="12301" max="12544" width="9.140625" style="25"/>
    <col min="12545" max="12545" width="10.7109375" style="25" customWidth="1"/>
    <col min="12546" max="12546" width="50.7109375" style="25" customWidth="1"/>
    <col min="12547" max="12547" width="15.5703125" style="25" customWidth="1"/>
    <col min="12548" max="12551" width="10.7109375" style="25" customWidth="1"/>
    <col min="12552" max="12553" width="12.7109375" style="25" customWidth="1"/>
    <col min="12554" max="12554" width="15.7109375" style="25" customWidth="1"/>
    <col min="12555" max="12555" width="40.7109375" style="25" customWidth="1"/>
    <col min="12556" max="12556" width="15.5703125" style="25" customWidth="1"/>
    <col min="12557" max="12800" width="9.140625" style="25"/>
    <col min="12801" max="12801" width="10.7109375" style="25" customWidth="1"/>
    <col min="12802" max="12802" width="50.7109375" style="25" customWidth="1"/>
    <col min="12803" max="12803" width="15.5703125" style="25" customWidth="1"/>
    <col min="12804" max="12807" width="10.7109375" style="25" customWidth="1"/>
    <col min="12808" max="12809" width="12.7109375" style="25" customWidth="1"/>
    <col min="12810" max="12810" width="15.7109375" style="25" customWidth="1"/>
    <col min="12811" max="12811" width="40.7109375" style="25" customWidth="1"/>
    <col min="12812" max="12812" width="15.5703125" style="25" customWidth="1"/>
    <col min="12813" max="13056" width="9.140625" style="25"/>
    <col min="13057" max="13057" width="10.7109375" style="25" customWidth="1"/>
    <col min="13058" max="13058" width="50.7109375" style="25" customWidth="1"/>
    <col min="13059" max="13059" width="15.5703125" style="25" customWidth="1"/>
    <col min="13060" max="13063" width="10.7109375" style="25" customWidth="1"/>
    <col min="13064" max="13065" width="12.7109375" style="25" customWidth="1"/>
    <col min="13066" max="13066" width="15.7109375" style="25" customWidth="1"/>
    <col min="13067" max="13067" width="40.7109375" style="25" customWidth="1"/>
    <col min="13068" max="13068" width="15.5703125" style="25" customWidth="1"/>
    <col min="13069" max="13312" width="9.140625" style="25"/>
    <col min="13313" max="13313" width="10.7109375" style="25" customWidth="1"/>
    <col min="13314" max="13314" width="50.7109375" style="25" customWidth="1"/>
    <col min="13315" max="13315" width="15.5703125" style="25" customWidth="1"/>
    <col min="13316" max="13319" width="10.7109375" style="25" customWidth="1"/>
    <col min="13320" max="13321" width="12.7109375" style="25" customWidth="1"/>
    <col min="13322" max="13322" width="15.7109375" style="25" customWidth="1"/>
    <col min="13323" max="13323" width="40.7109375" style="25" customWidth="1"/>
    <col min="13324" max="13324" width="15.5703125" style="25" customWidth="1"/>
    <col min="13325" max="13568" width="9.140625" style="25"/>
    <col min="13569" max="13569" width="10.7109375" style="25" customWidth="1"/>
    <col min="13570" max="13570" width="50.7109375" style="25" customWidth="1"/>
    <col min="13571" max="13571" width="15.5703125" style="25" customWidth="1"/>
    <col min="13572" max="13575" width="10.7109375" style="25" customWidth="1"/>
    <col min="13576" max="13577" width="12.7109375" style="25" customWidth="1"/>
    <col min="13578" max="13578" width="15.7109375" style="25" customWidth="1"/>
    <col min="13579" max="13579" width="40.7109375" style="25" customWidth="1"/>
    <col min="13580" max="13580" width="15.5703125" style="25" customWidth="1"/>
    <col min="13581" max="13824" width="9.140625" style="25"/>
    <col min="13825" max="13825" width="10.7109375" style="25" customWidth="1"/>
    <col min="13826" max="13826" width="50.7109375" style="25" customWidth="1"/>
    <col min="13827" max="13827" width="15.5703125" style="25" customWidth="1"/>
    <col min="13828" max="13831" width="10.7109375" style="25" customWidth="1"/>
    <col min="13832" max="13833" width="12.7109375" style="25" customWidth="1"/>
    <col min="13834" max="13834" width="15.7109375" style="25" customWidth="1"/>
    <col min="13835" max="13835" width="40.7109375" style="25" customWidth="1"/>
    <col min="13836" max="13836" width="15.5703125" style="25" customWidth="1"/>
    <col min="13837" max="14080" width="9.140625" style="25"/>
    <col min="14081" max="14081" width="10.7109375" style="25" customWidth="1"/>
    <col min="14082" max="14082" width="50.7109375" style="25" customWidth="1"/>
    <col min="14083" max="14083" width="15.5703125" style="25" customWidth="1"/>
    <col min="14084" max="14087" width="10.7109375" style="25" customWidth="1"/>
    <col min="14088" max="14089" width="12.7109375" style="25" customWidth="1"/>
    <col min="14090" max="14090" width="15.7109375" style="25" customWidth="1"/>
    <col min="14091" max="14091" width="40.7109375" style="25" customWidth="1"/>
    <col min="14092" max="14092" width="15.5703125" style="25" customWidth="1"/>
    <col min="14093" max="14336" width="9.140625" style="25"/>
    <col min="14337" max="14337" width="10.7109375" style="25" customWidth="1"/>
    <col min="14338" max="14338" width="50.7109375" style="25" customWidth="1"/>
    <col min="14339" max="14339" width="15.5703125" style="25" customWidth="1"/>
    <col min="14340" max="14343" width="10.7109375" style="25" customWidth="1"/>
    <col min="14344" max="14345" width="12.7109375" style="25" customWidth="1"/>
    <col min="14346" max="14346" width="15.7109375" style="25" customWidth="1"/>
    <col min="14347" max="14347" width="40.7109375" style="25" customWidth="1"/>
    <col min="14348" max="14348" width="15.5703125" style="25" customWidth="1"/>
    <col min="14349" max="14592" width="9.140625" style="25"/>
    <col min="14593" max="14593" width="10.7109375" style="25" customWidth="1"/>
    <col min="14594" max="14594" width="50.7109375" style="25" customWidth="1"/>
    <col min="14595" max="14595" width="15.5703125" style="25" customWidth="1"/>
    <col min="14596" max="14599" width="10.7109375" style="25" customWidth="1"/>
    <col min="14600" max="14601" width="12.7109375" style="25" customWidth="1"/>
    <col min="14602" max="14602" width="15.7109375" style="25" customWidth="1"/>
    <col min="14603" max="14603" width="40.7109375" style="25" customWidth="1"/>
    <col min="14604" max="14604" width="15.5703125" style="25" customWidth="1"/>
    <col min="14605" max="14848" width="9.140625" style="25"/>
    <col min="14849" max="14849" width="10.7109375" style="25" customWidth="1"/>
    <col min="14850" max="14850" width="50.7109375" style="25" customWidth="1"/>
    <col min="14851" max="14851" width="15.5703125" style="25" customWidth="1"/>
    <col min="14852" max="14855" width="10.7109375" style="25" customWidth="1"/>
    <col min="14856" max="14857" width="12.7109375" style="25" customWidth="1"/>
    <col min="14858" max="14858" width="15.7109375" style="25" customWidth="1"/>
    <col min="14859" max="14859" width="40.7109375" style="25" customWidth="1"/>
    <col min="14860" max="14860" width="15.5703125" style="25" customWidth="1"/>
    <col min="14861" max="15104" width="9.140625" style="25"/>
    <col min="15105" max="15105" width="10.7109375" style="25" customWidth="1"/>
    <col min="15106" max="15106" width="50.7109375" style="25" customWidth="1"/>
    <col min="15107" max="15107" width="15.5703125" style="25" customWidth="1"/>
    <col min="15108" max="15111" width="10.7109375" style="25" customWidth="1"/>
    <col min="15112" max="15113" width="12.7109375" style="25" customWidth="1"/>
    <col min="15114" max="15114" width="15.7109375" style="25" customWidth="1"/>
    <col min="15115" max="15115" width="40.7109375" style="25" customWidth="1"/>
    <col min="15116" max="15116" width="15.5703125" style="25" customWidth="1"/>
    <col min="15117" max="15360" width="9.140625" style="25"/>
    <col min="15361" max="15361" width="10.7109375" style="25" customWidth="1"/>
    <col min="15362" max="15362" width="50.7109375" style="25" customWidth="1"/>
    <col min="15363" max="15363" width="15.5703125" style="25" customWidth="1"/>
    <col min="15364" max="15367" width="10.7109375" style="25" customWidth="1"/>
    <col min="15368" max="15369" width="12.7109375" style="25" customWidth="1"/>
    <col min="15370" max="15370" width="15.7109375" style="25" customWidth="1"/>
    <col min="15371" max="15371" width="40.7109375" style="25" customWidth="1"/>
    <col min="15372" max="15372" width="15.5703125" style="25" customWidth="1"/>
    <col min="15373" max="15616" width="9.140625" style="25"/>
    <col min="15617" max="15617" width="10.7109375" style="25" customWidth="1"/>
    <col min="15618" max="15618" width="50.7109375" style="25" customWidth="1"/>
    <col min="15619" max="15619" width="15.5703125" style="25" customWidth="1"/>
    <col min="15620" max="15623" width="10.7109375" style="25" customWidth="1"/>
    <col min="15624" max="15625" width="12.7109375" style="25" customWidth="1"/>
    <col min="15626" max="15626" width="15.7109375" style="25" customWidth="1"/>
    <col min="15627" max="15627" width="40.7109375" style="25" customWidth="1"/>
    <col min="15628" max="15628" width="15.5703125" style="25" customWidth="1"/>
    <col min="15629" max="15872" width="9.140625" style="25"/>
    <col min="15873" max="15873" width="10.7109375" style="25" customWidth="1"/>
    <col min="15874" max="15874" width="50.7109375" style="25" customWidth="1"/>
    <col min="15875" max="15875" width="15.5703125" style="25" customWidth="1"/>
    <col min="15876" max="15879" width="10.7109375" style="25" customWidth="1"/>
    <col min="15880" max="15881" width="12.7109375" style="25" customWidth="1"/>
    <col min="15882" max="15882" width="15.7109375" style="25" customWidth="1"/>
    <col min="15883" max="15883" width="40.7109375" style="25" customWidth="1"/>
    <col min="15884" max="15884" width="15.5703125" style="25" customWidth="1"/>
    <col min="15885" max="16128" width="9.140625" style="25"/>
    <col min="16129" max="16129" width="10.7109375" style="25" customWidth="1"/>
    <col min="16130" max="16130" width="50.7109375" style="25" customWidth="1"/>
    <col min="16131" max="16131" width="15.5703125" style="25" customWidth="1"/>
    <col min="16132" max="16135" width="10.7109375" style="25" customWidth="1"/>
    <col min="16136" max="16137" width="12.7109375" style="25" customWidth="1"/>
    <col min="16138" max="16138" width="15.7109375" style="25" customWidth="1"/>
    <col min="16139" max="16139" width="40.7109375" style="25" customWidth="1"/>
    <col min="16140" max="16140" width="15.5703125" style="25" customWidth="1"/>
    <col min="16141" max="16384" width="9.140625" style="25"/>
  </cols>
  <sheetData>
    <row r="1" spans="1:12" ht="69.95" customHeight="1" thickBot="1" x14ac:dyDescent="0.25">
      <c r="A1" s="966" t="s">
        <v>784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6"/>
    </row>
    <row r="2" spans="1:12" s="493" customFormat="1" ht="15.95" customHeight="1" thickTop="1" x14ac:dyDescent="0.25">
      <c r="A2" s="789" t="s">
        <v>1019</v>
      </c>
      <c r="B2" s="790">
        <f>Resources!C14</f>
        <v>0</v>
      </c>
      <c r="C2" s="791" t="s">
        <v>776</v>
      </c>
      <c r="D2" s="792">
        <f ca="1">COUNTIF($J$9:$J$76,"Deliverable Still In Progress")</f>
        <v>6</v>
      </c>
      <c r="E2" s="793"/>
      <c r="F2" s="794"/>
      <c r="G2" s="794"/>
      <c r="H2" s="795"/>
      <c r="I2" s="796"/>
      <c r="J2" s="795"/>
      <c r="K2" s="797"/>
    </row>
    <row r="3" spans="1:12" s="493" customFormat="1" ht="15.95" customHeight="1" x14ac:dyDescent="0.25">
      <c r="A3" s="798" t="s">
        <v>1020</v>
      </c>
      <c r="B3" s="437">
        <f>Resources!E14</f>
        <v>0</v>
      </c>
      <c r="C3" s="438" t="s">
        <v>777</v>
      </c>
      <c r="D3" s="787">
        <f ca="1">COUNTIF($J$9:$J$76,"Deliverable Completed")</f>
        <v>0</v>
      </c>
      <c r="E3" s="449">
        <f ca="1">D3/D6</f>
        <v>0</v>
      </c>
      <c r="F3" s="441"/>
      <c r="G3" s="441"/>
      <c r="H3" s="454"/>
      <c r="I3" s="490"/>
      <c r="J3" s="454"/>
      <c r="K3" s="799"/>
    </row>
    <row r="4" spans="1:12" s="493" customFormat="1" ht="15.95" customHeight="1" x14ac:dyDescent="0.25">
      <c r="A4" s="798" t="s">
        <v>1021</v>
      </c>
      <c r="B4" s="450"/>
      <c r="C4" s="438" t="s">
        <v>778</v>
      </c>
      <c r="D4" s="787">
        <f ca="1">D7-COUNTIF($J$9:$J$76,"completed")</f>
        <v>62</v>
      </c>
      <c r="E4" s="440"/>
      <c r="F4" s="441"/>
      <c r="G4" s="441"/>
      <c r="H4" s="454"/>
      <c r="I4" s="620"/>
      <c r="J4" s="454"/>
      <c r="K4" s="799"/>
    </row>
    <row r="5" spans="1:12" s="493" customFormat="1" ht="15.95" customHeight="1" x14ac:dyDescent="0.25">
      <c r="A5" s="800"/>
      <c r="B5" s="801"/>
      <c r="C5" s="452" t="s">
        <v>779</v>
      </c>
      <c r="D5" s="787">
        <f ca="1">D7-D4</f>
        <v>0</v>
      </c>
      <c r="E5" s="449">
        <f ca="1">D5/D7</f>
        <v>0</v>
      </c>
      <c r="F5" s="441"/>
      <c r="G5" s="441"/>
      <c r="H5" s="454"/>
      <c r="I5" s="620"/>
      <c r="J5" s="454"/>
      <c r="K5" s="799"/>
    </row>
    <row r="6" spans="1:12" s="493" customFormat="1" ht="15.95" customHeight="1" thickBot="1" x14ac:dyDescent="0.3">
      <c r="A6" s="800"/>
      <c r="B6" s="802"/>
      <c r="C6" s="452" t="s">
        <v>780</v>
      </c>
      <c r="D6" s="787">
        <f ca="1">D2+D3</f>
        <v>6</v>
      </c>
      <c r="E6" s="449"/>
      <c r="F6" s="441"/>
      <c r="G6" s="441"/>
      <c r="H6" s="454"/>
      <c r="I6" s="490"/>
      <c r="J6" s="454"/>
      <c r="K6" s="799"/>
    </row>
    <row r="7" spans="1:12" s="493" customFormat="1" ht="15.95" customHeight="1" thickBot="1" x14ac:dyDescent="0.3">
      <c r="A7" s="800"/>
      <c r="B7" s="450"/>
      <c r="C7" s="452" t="s">
        <v>781</v>
      </c>
      <c r="D7" s="787">
        <f ca="1">COUNTA(B9:B76)-D6</f>
        <v>62</v>
      </c>
      <c r="E7" s="449"/>
      <c r="F7" s="544" t="s">
        <v>1017</v>
      </c>
      <c r="G7" s="441"/>
      <c r="H7" s="454"/>
      <c r="I7" s="490"/>
      <c r="J7" s="544" t="s">
        <v>1017</v>
      </c>
      <c r="K7" s="799"/>
    </row>
    <row r="8" spans="1:12" s="127" customFormat="1" ht="47.25" x14ac:dyDescent="0.25">
      <c r="A8" s="803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496" t="s">
        <v>53</v>
      </c>
      <c r="H8" s="496" t="s">
        <v>95</v>
      </c>
      <c r="I8" s="496" t="s">
        <v>54</v>
      </c>
      <c r="J8" s="528" t="s">
        <v>55</v>
      </c>
      <c r="K8" s="804" t="s">
        <v>56</v>
      </c>
      <c r="L8" s="126"/>
    </row>
    <row r="9" spans="1:12" ht="15" x14ac:dyDescent="0.2">
      <c r="A9" s="976" t="s">
        <v>785</v>
      </c>
      <c r="B9" s="624" t="s">
        <v>215</v>
      </c>
      <c r="C9" s="587"/>
      <c r="D9" s="588"/>
      <c r="E9" s="589"/>
      <c r="F9" s="612">
        <f ca="1">IF(ISBLANK(G9),IF(ISERROR(DAYS360(TODAY(),E9))," ",(DAYS360(TODAY(),E9))),E9-G9)</f>
        <v>-43388</v>
      </c>
      <c r="G9" s="590"/>
      <c r="H9" s="591"/>
      <c r="I9" s="592"/>
      <c r="J9" s="593" t="str">
        <f ca="1">IF(AND(J10="completed",J11="completed",J12="completed"),"Deliverable Completed","DELIVERABLE STILL IN PROGRESS")</f>
        <v>DELIVERABLE STILL IN PROGRESS</v>
      </c>
      <c r="K9" s="805"/>
    </row>
    <row r="10" spans="1:12" x14ac:dyDescent="0.2">
      <c r="A10" s="977"/>
      <c r="B10" s="56" t="s">
        <v>216</v>
      </c>
      <c r="C10" s="594"/>
      <c r="D10" s="595"/>
      <c r="E10" s="595"/>
      <c r="F10" s="613">
        <f t="shared" ref="F10:F72" ca="1" si="0">IF(ISBLANK(G10),IF(ISERROR(DAYS360(TODAY(),E10))," ",(DAYS360(TODAY(),E10))),E10-G10)</f>
        <v>-43388</v>
      </c>
      <c r="G10" s="596"/>
      <c r="H10" s="597"/>
      <c r="I10" s="598"/>
      <c r="J10" s="597" t="str">
        <f ca="1">IF(G10&gt;0,"COMPLETED",(IF(I10&gt;0,"ISSUE IDENTIFIED",(IF(TODAY()&gt;E10,"OVERDUE","In Progress")))))</f>
        <v>OVERDUE</v>
      </c>
      <c r="K10" s="806"/>
    </row>
    <row r="11" spans="1:12" ht="25.5" x14ac:dyDescent="0.2">
      <c r="A11" s="977"/>
      <c r="B11" s="56" t="s">
        <v>217</v>
      </c>
      <c r="C11" s="594"/>
      <c r="D11" s="595"/>
      <c r="E11" s="595"/>
      <c r="F11" s="613">
        <f t="shared" ca="1" si="0"/>
        <v>-43388</v>
      </c>
      <c r="G11" s="596"/>
      <c r="H11" s="597"/>
      <c r="I11" s="598"/>
      <c r="J11" s="597" t="str">
        <f ca="1">IF(G11&gt;0,"COMPLETED",(IF(I11&gt;0,"ISSUE IDENTIFIED",(IF(TODAY()&gt;E11,"OVERDUE","In Progress")))))</f>
        <v>OVERDUE</v>
      </c>
      <c r="K11" s="806"/>
    </row>
    <row r="12" spans="1:12" x14ac:dyDescent="0.2">
      <c r="A12" s="977"/>
      <c r="B12" s="56" t="s">
        <v>218</v>
      </c>
      <c r="C12" s="594"/>
      <c r="D12" s="595"/>
      <c r="E12" s="595"/>
      <c r="F12" s="613">
        <f t="shared" ca="1" si="0"/>
        <v>-43388</v>
      </c>
      <c r="G12" s="596"/>
      <c r="H12" s="597"/>
      <c r="I12" s="598"/>
      <c r="J12" s="597" t="str">
        <f ca="1">IF(G12&gt;0,"COMPLETED",(IF(I12&gt;0,"ISSUE IDENTIFIED",(IF(TODAY()&gt;E12,"OVERDUE","In Progress")))))</f>
        <v>OVERDUE</v>
      </c>
      <c r="K12" s="806"/>
    </row>
    <row r="13" spans="1:12" ht="15" x14ac:dyDescent="0.2">
      <c r="A13" s="976" t="s">
        <v>786</v>
      </c>
      <c r="B13" s="624" t="s">
        <v>219</v>
      </c>
      <c r="C13" s="599"/>
      <c r="D13" s="600"/>
      <c r="E13" s="600"/>
      <c r="F13" s="613">
        <f t="shared" ca="1" si="0"/>
        <v>-43388</v>
      </c>
      <c r="G13" s="596"/>
      <c r="H13" s="597"/>
      <c r="I13" s="598"/>
      <c r="J13" s="597" t="str">
        <f ca="1">IF(AND(J14="completed",J15="completed",J16="completed",J17="completed",J18="completed",J19="completed",J20="completed",J21="completed"),"Deliverable Completed","DELIVERABLE STILL IN PROGRESS")</f>
        <v>DELIVERABLE STILL IN PROGRESS</v>
      </c>
      <c r="K13" s="807"/>
    </row>
    <row r="14" spans="1:12" x14ac:dyDescent="0.2">
      <c r="A14" s="979"/>
      <c r="B14" s="56" t="s">
        <v>787</v>
      </c>
      <c r="C14" s="598"/>
      <c r="D14" s="595"/>
      <c r="E14" s="595"/>
      <c r="F14" s="613">
        <f t="shared" ca="1" si="0"/>
        <v>-43388</v>
      </c>
      <c r="G14" s="596"/>
      <c r="H14" s="597"/>
      <c r="I14" s="598"/>
      <c r="J14" s="597" t="str">
        <f t="shared" ref="J14:J21" ca="1" si="1">IF(G14&gt;0,"COMPLETED",(IF(I14&gt;0,"ISSUE IDENTIFIED",(IF(TODAY()&gt;E14,"OVERDUE","In Progress")))))</f>
        <v>OVERDUE</v>
      </c>
      <c r="K14" s="807"/>
    </row>
    <row r="15" spans="1:12" x14ac:dyDescent="0.2">
      <c r="A15" s="979"/>
      <c r="B15" s="56" t="s">
        <v>222</v>
      </c>
      <c r="C15" s="598"/>
      <c r="D15" s="595"/>
      <c r="E15" s="595"/>
      <c r="F15" s="613">
        <f t="shared" ca="1" si="0"/>
        <v>-43388</v>
      </c>
      <c r="G15" s="596"/>
      <c r="H15" s="597"/>
      <c r="I15" s="598"/>
      <c r="J15" s="597" t="str">
        <f t="shared" ca="1" si="1"/>
        <v>OVERDUE</v>
      </c>
      <c r="K15" s="807"/>
    </row>
    <row r="16" spans="1:12" x14ac:dyDescent="0.2">
      <c r="A16" s="979"/>
      <c r="B16" s="206" t="s">
        <v>223</v>
      </c>
      <c r="C16" s="598"/>
      <c r="D16" s="595"/>
      <c r="E16" s="595"/>
      <c r="F16" s="613">
        <f t="shared" ca="1" si="0"/>
        <v>-43388</v>
      </c>
      <c r="G16" s="596"/>
      <c r="H16" s="597"/>
      <c r="I16" s="598"/>
      <c r="J16" s="597" t="str">
        <f t="shared" ca="1" si="1"/>
        <v>OVERDUE</v>
      </c>
      <c r="K16" s="807"/>
    </row>
    <row r="17" spans="1:11" x14ac:dyDescent="0.2">
      <c r="A17" s="979"/>
      <c r="B17" s="206" t="s">
        <v>224</v>
      </c>
      <c r="C17" s="598"/>
      <c r="D17" s="595"/>
      <c r="E17" s="595"/>
      <c r="F17" s="613">
        <f t="shared" ca="1" si="0"/>
        <v>-43388</v>
      </c>
      <c r="G17" s="596"/>
      <c r="H17" s="597"/>
      <c r="I17" s="598"/>
      <c r="J17" s="597" t="str">
        <f t="shared" ca="1" si="1"/>
        <v>OVERDUE</v>
      </c>
      <c r="K17" s="807"/>
    </row>
    <row r="18" spans="1:11" x14ac:dyDescent="0.2">
      <c r="A18" s="979"/>
      <c r="B18" s="601" t="s">
        <v>788</v>
      </c>
      <c r="C18" s="598"/>
      <c r="D18" s="595"/>
      <c r="E18" s="595"/>
      <c r="F18" s="613">
        <f t="shared" ca="1" si="0"/>
        <v>-43388</v>
      </c>
      <c r="G18" s="596"/>
      <c r="H18" s="597"/>
      <c r="I18" s="598"/>
      <c r="J18" s="597" t="str">
        <f t="shared" ca="1" si="1"/>
        <v>OVERDUE</v>
      </c>
      <c r="K18" s="807"/>
    </row>
    <row r="19" spans="1:11" ht="25.5" x14ac:dyDescent="0.2">
      <c r="A19" s="979"/>
      <c r="B19" s="56" t="s">
        <v>228</v>
      </c>
      <c r="C19" s="598"/>
      <c r="D19" s="595"/>
      <c r="E19" s="595"/>
      <c r="F19" s="613">
        <f t="shared" ca="1" si="0"/>
        <v>-43388</v>
      </c>
      <c r="G19" s="596"/>
      <c r="H19" s="597"/>
      <c r="I19" s="598"/>
      <c r="J19" s="597" t="str">
        <f t="shared" ca="1" si="1"/>
        <v>OVERDUE</v>
      </c>
      <c r="K19" s="807"/>
    </row>
    <row r="20" spans="1:11" ht="38.25" x14ac:dyDescent="0.2">
      <c r="A20" s="979"/>
      <c r="B20" s="206" t="s">
        <v>229</v>
      </c>
      <c r="C20" s="598"/>
      <c r="D20" s="595"/>
      <c r="E20" s="595"/>
      <c r="F20" s="613">
        <f t="shared" ca="1" si="0"/>
        <v>-43388</v>
      </c>
      <c r="G20" s="596"/>
      <c r="H20" s="597"/>
      <c r="I20" s="598"/>
      <c r="J20" s="597" t="str">
        <f t="shared" ca="1" si="1"/>
        <v>OVERDUE</v>
      </c>
      <c r="K20" s="807"/>
    </row>
    <row r="21" spans="1:11" x14ac:dyDescent="0.2">
      <c r="A21" s="980"/>
      <c r="B21" s="602" t="s">
        <v>789</v>
      </c>
      <c r="C21" s="598"/>
      <c r="D21" s="595"/>
      <c r="E21" s="595"/>
      <c r="F21" s="613">
        <f t="shared" ca="1" si="0"/>
        <v>-43388</v>
      </c>
      <c r="G21" s="596"/>
      <c r="H21" s="597"/>
      <c r="I21" s="598"/>
      <c r="J21" s="597" t="str">
        <f t="shared" ca="1" si="1"/>
        <v>OVERDUE</v>
      </c>
      <c r="K21" s="807"/>
    </row>
    <row r="22" spans="1:11" ht="15" x14ac:dyDescent="0.2">
      <c r="A22" s="976" t="s">
        <v>790</v>
      </c>
      <c r="B22" s="624" t="s">
        <v>230</v>
      </c>
      <c r="C22" s="598"/>
      <c r="D22" s="600"/>
      <c r="E22" s="600"/>
      <c r="F22" s="613">
        <f t="shared" ca="1" si="0"/>
        <v>-43388</v>
      </c>
      <c r="G22" s="596"/>
      <c r="H22" s="597"/>
      <c r="I22" s="598"/>
      <c r="J22" s="597" t="str">
        <f ca="1">IF(AND(J23="completed",J24="completed",J25="completed",J26="completed"),"Deliverable Completed","DELIVERABLE STILL IN PROGRESS")</f>
        <v>DELIVERABLE STILL IN PROGRESS</v>
      </c>
      <c r="K22" s="806"/>
    </row>
    <row r="23" spans="1:11" x14ac:dyDescent="0.2">
      <c r="A23" s="977"/>
      <c r="B23" s="56" t="s">
        <v>231</v>
      </c>
      <c r="C23" s="598"/>
      <c r="D23" s="595"/>
      <c r="E23" s="595"/>
      <c r="F23" s="613">
        <f t="shared" ca="1" si="0"/>
        <v>-43388</v>
      </c>
      <c r="G23" s="595"/>
      <c r="H23" s="597"/>
      <c r="I23" s="598"/>
      <c r="J23" s="597" t="str">
        <f t="shared" ref="J23:J76" ca="1" si="2">IF(G23&gt;0,"COMPLETED",(IF(I23&gt;0,"ISSUE IDENTIFIED",(IF(TODAY()&gt;E23,"OVERDUE","In Progress")))))</f>
        <v>OVERDUE</v>
      </c>
      <c r="K23" s="806"/>
    </row>
    <row r="24" spans="1:11" x14ac:dyDescent="0.2">
      <c r="A24" s="977"/>
      <c r="B24" s="56" t="s">
        <v>232</v>
      </c>
      <c r="C24" s="598"/>
      <c r="D24" s="595"/>
      <c r="E24" s="595"/>
      <c r="F24" s="613">
        <f t="shared" ca="1" si="0"/>
        <v>-43388</v>
      </c>
      <c r="G24" s="596"/>
      <c r="H24" s="597"/>
      <c r="I24" s="598"/>
      <c r="J24" s="597" t="str">
        <f t="shared" ca="1" si="2"/>
        <v>OVERDUE</v>
      </c>
      <c r="K24" s="806"/>
    </row>
    <row r="25" spans="1:11" x14ac:dyDescent="0.2">
      <c r="A25" s="977"/>
      <c r="B25" s="56" t="s">
        <v>233</v>
      </c>
      <c r="C25" s="598"/>
      <c r="D25" s="595"/>
      <c r="E25" s="595"/>
      <c r="F25" s="613">
        <f t="shared" ca="1" si="0"/>
        <v>-43388</v>
      </c>
      <c r="G25" s="596"/>
      <c r="H25" s="597"/>
      <c r="I25" s="598"/>
      <c r="J25" s="597" t="str">
        <f t="shared" ca="1" si="2"/>
        <v>OVERDUE</v>
      </c>
      <c r="K25" s="806"/>
    </row>
    <row r="26" spans="1:11" x14ac:dyDescent="0.2">
      <c r="A26" s="977"/>
      <c r="B26" s="206" t="s">
        <v>234</v>
      </c>
      <c r="C26" s="594"/>
      <c r="D26" s="595"/>
      <c r="E26" s="595"/>
      <c r="F26" s="613">
        <f t="shared" ca="1" si="0"/>
        <v>-43388</v>
      </c>
      <c r="G26" s="596"/>
      <c r="H26" s="597"/>
      <c r="I26" s="598"/>
      <c r="J26" s="597" t="str">
        <f t="shared" ca="1" si="2"/>
        <v>OVERDUE</v>
      </c>
      <c r="K26" s="806"/>
    </row>
    <row r="27" spans="1:11" ht="15" x14ac:dyDescent="0.2">
      <c r="A27" s="981" t="s">
        <v>791</v>
      </c>
      <c r="B27" s="624" t="s">
        <v>235</v>
      </c>
      <c r="C27" s="603"/>
      <c r="D27" s="600"/>
      <c r="E27" s="600"/>
      <c r="F27" s="613">
        <f t="shared" ca="1" si="0"/>
        <v>-43388</v>
      </c>
      <c r="G27" s="596"/>
      <c r="H27" s="597"/>
      <c r="I27" s="598"/>
      <c r="J27" s="597" t="str">
        <f ca="1">IF(AND(J28="completed",J29="completed",J30="completed",J31="completed",J32="completed",J33="completed",J34="completed",J35="completed",J36="completed",J37="completed",J38="completed",J39="completed",J40="completed",J41="completed",J42="completed",J43="completed",J44="completed"),"Deliverable Completed","DELIVERABLE STILL IN PROGRESS")</f>
        <v>DELIVERABLE STILL IN PROGRESS</v>
      </c>
      <c r="K27" s="806"/>
    </row>
    <row r="28" spans="1:11" x14ac:dyDescent="0.2">
      <c r="A28" s="982"/>
      <c r="B28" s="604" t="s">
        <v>236</v>
      </c>
      <c r="C28" s="594"/>
      <c r="D28" s="595"/>
      <c r="E28" s="595"/>
      <c r="F28" s="613">
        <f t="shared" ca="1" si="0"/>
        <v>-43388</v>
      </c>
      <c r="G28" s="596"/>
      <c r="H28" s="597"/>
      <c r="I28" s="598"/>
      <c r="J28" s="597" t="str">
        <f t="shared" ca="1" si="2"/>
        <v>OVERDUE</v>
      </c>
      <c r="K28" s="806"/>
    </row>
    <row r="29" spans="1:11" ht="25.5" x14ac:dyDescent="0.2">
      <c r="A29" s="982"/>
      <c r="B29" s="604" t="s">
        <v>237</v>
      </c>
      <c r="C29" s="594"/>
      <c r="D29" s="595"/>
      <c r="E29" s="595"/>
      <c r="F29" s="613">
        <f t="shared" ca="1" si="0"/>
        <v>-43388</v>
      </c>
      <c r="G29" s="596"/>
      <c r="H29" s="597"/>
      <c r="I29" s="598"/>
      <c r="J29" s="597" t="str">
        <f t="shared" ca="1" si="2"/>
        <v>OVERDUE</v>
      </c>
      <c r="K29" s="806"/>
    </row>
    <row r="30" spans="1:11" x14ac:dyDescent="0.2">
      <c r="A30" s="982"/>
      <c r="B30" s="605" t="s">
        <v>238</v>
      </c>
      <c r="C30" s="594"/>
      <c r="D30" s="595"/>
      <c r="E30" s="595"/>
      <c r="F30" s="613">
        <f t="shared" ca="1" si="0"/>
        <v>-43388</v>
      </c>
      <c r="G30" s="596"/>
      <c r="H30" s="597"/>
      <c r="I30" s="598"/>
      <c r="J30" s="597" t="str">
        <f t="shared" ca="1" si="2"/>
        <v>OVERDUE</v>
      </c>
      <c r="K30" s="806"/>
    </row>
    <row r="31" spans="1:11" x14ac:dyDescent="0.2">
      <c r="A31" s="982"/>
      <c r="B31" s="605" t="s">
        <v>240</v>
      </c>
      <c r="C31" s="594"/>
      <c r="D31" s="595"/>
      <c r="E31" s="595"/>
      <c r="F31" s="613">
        <f t="shared" ca="1" si="0"/>
        <v>-43388</v>
      </c>
      <c r="G31" s="596"/>
      <c r="H31" s="597"/>
      <c r="I31" s="598"/>
      <c r="J31" s="597" t="str">
        <f t="shared" ca="1" si="2"/>
        <v>OVERDUE</v>
      </c>
      <c r="K31" s="806"/>
    </row>
    <row r="32" spans="1:11" x14ac:dyDescent="0.2">
      <c r="A32" s="982"/>
      <c r="B32" s="604" t="s">
        <v>242</v>
      </c>
      <c r="C32" s="594"/>
      <c r="D32" s="595"/>
      <c r="E32" s="595"/>
      <c r="F32" s="613">
        <f t="shared" ca="1" si="0"/>
        <v>-43388</v>
      </c>
      <c r="G32" s="596"/>
      <c r="H32" s="597"/>
      <c r="I32" s="598"/>
      <c r="J32" s="597" t="str">
        <f t="shared" ca="1" si="2"/>
        <v>OVERDUE</v>
      </c>
      <c r="K32" s="806"/>
    </row>
    <row r="33" spans="1:11" x14ac:dyDescent="0.2">
      <c r="A33" s="982"/>
      <c r="B33" s="605" t="s">
        <v>245</v>
      </c>
      <c r="C33" s="594"/>
      <c r="D33" s="595"/>
      <c r="E33" s="595"/>
      <c r="F33" s="613">
        <f t="shared" ca="1" si="0"/>
        <v>-43388</v>
      </c>
      <c r="G33" s="596"/>
      <c r="H33" s="597"/>
      <c r="I33" s="598"/>
      <c r="J33" s="597" t="str">
        <f t="shared" ca="1" si="2"/>
        <v>OVERDUE</v>
      </c>
      <c r="K33" s="806"/>
    </row>
    <row r="34" spans="1:11" x14ac:dyDescent="0.2">
      <c r="A34" s="982"/>
      <c r="B34" s="605" t="s">
        <v>246</v>
      </c>
      <c r="C34" s="594"/>
      <c r="D34" s="595"/>
      <c r="E34" s="595"/>
      <c r="F34" s="613">
        <f t="shared" ca="1" si="0"/>
        <v>-43388</v>
      </c>
      <c r="G34" s="596"/>
      <c r="H34" s="597"/>
      <c r="I34" s="598"/>
      <c r="J34" s="597" t="str">
        <f t="shared" ca="1" si="2"/>
        <v>OVERDUE</v>
      </c>
      <c r="K34" s="806"/>
    </row>
    <row r="35" spans="1:11" x14ac:dyDescent="0.2">
      <c r="A35" s="982"/>
      <c r="B35" s="605" t="s">
        <v>792</v>
      </c>
      <c r="C35" s="594"/>
      <c r="D35" s="595"/>
      <c r="E35" s="606"/>
      <c r="F35" s="613">
        <f t="shared" ca="1" si="0"/>
        <v>-43388</v>
      </c>
      <c r="G35" s="596"/>
      <c r="H35" s="597"/>
      <c r="I35" s="598"/>
      <c r="J35" s="597" t="str">
        <f t="shared" ca="1" si="2"/>
        <v>OVERDUE</v>
      </c>
      <c r="K35" s="806"/>
    </row>
    <row r="36" spans="1:11" x14ac:dyDescent="0.2">
      <c r="A36" s="982"/>
      <c r="B36" s="607" t="s">
        <v>248</v>
      </c>
      <c r="C36" s="594"/>
      <c r="D36" s="595"/>
      <c r="E36" s="606"/>
      <c r="F36" s="613">
        <f t="shared" ca="1" si="0"/>
        <v>-43388</v>
      </c>
      <c r="G36" s="596"/>
      <c r="H36" s="597"/>
      <c r="I36" s="598"/>
      <c r="J36" s="597" t="str">
        <f t="shared" ca="1" si="2"/>
        <v>OVERDUE</v>
      </c>
      <c r="K36" s="808"/>
    </row>
    <row r="37" spans="1:11" x14ac:dyDescent="0.2">
      <c r="A37" s="982"/>
      <c r="B37" s="604" t="s">
        <v>249</v>
      </c>
      <c r="C37" s="594"/>
      <c r="D37" s="595"/>
      <c r="E37" s="595"/>
      <c r="F37" s="613">
        <f t="shared" ca="1" si="0"/>
        <v>-43388</v>
      </c>
      <c r="G37" s="596"/>
      <c r="H37" s="597"/>
      <c r="I37" s="598"/>
      <c r="J37" s="597" t="str">
        <f t="shared" ca="1" si="2"/>
        <v>OVERDUE</v>
      </c>
      <c r="K37" s="806"/>
    </row>
    <row r="38" spans="1:11" x14ac:dyDescent="0.2">
      <c r="A38" s="982"/>
      <c r="B38" s="605" t="s">
        <v>250</v>
      </c>
      <c r="C38" s="594"/>
      <c r="D38" s="595"/>
      <c r="E38" s="595"/>
      <c r="F38" s="613">
        <f t="shared" ca="1" si="0"/>
        <v>-43388</v>
      </c>
      <c r="G38" s="596"/>
      <c r="H38" s="597"/>
      <c r="I38" s="598"/>
      <c r="J38" s="597" t="str">
        <f t="shared" ca="1" si="2"/>
        <v>OVERDUE</v>
      </c>
      <c r="K38" s="806"/>
    </row>
    <row r="39" spans="1:11" x14ac:dyDescent="0.2">
      <c r="A39" s="982"/>
      <c r="B39" s="605" t="s">
        <v>251</v>
      </c>
      <c r="C39" s="594"/>
      <c r="D39" s="595"/>
      <c r="E39" s="595"/>
      <c r="F39" s="613">
        <f t="shared" ca="1" si="0"/>
        <v>-43388</v>
      </c>
      <c r="G39" s="596"/>
      <c r="H39" s="597"/>
      <c r="I39" s="598"/>
      <c r="J39" s="597" t="str">
        <f t="shared" ca="1" si="2"/>
        <v>OVERDUE</v>
      </c>
      <c r="K39" s="806"/>
    </row>
    <row r="40" spans="1:11" ht="25.5" x14ac:dyDescent="0.2">
      <c r="A40" s="982"/>
      <c r="B40" s="604" t="s">
        <v>252</v>
      </c>
      <c r="C40" s="594"/>
      <c r="D40" s="595"/>
      <c r="E40" s="595"/>
      <c r="F40" s="613">
        <f t="shared" ca="1" si="0"/>
        <v>-43388</v>
      </c>
      <c r="G40" s="596"/>
      <c r="H40" s="597"/>
      <c r="I40" s="598"/>
      <c r="J40" s="597" t="str">
        <f t="shared" ca="1" si="2"/>
        <v>OVERDUE</v>
      </c>
      <c r="K40" s="806"/>
    </row>
    <row r="41" spans="1:11" x14ac:dyDescent="0.2">
      <c r="A41" s="982"/>
      <c r="B41" s="604" t="s">
        <v>253</v>
      </c>
      <c r="C41" s="594"/>
      <c r="D41" s="595"/>
      <c r="E41" s="595"/>
      <c r="F41" s="613">
        <f t="shared" ca="1" si="0"/>
        <v>-43388</v>
      </c>
      <c r="G41" s="596"/>
      <c r="H41" s="597"/>
      <c r="I41" s="598"/>
      <c r="J41" s="597" t="str">
        <f t="shared" ca="1" si="2"/>
        <v>OVERDUE</v>
      </c>
      <c r="K41" s="806"/>
    </row>
    <row r="42" spans="1:11" x14ac:dyDescent="0.2">
      <c r="A42" s="982"/>
      <c r="B42" s="604" t="s">
        <v>254</v>
      </c>
      <c r="C42" s="594"/>
      <c r="D42" s="595"/>
      <c r="E42" s="595"/>
      <c r="F42" s="613">
        <f t="shared" ca="1" si="0"/>
        <v>-43388</v>
      </c>
      <c r="G42" s="596"/>
      <c r="H42" s="597"/>
      <c r="I42" s="598"/>
      <c r="J42" s="597" t="str">
        <f t="shared" ca="1" si="2"/>
        <v>OVERDUE</v>
      </c>
      <c r="K42" s="806"/>
    </row>
    <row r="43" spans="1:11" x14ac:dyDescent="0.2">
      <c r="A43" s="982"/>
      <c r="B43" s="605" t="s">
        <v>255</v>
      </c>
      <c r="C43" s="594"/>
      <c r="D43" s="595"/>
      <c r="E43" s="595"/>
      <c r="F43" s="613">
        <f t="shared" ca="1" si="0"/>
        <v>-43388</v>
      </c>
      <c r="G43" s="596"/>
      <c r="H43" s="597"/>
      <c r="I43" s="598"/>
      <c r="J43" s="597" t="str">
        <f t="shared" ca="1" si="2"/>
        <v>OVERDUE</v>
      </c>
      <c r="K43" s="806"/>
    </row>
    <row r="44" spans="1:11" x14ac:dyDescent="0.2">
      <c r="A44" s="982"/>
      <c r="B44" s="608" t="s">
        <v>793</v>
      </c>
      <c r="C44" s="594"/>
      <c r="D44" s="595"/>
      <c r="E44" s="606"/>
      <c r="F44" s="613">
        <f t="shared" ca="1" si="0"/>
        <v>-43388</v>
      </c>
      <c r="G44" s="596"/>
      <c r="H44" s="597"/>
      <c r="I44" s="598"/>
      <c r="J44" s="597" t="str">
        <f t="shared" ca="1" si="2"/>
        <v>OVERDUE</v>
      </c>
      <c r="K44" s="806"/>
    </row>
    <row r="45" spans="1:11" ht="15" x14ac:dyDescent="0.2">
      <c r="A45" s="983" t="s">
        <v>794</v>
      </c>
      <c r="B45" s="624" t="s">
        <v>794</v>
      </c>
      <c r="C45" s="594"/>
      <c r="D45" s="609"/>
      <c r="E45" s="609"/>
      <c r="F45" s="613">
        <f t="shared" ca="1" si="0"/>
        <v>-43388</v>
      </c>
      <c r="G45" s="596"/>
      <c r="H45" s="597"/>
      <c r="I45" s="598"/>
      <c r="J45" s="597" t="str">
        <f ca="1">IF(AND(J46="completed",J47="completed",J48="completed",J49="completed",J50="completed",J51="completed",J52="completed",J53="completed",J54="completed",J55="completed",J56="completed",J57="completed",J58="completed",J59="completed",J60="completed",J61="completed",J62="completed",J63="completed",J64="completed",J65="completed",J66="completed",J67="completed",J68="completed",J69="completed",J70="completed"),"Deliverable Completed","DELIVERABLE STILL IN PROGRESS")</f>
        <v>DELIVERABLE STILL IN PROGRESS</v>
      </c>
      <c r="K45" s="806"/>
    </row>
    <row r="46" spans="1:11" x14ac:dyDescent="0.2">
      <c r="A46" s="984"/>
      <c r="B46" s="604" t="s">
        <v>795</v>
      </c>
      <c r="C46" s="594"/>
      <c r="D46" s="595"/>
      <c r="E46" s="595"/>
      <c r="F46" s="613">
        <f t="shared" ca="1" si="0"/>
        <v>-43388</v>
      </c>
      <c r="G46" s="596"/>
      <c r="H46" s="597"/>
      <c r="I46" s="598"/>
      <c r="J46" s="597" t="str">
        <f t="shared" ca="1" si="2"/>
        <v>OVERDUE</v>
      </c>
      <c r="K46" s="806"/>
    </row>
    <row r="47" spans="1:11" x14ac:dyDescent="0.2">
      <c r="A47" s="984"/>
      <c r="B47" s="605" t="s">
        <v>796</v>
      </c>
      <c r="C47" s="594"/>
      <c r="D47" s="595"/>
      <c r="E47" s="595"/>
      <c r="F47" s="613">
        <f t="shared" ca="1" si="0"/>
        <v>-43388</v>
      </c>
      <c r="G47" s="596"/>
      <c r="H47" s="597"/>
      <c r="I47" s="598"/>
      <c r="J47" s="597" t="str">
        <f t="shared" ca="1" si="2"/>
        <v>OVERDUE</v>
      </c>
      <c r="K47" s="806"/>
    </row>
    <row r="48" spans="1:11" x14ac:dyDescent="0.2">
      <c r="A48" s="984"/>
      <c r="B48" s="605" t="s">
        <v>797</v>
      </c>
      <c r="C48" s="594"/>
      <c r="D48" s="595"/>
      <c r="E48" s="595"/>
      <c r="F48" s="613">
        <f t="shared" ca="1" si="0"/>
        <v>-43388</v>
      </c>
      <c r="G48" s="596"/>
      <c r="H48" s="597"/>
      <c r="I48" s="598"/>
      <c r="J48" s="597" t="str">
        <f t="shared" ca="1" si="2"/>
        <v>OVERDUE</v>
      </c>
      <c r="K48" s="806"/>
    </row>
    <row r="49" spans="1:11" x14ac:dyDescent="0.2">
      <c r="A49" s="984"/>
      <c r="B49" s="605" t="s">
        <v>798</v>
      </c>
      <c r="C49" s="594"/>
      <c r="D49" s="595"/>
      <c r="E49" s="595"/>
      <c r="F49" s="613">
        <f t="shared" ca="1" si="0"/>
        <v>-43388</v>
      </c>
      <c r="G49" s="596"/>
      <c r="H49" s="597"/>
      <c r="I49" s="598"/>
      <c r="J49" s="597" t="str">
        <f t="shared" ca="1" si="2"/>
        <v>OVERDUE</v>
      </c>
      <c r="K49" s="806"/>
    </row>
    <row r="50" spans="1:11" x14ac:dyDescent="0.2">
      <c r="A50" s="984"/>
      <c r="B50" s="605" t="s">
        <v>799</v>
      </c>
      <c r="C50" s="594"/>
      <c r="D50" s="595"/>
      <c r="E50" s="595"/>
      <c r="F50" s="613">
        <f t="shared" ca="1" si="0"/>
        <v>-43388</v>
      </c>
      <c r="G50" s="596"/>
      <c r="H50" s="597"/>
      <c r="I50" s="598"/>
      <c r="J50" s="597" t="str">
        <f t="shared" ca="1" si="2"/>
        <v>OVERDUE</v>
      </c>
      <c r="K50" s="806"/>
    </row>
    <row r="51" spans="1:11" x14ac:dyDescent="0.2">
      <c r="A51" s="984"/>
      <c r="B51" s="605" t="s">
        <v>800</v>
      </c>
      <c r="C51" s="594"/>
      <c r="D51" s="595"/>
      <c r="E51" s="595"/>
      <c r="F51" s="613">
        <f t="shared" ca="1" si="0"/>
        <v>-43388</v>
      </c>
      <c r="G51" s="596"/>
      <c r="H51" s="597"/>
      <c r="I51" s="598"/>
      <c r="J51" s="597" t="str">
        <f t="shared" ca="1" si="2"/>
        <v>OVERDUE</v>
      </c>
      <c r="K51" s="806"/>
    </row>
    <row r="52" spans="1:11" x14ac:dyDescent="0.2">
      <c r="A52" s="984"/>
      <c r="B52" s="607" t="s">
        <v>801</v>
      </c>
      <c r="C52" s="594"/>
      <c r="D52" s="595"/>
      <c r="E52" s="595"/>
      <c r="F52" s="613">
        <f t="shared" ca="1" si="0"/>
        <v>-43388</v>
      </c>
      <c r="G52" s="596"/>
      <c r="H52" s="597"/>
      <c r="I52" s="598"/>
      <c r="J52" s="597" t="str">
        <f t="shared" ca="1" si="2"/>
        <v>OVERDUE</v>
      </c>
      <c r="K52" s="806"/>
    </row>
    <row r="53" spans="1:11" x14ac:dyDescent="0.2">
      <c r="A53" s="984"/>
      <c r="B53" s="607" t="s">
        <v>802</v>
      </c>
      <c r="C53" s="594"/>
      <c r="D53" s="595"/>
      <c r="E53" s="595"/>
      <c r="F53" s="613">
        <f t="shared" ca="1" si="0"/>
        <v>-43388</v>
      </c>
      <c r="G53" s="596"/>
      <c r="H53" s="597"/>
      <c r="I53" s="598"/>
      <c r="J53" s="597" t="str">
        <f t="shared" ca="1" si="2"/>
        <v>OVERDUE</v>
      </c>
      <c r="K53" s="806"/>
    </row>
    <row r="54" spans="1:11" x14ac:dyDescent="0.2">
      <c r="A54" s="984"/>
      <c r="B54" s="607" t="s">
        <v>803</v>
      </c>
      <c r="C54" s="594"/>
      <c r="D54" s="595"/>
      <c r="E54" s="595"/>
      <c r="F54" s="613">
        <f t="shared" ca="1" si="0"/>
        <v>-43388</v>
      </c>
      <c r="G54" s="596"/>
      <c r="H54" s="597"/>
      <c r="I54" s="598"/>
      <c r="J54" s="597" t="str">
        <f t="shared" ca="1" si="2"/>
        <v>OVERDUE</v>
      </c>
      <c r="K54" s="806"/>
    </row>
    <row r="55" spans="1:11" x14ac:dyDescent="0.2">
      <c r="A55" s="984"/>
      <c r="B55" s="607" t="s">
        <v>804</v>
      </c>
      <c r="C55" s="594"/>
      <c r="D55" s="595"/>
      <c r="E55" s="595"/>
      <c r="F55" s="613">
        <f t="shared" ca="1" si="0"/>
        <v>-43388</v>
      </c>
      <c r="G55" s="596"/>
      <c r="H55" s="597"/>
      <c r="I55" s="598"/>
      <c r="J55" s="597" t="str">
        <f t="shared" ca="1" si="2"/>
        <v>OVERDUE</v>
      </c>
      <c r="K55" s="806"/>
    </row>
    <row r="56" spans="1:11" x14ac:dyDescent="0.2">
      <c r="A56" s="984"/>
      <c r="B56" s="604" t="s">
        <v>805</v>
      </c>
      <c r="C56" s="594"/>
      <c r="D56" s="595"/>
      <c r="E56" s="595"/>
      <c r="F56" s="613">
        <f t="shared" ca="1" si="0"/>
        <v>-43388</v>
      </c>
      <c r="G56" s="596"/>
      <c r="H56" s="597"/>
      <c r="I56" s="598"/>
      <c r="J56" s="597" t="str">
        <f t="shared" ca="1" si="2"/>
        <v>OVERDUE</v>
      </c>
      <c r="K56" s="806"/>
    </row>
    <row r="57" spans="1:11" x14ac:dyDescent="0.2">
      <c r="A57" s="984"/>
      <c r="B57" s="605" t="s">
        <v>806</v>
      </c>
      <c r="C57" s="594"/>
      <c r="D57" s="595"/>
      <c r="E57" s="595"/>
      <c r="F57" s="613">
        <f t="shared" ca="1" si="0"/>
        <v>-43388</v>
      </c>
      <c r="G57" s="596"/>
      <c r="H57" s="597"/>
      <c r="I57" s="598"/>
      <c r="J57" s="597" t="str">
        <f t="shared" ca="1" si="2"/>
        <v>OVERDUE</v>
      </c>
      <c r="K57" s="806"/>
    </row>
    <row r="58" spans="1:11" x14ac:dyDescent="0.2">
      <c r="A58" s="984"/>
      <c r="B58" s="604" t="s">
        <v>807</v>
      </c>
      <c r="C58" s="594"/>
      <c r="D58" s="595"/>
      <c r="E58" s="595"/>
      <c r="F58" s="613">
        <f t="shared" ca="1" si="0"/>
        <v>-43388</v>
      </c>
      <c r="G58" s="596"/>
      <c r="H58" s="597"/>
      <c r="I58" s="598"/>
      <c r="J58" s="597" t="str">
        <f t="shared" ca="1" si="2"/>
        <v>OVERDUE</v>
      </c>
      <c r="K58" s="806"/>
    </row>
    <row r="59" spans="1:11" x14ac:dyDescent="0.2">
      <c r="A59" s="984"/>
      <c r="B59" s="605" t="s">
        <v>808</v>
      </c>
      <c r="C59" s="594"/>
      <c r="D59" s="595"/>
      <c r="E59" s="595"/>
      <c r="F59" s="613">
        <f t="shared" ca="1" si="0"/>
        <v>-43388</v>
      </c>
      <c r="G59" s="596"/>
      <c r="H59" s="597"/>
      <c r="I59" s="598"/>
      <c r="J59" s="597" t="str">
        <f t="shared" ca="1" si="2"/>
        <v>OVERDUE</v>
      </c>
      <c r="K59" s="806"/>
    </row>
    <row r="60" spans="1:11" x14ac:dyDescent="0.2">
      <c r="A60" s="984"/>
      <c r="B60" s="605" t="s">
        <v>809</v>
      </c>
      <c r="C60" s="594"/>
      <c r="D60" s="595"/>
      <c r="E60" s="595"/>
      <c r="F60" s="613">
        <f t="shared" ca="1" si="0"/>
        <v>-43388</v>
      </c>
      <c r="G60" s="596"/>
      <c r="H60" s="597"/>
      <c r="I60" s="598"/>
      <c r="J60" s="597" t="str">
        <f t="shared" ca="1" si="2"/>
        <v>OVERDUE</v>
      </c>
      <c r="K60" s="806"/>
    </row>
    <row r="61" spans="1:11" x14ac:dyDescent="0.2">
      <c r="A61" s="984"/>
      <c r="B61" s="605" t="s">
        <v>810</v>
      </c>
      <c r="C61" s="594"/>
      <c r="D61" s="595"/>
      <c r="E61" s="595"/>
      <c r="F61" s="613">
        <f t="shared" ca="1" si="0"/>
        <v>-43388</v>
      </c>
      <c r="G61" s="596"/>
      <c r="H61" s="597"/>
      <c r="I61" s="598"/>
      <c r="J61" s="597" t="str">
        <f t="shared" ca="1" si="2"/>
        <v>OVERDUE</v>
      </c>
      <c r="K61" s="806"/>
    </row>
    <row r="62" spans="1:11" x14ac:dyDescent="0.2">
      <c r="A62" s="984"/>
      <c r="B62" s="605" t="s">
        <v>811</v>
      </c>
      <c r="C62" s="594"/>
      <c r="D62" s="595"/>
      <c r="E62" s="595"/>
      <c r="F62" s="613">
        <f t="shared" ca="1" si="0"/>
        <v>-43388</v>
      </c>
      <c r="G62" s="596"/>
      <c r="H62" s="597"/>
      <c r="I62" s="598"/>
      <c r="J62" s="597" t="str">
        <f t="shared" ca="1" si="2"/>
        <v>OVERDUE</v>
      </c>
      <c r="K62" s="806"/>
    </row>
    <row r="63" spans="1:11" x14ac:dyDescent="0.2">
      <c r="A63" s="984"/>
      <c r="B63" s="604" t="s">
        <v>812</v>
      </c>
      <c r="C63" s="594"/>
      <c r="D63" s="595"/>
      <c r="E63" s="595"/>
      <c r="F63" s="613">
        <f t="shared" ca="1" si="0"/>
        <v>-43388</v>
      </c>
      <c r="G63" s="596"/>
      <c r="H63" s="597"/>
      <c r="I63" s="598"/>
      <c r="J63" s="597" t="str">
        <f t="shared" ca="1" si="2"/>
        <v>OVERDUE</v>
      </c>
      <c r="K63" s="806"/>
    </row>
    <row r="64" spans="1:11" x14ac:dyDescent="0.2">
      <c r="A64" s="984"/>
      <c r="B64" s="605" t="s">
        <v>813</v>
      </c>
      <c r="C64" s="594"/>
      <c r="D64" s="595"/>
      <c r="E64" s="595"/>
      <c r="F64" s="613">
        <f t="shared" ca="1" si="0"/>
        <v>-43388</v>
      </c>
      <c r="G64" s="596"/>
      <c r="H64" s="597"/>
      <c r="I64" s="598"/>
      <c r="J64" s="597" t="str">
        <f t="shared" ca="1" si="2"/>
        <v>OVERDUE</v>
      </c>
      <c r="K64" s="806"/>
    </row>
    <row r="65" spans="1:11" x14ac:dyDescent="0.2">
      <c r="A65" s="984"/>
      <c r="B65" s="605" t="s">
        <v>814</v>
      </c>
      <c r="C65" s="594"/>
      <c r="D65" s="595"/>
      <c r="E65" s="595"/>
      <c r="F65" s="613">
        <f t="shared" ca="1" si="0"/>
        <v>-43388</v>
      </c>
      <c r="G65" s="596"/>
      <c r="H65" s="597"/>
      <c r="I65" s="598"/>
      <c r="J65" s="597" t="str">
        <f t="shared" ca="1" si="2"/>
        <v>OVERDUE</v>
      </c>
      <c r="K65" s="806"/>
    </row>
    <row r="66" spans="1:11" x14ac:dyDescent="0.2">
      <c r="A66" s="984"/>
      <c r="B66" s="605" t="s">
        <v>815</v>
      </c>
      <c r="C66" s="594"/>
      <c r="D66" s="595"/>
      <c r="E66" s="595"/>
      <c r="F66" s="613">
        <f t="shared" ca="1" si="0"/>
        <v>-43388</v>
      </c>
      <c r="G66" s="596"/>
      <c r="H66" s="597"/>
      <c r="I66" s="598"/>
      <c r="J66" s="597" t="str">
        <f t="shared" ca="1" si="2"/>
        <v>OVERDUE</v>
      </c>
      <c r="K66" s="806"/>
    </row>
    <row r="67" spans="1:11" x14ac:dyDescent="0.2">
      <c r="A67" s="984"/>
      <c r="B67" s="605" t="s">
        <v>816</v>
      </c>
      <c r="C67" s="594"/>
      <c r="D67" s="595"/>
      <c r="E67" s="595"/>
      <c r="F67" s="613">
        <f t="shared" ca="1" si="0"/>
        <v>-43388</v>
      </c>
      <c r="G67" s="596"/>
      <c r="H67" s="597"/>
      <c r="I67" s="598"/>
      <c r="J67" s="597" t="str">
        <f t="shared" ca="1" si="2"/>
        <v>OVERDUE</v>
      </c>
      <c r="K67" s="806"/>
    </row>
    <row r="68" spans="1:11" x14ac:dyDescent="0.2">
      <c r="A68" s="984"/>
      <c r="B68" s="605" t="s">
        <v>817</v>
      </c>
      <c r="C68" s="594"/>
      <c r="D68" s="595"/>
      <c r="E68" s="595"/>
      <c r="F68" s="613">
        <f t="shared" ca="1" si="0"/>
        <v>-43388</v>
      </c>
      <c r="G68" s="596"/>
      <c r="H68" s="597"/>
      <c r="I68" s="598"/>
      <c r="J68" s="597" t="str">
        <f t="shared" ca="1" si="2"/>
        <v>OVERDUE</v>
      </c>
      <c r="K68" s="806"/>
    </row>
    <row r="69" spans="1:11" x14ac:dyDescent="0.2">
      <c r="A69" s="984"/>
      <c r="B69" s="604" t="s">
        <v>818</v>
      </c>
      <c r="C69" s="594"/>
      <c r="D69" s="595"/>
      <c r="E69" s="595"/>
      <c r="F69" s="613">
        <f t="shared" ca="1" si="0"/>
        <v>-43388</v>
      </c>
      <c r="G69" s="596"/>
      <c r="H69" s="597"/>
      <c r="I69" s="598"/>
      <c r="J69" s="597" t="str">
        <f t="shared" ca="1" si="2"/>
        <v>OVERDUE</v>
      </c>
      <c r="K69" s="806"/>
    </row>
    <row r="70" spans="1:11" ht="18" customHeight="1" x14ac:dyDescent="0.2">
      <c r="A70" s="985"/>
      <c r="B70" s="610" t="s">
        <v>819</v>
      </c>
      <c r="C70" s="594"/>
      <c r="D70" s="595"/>
      <c r="E70" s="595"/>
      <c r="F70" s="613">
        <f t="shared" ca="1" si="0"/>
        <v>-43388</v>
      </c>
      <c r="G70" s="596"/>
      <c r="H70" s="597"/>
      <c r="I70" s="598"/>
      <c r="J70" s="597" t="str">
        <f t="shared" ca="1" si="2"/>
        <v>OVERDUE</v>
      </c>
      <c r="K70" s="806"/>
    </row>
    <row r="71" spans="1:11" ht="15" x14ac:dyDescent="0.2">
      <c r="A71" s="976" t="s">
        <v>73</v>
      </c>
      <c r="B71" s="624" t="s">
        <v>73</v>
      </c>
      <c r="C71" s="594"/>
      <c r="D71" s="609"/>
      <c r="E71" s="609"/>
      <c r="F71" s="613">
        <f t="shared" ca="1" si="0"/>
        <v>-43388</v>
      </c>
      <c r="G71" s="596"/>
      <c r="H71" s="597"/>
      <c r="I71" s="598"/>
      <c r="J71" s="597" t="str">
        <f ca="1">IF(AND(J72="completed",J73="completed",J74="completed",J75="completed",J76="completed"),"Deliverable Completed","DELIVERABLE STILL IN PROGRESS")</f>
        <v>DELIVERABLE STILL IN PROGRESS</v>
      </c>
      <c r="K71" s="806"/>
    </row>
    <row r="72" spans="1:11" x14ac:dyDescent="0.2">
      <c r="A72" s="977"/>
      <c r="B72" s="56" t="s">
        <v>820</v>
      </c>
      <c r="C72" s="594"/>
      <c r="D72" s="611"/>
      <c r="E72" s="611"/>
      <c r="F72" s="613">
        <f t="shared" ca="1" si="0"/>
        <v>-43388</v>
      </c>
      <c r="G72" s="596"/>
      <c r="H72" s="597"/>
      <c r="I72" s="598"/>
      <c r="J72" s="597" t="str">
        <f t="shared" ca="1" si="2"/>
        <v>OVERDUE</v>
      </c>
      <c r="K72" s="806"/>
    </row>
    <row r="73" spans="1:11" x14ac:dyDescent="0.2">
      <c r="A73" s="977"/>
      <c r="B73" s="56" t="s">
        <v>821</v>
      </c>
      <c r="C73" s="594"/>
      <c r="D73" s="611"/>
      <c r="E73" s="611"/>
      <c r="F73" s="613">
        <f t="shared" ref="F73:F76" ca="1" si="3">IF(ISBLANK(G73),IF(ISERROR(DAYS360(TODAY(),E73))," ",(DAYS360(TODAY(),E73))),E73-G73)</f>
        <v>-43388</v>
      </c>
      <c r="G73" s="596"/>
      <c r="H73" s="597"/>
      <c r="I73" s="598"/>
      <c r="J73" s="597" t="str">
        <f t="shared" ca="1" si="2"/>
        <v>OVERDUE</v>
      </c>
      <c r="K73" s="806"/>
    </row>
    <row r="74" spans="1:11" x14ac:dyDescent="0.2">
      <c r="A74" s="977"/>
      <c r="B74" s="56" t="s">
        <v>822</v>
      </c>
      <c r="C74" s="594"/>
      <c r="D74" s="611"/>
      <c r="E74" s="611"/>
      <c r="F74" s="613">
        <f t="shared" ca="1" si="3"/>
        <v>-43388</v>
      </c>
      <c r="G74" s="596"/>
      <c r="H74" s="597"/>
      <c r="I74" s="598"/>
      <c r="J74" s="597" t="str">
        <f t="shared" ca="1" si="2"/>
        <v>OVERDUE</v>
      </c>
      <c r="K74" s="806"/>
    </row>
    <row r="75" spans="1:11" x14ac:dyDescent="0.2">
      <c r="A75" s="977"/>
      <c r="B75" s="56" t="s">
        <v>823</v>
      </c>
      <c r="C75" s="594"/>
      <c r="D75" s="595"/>
      <c r="E75" s="595"/>
      <c r="F75" s="613">
        <f t="shared" ca="1" si="3"/>
        <v>-43388</v>
      </c>
      <c r="G75" s="596"/>
      <c r="H75" s="597"/>
      <c r="I75" s="598"/>
      <c r="J75" s="597" t="str">
        <f t="shared" ca="1" si="2"/>
        <v>OVERDUE</v>
      </c>
      <c r="K75" s="806"/>
    </row>
    <row r="76" spans="1:11" ht="13.5" thickBot="1" x14ac:dyDescent="0.25">
      <c r="A76" s="978"/>
      <c r="B76" s="809" t="s">
        <v>824</v>
      </c>
      <c r="C76" s="810"/>
      <c r="D76" s="811"/>
      <c r="E76" s="811"/>
      <c r="F76" s="812">
        <f t="shared" ca="1" si="3"/>
        <v>-43388</v>
      </c>
      <c r="G76" s="813"/>
      <c r="H76" s="814"/>
      <c r="I76" s="815"/>
      <c r="J76" s="814" t="str">
        <f t="shared" ca="1" si="2"/>
        <v>OVERDUE</v>
      </c>
      <c r="K76" s="816"/>
    </row>
    <row r="77" spans="1:11" ht="13.5" thickTop="1" x14ac:dyDescent="0.2"/>
  </sheetData>
  <sheetProtection algorithmName="SHA-512" hashValue="mLcaYfhZUdt5CGoAM4B9V9+brdt3b26ya/RyMxNzoZzp4uhc/HU+E+Gd5ScuRfeKAAF5rVKpYbDoiiaiVq/2Bg==" saltValue="QbXlDNUu3/+Q4LJYDuRX8A==" spinCount="100000" sheet="1" insertRows="0" deleteRows="0" sort="0" autoFilter="0"/>
  <mergeCells count="7">
    <mergeCell ref="A71:A76"/>
    <mergeCell ref="A1:K1"/>
    <mergeCell ref="A9:A12"/>
    <mergeCell ref="A13:A21"/>
    <mergeCell ref="A22:A26"/>
    <mergeCell ref="A27:A44"/>
    <mergeCell ref="A45:A70"/>
  </mergeCells>
  <conditionalFormatting sqref="D9:E76">
    <cfRule type="cellIs" dxfId="111" priority="2" operator="equal">
      <formula>0</formula>
    </cfRule>
  </conditionalFormatting>
  <conditionalFormatting sqref="J9:J150">
    <cfRule type="cellIs" dxfId="110" priority="3" stopIfTrue="1" operator="equal">
      <formula>"OVERDUE"</formula>
    </cfRule>
    <cfRule type="cellIs" dxfId="109" priority="4" stopIfTrue="1" operator="equal">
      <formula>"COMPLETED"</formula>
    </cfRule>
    <cfRule type="cellIs" dxfId="108" priority="5" stopIfTrue="1" operator="equal">
      <formula>"ISSUE IDENTIFIED"</formula>
    </cfRule>
    <cfRule type="containsText" dxfId="107" priority="6" operator="containsText" text="DELIVERABLE STILL IN PROGRESS">
      <formula>NOT(ISERROR(SEARCH("DELIVERABLE STILL IN PROGRESS",J9)))</formula>
    </cfRule>
    <cfRule type="containsText" dxfId="106" priority="7" operator="containsText" text="DELIVERABLE COMPLETED">
      <formula>NOT(ISERROR(SEARCH("DELIVERABLE COMPLETED",J9)))</formula>
    </cfRule>
  </conditionalFormatting>
  <conditionalFormatting sqref="F9:F170">
    <cfRule type="cellIs" dxfId="105" priority="1" operator="lessThan">
      <formula>-1000</formula>
    </cfRule>
  </conditionalFormatting>
  <printOptions horizontalCentered="1"/>
  <pageMargins left="0.25" right="0.25" top="0.5" bottom="0.75" header="0.25" footer="0.5"/>
  <pageSetup scale="43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F00EC-1F50-4744-BF3D-CDEFAF46991D}">
  <sheetPr codeName="Sheet25">
    <tabColor rgb="FF0C3964"/>
    <pageSetUpPr fitToPage="1"/>
  </sheetPr>
  <dimension ref="A1:L127"/>
  <sheetViews>
    <sheetView showGridLines="0" zoomScaleNormal="100" workbookViewId="0">
      <pane xSplit="3" ySplit="8" topLeftCell="D62" activePane="bottomRight" state="frozen"/>
      <selection pane="topRight" activeCell="D1" sqref="D1"/>
      <selection pane="bottomLeft" activeCell="A9" sqref="A9"/>
      <selection pane="bottomRight" activeCell="B72" sqref="B72"/>
    </sheetView>
  </sheetViews>
  <sheetFormatPr defaultColWidth="8.85546875" defaultRowHeight="12.75" x14ac:dyDescent="0.2"/>
  <cols>
    <col min="1" max="1" width="18.42578125" style="25" bestFit="1" customWidth="1"/>
    <col min="2" max="2" width="87.7109375" style="27" customWidth="1"/>
    <col min="3" max="3" width="33.42578125" style="25" bestFit="1" customWidth="1"/>
    <col min="4" max="6" width="13.7109375" style="5" customWidth="1"/>
    <col min="7" max="7" width="13.7109375" style="221" customWidth="1"/>
    <col min="8" max="8" width="19" style="25" bestFit="1" customWidth="1"/>
    <col min="9" max="9" width="12.42578125" style="27" customWidth="1"/>
    <col min="10" max="10" width="26" style="25" bestFit="1" customWidth="1"/>
    <col min="11" max="11" width="52.5703125" style="25" customWidth="1"/>
    <col min="12" max="12" width="15.42578125" style="25" customWidth="1"/>
    <col min="13" max="256" width="8.85546875" style="25"/>
    <col min="257" max="257" width="10.42578125" style="25" customWidth="1"/>
    <col min="258" max="258" width="50.42578125" style="25" customWidth="1"/>
    <col min="259" max="259" width="15.42578125" style="25" customWidth="1"/>
    <col min="260" max="263" width="10.42578125" style="25" customWidth="1"/>
    <col min="264" max="265" width="12.42578125" style="25" customWidth="1"/>
    <col min="266" max="266" width="15.42578125" style="25" customWidth="1"/>
    <col min="267" max="267" width="40.42578125" style="25" customWidth="1"/>
    <col min="268" max="268" width="15.42578125" style="25" customWidth="1"/>
    <col min="269" max="512" width="8.85546875" style="25"/>
    <col min="513" max="513" width="10.42578125" style="25" customWidth="1"/>
    <col min="514" max="514" width="50.42578125" style="25" customWidth="1"/>
    <col min="515" max="515" width="15.42578125" style="25" customWidth="1"/>
    <col min="516" max="519" width="10.42578125" style="25" customWidth="1"/>
    <col min="520" max="521" width="12.42578125" style="25" customWidth="1"/>
    <col min="522" max="522" width="15.42578125" style="25" customWidth="1"/>
    <col min="523" max="523" width="40.42578125" style="25" customWidth="1"/>
    <col min="524" max="524" width="15.42578125" style="25" customWidth="1"/>
    <col min="525" max="768" width="8.85546875" style="25"/>
    <col min="769" max="769" width="10.42578125" style="25" customWidth="1"/>
    <col min="770" max="770" width="50.42578125" style="25" customWidth="1"/>
    <col min="771" max="771" width="15.42578125" style="25" customWidth="1"/>
    <col min="772" max="775" width="10.42578125" style="25" customWidth="1"/>
    <col min="776" max="777" width="12.42578125" style="25" customWidth="1"/>
    <col min="778" max="778" width="15.42578125" style="25" customWidth="1"/>
    <col min="779" max="779" width="40.42578125" style="25" customWidth="1"/>
    <col min="780" max="780" width="15.42578125" style="25" customWidth="1"/>
    <col min="781" max="1024" width="8.85546875" style="25"/>
    <col min="1025" max="1025" width="10.42578125" style="25" customWidth="1"/>
    <col min="1026" max="1026" width="50.42578125" style="25" customWidth="1"/>
    <col min="1027" max="1027" width="15.42578125" style="25" customWidth="1"/>
    <col min="1028" max="1031" width="10.42578125" style="25" customWidth="1"/>
    <col min="1032" max="1033" width="12.42578125" style="25" customWidth="1"/>
    <col min="1034" max="1034" width="15.42578125" style="25" customWidth="1"/>
    <col min="1035" max="1035" width="40.42578125" style="25" customWidth="1"/>
    <col min="1036" max="1036" width="15.42578125" style="25" customWidth="1"/>
    <col min="1037" max="1280" width="8.85546875" style="25"/>
    <col min="1281" max="1281" width="10.42578125" style="25" customWidth="1"/>
    <col min="1282" max="1282" width="50.42578125" style="25" customWidth="1"/>
    <col min="1283" max="1283" width="15.42578125" style="25" customWidth="1"/>
    <col min="1284" max="1287" width="10.42578125" style="25" customWidth="1"/>
    <col min="1288" max="1289" width="12.42578125" style="25" customWidth="1"/>
    <col min="1290" max="1290" width="15.42578125" style="25" customWidth="1"/>
    <col min="1291" max="1291" width="40.42578125" style="25" customWidth="1"/>
    <col min="1292" max="1292" width="15.42578125" style="25" customWidth="1"/>
    <col min="1293" max="1536" width="8.85546875" style="25"/>
    <col min="1537" max="1537" width="10.42578125" style="25" customWidth="1"/>
    <col min="1538" max="1538" width="50.42578125" style="25" customWidth="1"/>
    <col min="1539" max="1539" width="15.42578125" style="25" customWidth="1"/>
    <col min="1540" max="1543" width="10.42578125" style="25" customWidth="1"/>
    <col min="1544" max="1545" width="12.42578125" style="25" customWidth="1"/>
    <col min="1546" max="1546" width="15.42578125" style="25" customWidth="1"/>
    <col min="1547" max="1547" width="40.42578125" style="25" customWidth="1"/>
    <col min="1548" max="1548" width="15.42578125" style="25" customWidth="1"/>
    <col min="1549" max="1792" width="8.85546875" style="25"/>
    <col min="1793" max="1793" width="10.42578125" style="25" customWidth="1"/>
    <col min="1794" max="1794" width="50.42578125" style="25" customWidth="1"/>
    <col min="1795" max="1795" width="15.42578125" style="25" customWidth="1"/>
    <col min="1796" max="1799" width="10.42578125" style="25" customWidth="1"/>
    <col min="1800" max="1801" width="12.42578125" style="25" customWidth="1"/>
    <col min="1802" max="1802" width="15.42578125" style="25" customWidth="1"/>
    <col min="1803" max="1803" width="40.42578125" style="25" customWidth="1"/>
    <col min="1804" max="1804" width="15.42578125" style="25" customWidth="1"/>
    <col min="1805" max="2048" width="8.85546875" style="25"/>
    <col min="2049" max="2049" width="10.42578125" style="25" customWidth="1"/>
    <col min="2050" max="2050" width="50.42578125" style="25" customWidth="1"/>
    <col min="2051" max="2051" width="15.42578125" style="25" customWidth="1"/>
    <col min="2052" max="2055" width="10.42578125" style="25" customWidth="1"/>
    <col min="2056" max="2057" width="12.42578125" style="25" customWidth="1"/>
    <col min="2058" max="2058" width="15.42578125" style="25" customWidth="1"/>
    <col min="2059" max="2059" width="40.42578125" style="25" customWidth="1"/>
    <col min="2060" max="2060" width="15.42578125" style="25" customWidth="1"/>
    <col min="2061" max="2304" width="8.85546875" style="25"/>
    <col min="2305" max="2305" width="10.42578125" style="25" customWidth="1"/>
    <col min="2306" max="2306" width="50.42578125" style="25" customWidth="1"/>
    <col min="2307" max="2307" width="15.42578125" style="25" customWidth="1"/>
    <col min="2308" max="2311" width="10.42578125" style="25" customWidth="1"/>
    <col min="2312" max="2313" width="12.42578125" style="25" customWidth="1"/>
    <col min="2314" max="2314" width="15.42578125" style="25" customWidth="1"/>
    <col min="2315" max="2315" width="40.42578125" style="25" customWidth="1"/>
    <col min="2316" max="2316" width="15.42578125" style="25" customWidth="1"/>
    <col min="2317" max="2560" width="8.85546875" style="25"/>
    <col min="2561" max="2561" width="10.42578125" style="25" customWidth="1"/>
    <col min="2562" max="2562" width="50.42578125" style="25" customWidth="1"/>
    <col min="2563" max="2563" width="15.42578125" style="25" customWidth="1"/>
    <col min="2564" max="2567" width="10.42578125" style="25" customWidth="1"/>
    <col min="2568" max="2569" width="12.42578125" style="25" customWidth="1"/>
    <col min="2570" max="2570" width="15.42578125" style="25" customWidth="1"/>
    <col min="2571" max="2571" width="40.42578125" style="25" customWidth="1"/>
    <col min="2572" max="2572" width="15.42578125" style="25" customWidth="1"/>
    <col min="2573" max="2816" width="8.85546875" style="25"/>
    <col min="2817" max="2817" width="10.42578125" style="25" customWidth="1"/>
    <col min="2818" max="2818" width="50.42578125" style="25" customWidth="1"/>
    <col min="2819" max="2819" width="15.42578125" style="25" customWidth="1"/>
    <col min="2820" max="2823" width="10.42578125" style="25" customWidth="1"/>
    <col min="2824" max="2825" width="12.42578125" style="25" customWidth="1"/>
    <col min="2826" max="2826" width="15.42578125" style="25" customWidth="1"/>
    <col min="2827" max="2827" width="40.42578125" style="25" customWidth="1"/>
    <col min="2828" max="2828" width="15.42578125" style="25" customWidth="1"/>
    <col min="2829" max="3072" width="8.85546875" style="25"/>
    <col min="3073" max="3073" width="10.42578125" style="25" customWidth="1"/>
    <col min="3074" max="3074" width="50.42578125" style="25" customWidth="1"/>
    <col min="3075" max="3075" width="15.42578125" style="25" customWidth="1"/>
    <col min="3076" max="3079" width="10.42578125" style="25" customWidth="1"/>
    <col min="3080" max="3081" width="12.42578125" style="25" customWidth="1"/>
    <col min="3082" max="3082" width="15.42578125" style="25" customWidth="1"/>
    <col min="3083" max="3083" width="40.42578125" style="25" customWidth="1"/>
    <col min="3084" max="3084" width="15.42578125" style="25" customWidth="1"/>
    <col min="3085" max="3328" width="8.85546875" style="25"/>
    <col min="3329" max="3329" width="10.42578125" style="25" customWidth="1"/>
    <col min="3330" max="3330" width="50.42578125" style="25" customWidth="1"/>
    <col min="3331" max="3331" width="15.42578125" style="25" customWidth="1"/>
    <col min="3332" max="3335" width="10.42578125" style="25" customWidth="1"/>
    <col min="3336" max="3337" width="12.42578125" style="25" customWidth="1"/>
    <col min="3338" max="3338" width="15.42578125" style="25" customWidth="1"/>
    <col min="3339" max="3339" width="40.42578125" style="25" customWidth="1"/>
    <col min="3340" max="3340" width="15.42578125" style="25" customWidth="1"/>
    <col min="3341" max="3584" width="8.85546875" style="25"/>
    <col min="3585" max="3585" width="10.42578125" style="25" customWidth="1"/>
    <col min="3586" max="3586" width="50.42578125" style="25" customWidth="1"/>
    <col min="3587" max="3587" width="15.42578125" style="25" customWidth="1"/>
    <col min="3588" max="3591" width="10.42578125" style="25" customWidth="1"/>
    <col min="3592" max="3593" width="12.42578125" style="25" customWidth="1"/>
    <col min="3594" max="3594" width="15.42578125" style="25" customWidth="1"/>
    <col min="3595" max="3595" width="40.42578125" style="25" customWidth="1"/>
    <col min="3596" max="3596" width="15.42578125" style="25" customWidth="1"/>
    <col min="3597" max="3840" width="8.85546875" style="25"/>
    <col min="3841" max="3841" width="10.42578125" style="25" customWidth="1"/>
    <col min="3842" max="3842" width="50.42578125" style="25" customWidth="1"/>
    <col min="3843" max="3843" width="15.42578125" style="25" customWidth="1"/>
    <col min="3844" max="3847" width="10.42578125" style="25" customWidth="1"/>
    <col min="3848" max="3849" width="12.42578125" style="25" customWidth="1"/>
    <col min="3850" max="3850" width="15.42578125" style="25" customWidth="1"/>
    <col min="3851" max="3851" width="40.42578125" style="25" customWidth="1"/>
    <col min="3852" max="3852" width="15.42578125" style="25" customWidth="1"/>
    <col min="3853" max="4096" width="8.85546875" style="25"/>
    <col min="4097" max="4097" width="10.42578125" style="25" customWidth="1"/>
    <col min="4098" max="4098" width="50.42578125" style="25" customWidth="1"/>
    <col min="4099" max="4099" width="15.42578125" style="25" customWidth="1"/>
    <col min="4100" max="4103" width="10.42578125" style="25" customWidth="1"/>
    <col min="4104" max="4105" width="12.42578125" style="25" customWidth="1"/>
    <col min="4106" max="4106" width="15.42578125" style="25" customWidth="1"/>
    <col min="4107" max="4107" width="40.42578125" style="25" customWidth="1"/>
    <col min="4108" max="4108" width="15.42578125" style="25" customWidth="1"/>
    <col min="4109" max="4352" width="8.85546875" style="25"/>
    <col min="4353" max="4353" width="10.42578125" style="25" customWidth="1"/>
    <col min="4354" max="4354" width="50.42578125" style="25" customWidth="1"/>
    <col min="4355" max="4355" width="15.42578125" style="25" customWidth="1"/>
    <col min="4356" max="4359" width="10.42578125" style="25" customWidth="1"/>
    <col min="4360" max="4361" width="12.42578125" style="25" customWidth="1"/>
    <col min="4362" max="4362" width="15.42578125" style="25" customWidth="1"/>
    <col min="4363" max="4363" width="40.42578125" style="25" customWidth="1"/>
    <col min="4364" max="4364" width="15.42578125" style="25" customWidth="1"/>
    <col min="4365" max="4608" width="8.85546875" style="25"/>
    <col min="4609" max="4609" width="10.42578125" style="25" customWidth="1"/>
    <col min="4610" max="4610" width="50.42578125" style="25" customWidth="1"/>
    <col min="4611" max="4611" width="15.42578125" style="25" customWidth="1"/>
    <col min="4612" max="4615" width="10.42578125" style="25" customWidth="1"/>
    <col min="4616" max="4617" width="12.42578125" style="25" customWidth="1"/>
    <col min="4618" max="4618" width="15.42578125" style="25" customWidth="1"/>
    <col min="4619" max="4619" width="40.42578125" style="25" customWidth="1"/>
    <col min="4620" max="4620" width="15.42578125" style="25" customWidth="1"/>
    <col min="4621" max="4864" width="8.85546875" style="25"/>
    <col min="4865" max="4865" width="10.42578125" style="25" customWidth="1"/>
    <col min="4866" max="4866" width="50.42578125" style="25" customWidth="1"/>
    <col min="4867" max="4867" width="15.42578125" style="25" customWidth="1"/>
    <col min="4868" max="4871" width="10.42578125" style="25" customWidth="1"/>
    <col min="4872" max="4873" width="12.42578125" style="25" customWidth="1"/>
    <col min="4874" max="4874" width="15.42578125" style="25" customWidth="1"/>
    <col min="4875" max="4875" width="40.42578125" style="25" customWidth="1"/>
    <col min="4876" max="4876" width="15.42578125" style="25" customWidth="1"/>
    <col min="4877" max="5120" width="8.85546875" style="25"/>
    <col min="5121" max="5121" width="10.42578125" style="25" customWidth="1"/>
    <col min="5122" max="5122" width="50.42578125" style="25" customWidth="1"/>
    <col min="5123" max="5123" width="15.42578125" style="25" customWidth="1"/>
    <col min="5124" max="5127" width="10.42578125" style="25" customWidth="1"/>
    <col min="5128" max="5129" width="12.42578125" style="25" customWidth="1"/>
    <col min="5130" max="5130" width="15.42578125" style="25" customWidth="1"/>
    <col min="5131" max="5131" width="40.42578125" style="25" customWidth="1"/>
    <col min="5132" max="5132" width="15.42578125" style="25" customWidth="1"/>
    <col min="5133" max="5376" width="8.85546875" style="25"/>
    <col min="5377" max="5377" width="10.42578125" style="25" customWidth="1"/>
    <col min="5378" max="5378" width="50.42578125" style="25" customWidth="1"/>
    <col min="5379" max="5379" width="15.42578125" style="25" customWidth="1"/>
    <col min="5380" max="5383" width="10.42578125" style="25" customWidth="1"/>
    <col min="5384" max="5385" width="12.42578125" style="25" customWidth="1"/>
    <col min="5386" max="5386" width="15.42578125" style="25" customWidth="1"/>
    <col min="5387" max="5387" width="40.42578125" style="25" customWidth="1"/>
    <col min="5388" max="5388" width="15.42578125" style="25" customWidth="1"/>
    <col min="5389" max="5632" width="8.85546875" style="25"/>
    <col min="5633" max="5633" width="10.42578125" style="25" customWidth="1"/>
    <col min="5634" max="5634" width="50.42578125" style="25" customWidth="1"/>
    <col min="5635" max="5635" width="15.42578125" style="25" customWidth="1"/>
    <col min="5636" max="5639" width="10.42578125" style="25" customWidth="1"/>
    <col min="5640" max="5641" width="12.42578125" style="25" customWidth="1"/>
    <col min="5642" max="5642" width="15.42578125" style="25" customWidth="1"/>
    <col min="5643" max="5643" width="40.42578125" style="25" customWidth="1"/>
    <col min="5644" max="5644" width="15.42578125" style="25" customWidth="1"/>
    <col min="5645" max="5888" width="8.85546875" style="25"/>
    <col min="5889" max="5889" width="10.42578125" style="25" customWidth="1"/>
    <col min="5890" max="5890" width="50.42578125" style="25" customWidth="1"/>
    <col min="5891" max="5891" width="15.42578125" style="25" customWidth="1"/>
    <col min="5892" max="5895" width="10.42578125" style="25" customWidth="1"/>
    <col min="5896" max="5897" width="12.42578125" style="25" customWidth="1"/>
    <col min="5898" max="5898" width="15.42578125" style="25" customWidth="1"/>
    <col min="5899" max="5899" width="40.42578125" style="25" customWidth="1"/>
    <col min="5900" max="5900" width="15.42578125" style="25" customWidth="1"/>
    <col min="5901" max="6144" width="8.85546875" style="25"/>
    <col min="6145" max="6145" width="10.42578125" style="25" customWidth="1"/>
    <col min="6146" max="6146" width="50.42578125" style="25" customWidth="1"/>
    <col min="6147" max="6147" width="15.42578125" style="25" customWidth="1"/>
    <col min="6148" max="6151" width="10.42578125" style="25" customWidth="1"/>
    <col min="6152" max="6153" width="12.42578125" style="25" customWidth="1"/>
    <col min="6154" max="6154" width="15.42578125" style="25" customWidth="1"/>
    <col min="6155" max="6155" width="40.42578125" style="25" customWidth="1"/>
    <col min="6156" max="6156" width="15.42578125" style="25" customWidth="1"/>
    <col min="6157" max="6400" width="8.85546875" style="25"/>
    <col min="6401" max="6401" width="10.42578125" style="25" customWidth="1"/>
    <col min="6402" max="6402" width="50.42578125" style="25" customWidth="1"/>
    <col min="6403" max="6403" width="15.42578125" style="25" customWidth="1"/>
    <col min="6404" max="6407" width="10.42578125" style="25" customWidth="1"/>
    <col min="6408" max="6409" width="12.42578125" style="25" customWidth="1"/>
    <col min="6410" max="6410" width="15.42578125" style="25" customWidth="1"/>
    <col min="6411" max="6411" width="40.42578125" style="25" customWidth="1"/>
    <col min="6412" max="6412" width="15.42578125" style="25" customWidth="1"/>
    <col min="6413" max="6656" width="8.85546875" style="25"/>
    <col min="6657" max="6657" width="10.42578125" style="25" customWidth="1"/>
    <col min="6658" max="6658" width="50.42578125" style="25" customWidth="1"/>
    <col min="6659" max="6659" width="15.42578125" style="25" customWidth="1"/>
    <col min="6660" max="6663" width="10.42578125" style="25" customWidth="1"/>
    <col min="6664" max="6665" width="12.42578125" style="25" customWidth="1"/>
    <col min="6666" max="6666" width="15.42578125" style="25" customWidth="1"/>
    <col min="6667" max="6667" width="40.42578125" style="25" customWidth="1"/>
    <col min="6668" max="6668" width="15.42578125" style="25" customWidth="1"/>
    <col min="6669" max="6912" width="8.85546875" style="25"/>
    <col min="6913" max="6913" width="10.42578125" style="25" customWidth="1"/>
    <col min="6914" max="6914" width="50.42578125" style="25" customWidth="1"/>
    <col min="6915" max="6915" width="15.42578125" style="25" customWidth="1"/>
    <col min="6916" max="6919" width="10.42578125" style="25" customWidth="1"/>
    <col min="6920" max="6921" width="12.42578125" style="25" customWidth="1"/>
    <col min="6922" max="6922" width="15.42578125" style="25" customWidth="1"/>
    <col min="6923" max="6923" width="40.42578125" style="25" customWidth="1"/>
    <col min="6924" max="6924" width="15.42578125" style="25" customWidth="1"/>
    <col min="6925" max="7168" width="8.85546875" style="25"/>
    <col min="7169" max="7169" width="10.42578125" style="25" customWidth="1"/>
    <col min="7170" max="7170" width="50.42578125" style="25" customWidth="1"/>
    <col min="7171" max="7171" width="15.42578125" style="25" customWidth="1"/>
    <col min="7172" max="7175" width="10.42578125" style="25" customWidth="1"/>
    <col min="7176" max="7177" width="12.42578125" style="25" customWidth="1"/>
    <col min="7178" max="7178" width="15.42578125" style="25" customWidth="1"/>
    <col min="7179" max="7179" width="40.42578125" style="25" customWidth="1"/>
    <col min="7180" max="7180" width="15.42578125" style="25" customWidth="1"/>
    <col min="7181" max="7424" width="8.85546875" style="25"/>
    <col min="7425" max="7425" width="10.42578125" style="25" customWidth="1"/>
    <col min="7426" max="7426" width="50.42578125" style="25" customWidth="1"/>
    <col min="7427" max="7427" width="15.42578125" style="25" customWidth="1"/>
    <col min="7428" max="7431" width="10.42578125" style="25" customWidth="1"/>
    <col min="7432" max="7433" width="12.42578125" style="25" customWidth="1"/>
    <col min="7434" max="7434" width="15.42578125" style="25" customWidth="1"/>
    <col min="7435" max="7435" width="40.42578125" style="25" customWidth="1"/>
    <col min="7436" max="7436" width="15.42578125" style="25" customWidth="1"/>
    <col min="7437" max="7680" width="8.85546875" style="25"/>
    <col min="7681" max="7681" width="10.42578125" style="25" customWidth="1"/>
    <col min="7682" max="7682" width="50.42578125" style="25" customWidth="1"/>
    <col min="7683" max="7683" width="15.42578125" style="25" customWidth="1"/>
    <col min="7684" max="7687" width="10.42578125" style="25" customWidth="1"/>
    <col min="7688" max="7689" width="12.42578125" style="25" customWidth="1"/>
    <col min="7690" max="7690" width="15.42578125" style="25" customWidth="1"/>
    <col min="7691" max="7691" width="40.42578125" style="25" customWidth="1"/>
    <col min="7692" max="7692" width="15.42578125" style="25" customWidth="1"/>
    <col min="7693" max="7936" width="8.85546875" style="25"/>
    <col min="7937" max="7937" width="10.42578125" style="25" customWidth="1"/>
    <col min="7938" max="7938" width="50.42578125" style="25" customWidth="1"/>
    <col min="7939" max="7939" width="15.42578125" style="25" customWidth="1"/>
    <col min="7940" max="7943" width="10.42578125" style="25" customWidth="1"/>
    <col min="7944" max="7945" width="12.42578125" style="25" customWidth="1"/>
    <col min="7946" max="7946" width="15.42578125" style="25" customWidth="1"/>
    <col min="7947" max="7947" width="40.42578125" style="25" customWidth="1"/>
    <col min="7948" max="7948" width="15.42578125" style="25" customWidth="1"/>
    <col min="7949" max="8192" width="8.85546875" style="25"/>
    <col min="8193" max="8193" width="10.42578125" style="25" customWidth="1"/>
    <col min="8194" max="8194" width="50.42578125" style="25" customWidth="1"/>
    <col min="8195" max="8195" width="15.42578125" style="25" customWidth="1"/>
    <col min="8196" max="8199" width="10.42578125" style="25" customWidth="1"/>
    <col min="8200" max="8201" width="12.42578125" style="25" customWidth="1"/>
    <col min="8202" max="8202" width="15.42578125" style="25" customWidth="1"/>
    <col min="8203" max="8203" width="40.42578125" style="25" customWidth="1"/>
    <col min="8204" max="8204" width="15.42578125" style="25" customWidth="1"/>
    <col min="8205" max="8448" width="8.85546875" style="25"/>
    <col min="8449" max="8449" width="10.42578125" style="25" customWidth="1"/>
    <col min="8450" max="8450" width="50.42578125" style="25" customWidth="1"/>
    <col min="8451" max="8451" width="15.42578125" style="25" customWidth="1"/>
    <col min="8452" max="8455" width="10.42578125" style="25" customWidth="1"/>
    <col min="8456" max="8457" width="12.42578125" style="25" customWidth="1"/>
    <col min="8458" max="8458" width="15.42578125" style="25" customWidth="1"/>
    <col min="8459" max="8459" width="40.42578125" style="25" customWidth="1"/>
    <col min="8460" max="8460" width="15.42578125" style="25" customWidth="1"/>
    <col min="8461" max="8704" width="8.85546875" style="25"/>
    <col min="8705" max="8705" width="10.42578125" style="25" customWidth="1"/>
    <col min="8706" max="8706" width="50.42578125" style="25" customWidth="1"/>
    <col min="8707" max="8707" width="15.42578125" style="25" customWidth="1"/>
    <col min="8708" max="8711" width="10.42578125" style="25" customWidth="1"/>
    <col min="8712" max="8713" width="12.42578125" style="25" customWidth="1"/>
    <col min="8714" max="8714" width="15.42578125" style="25" customWidth="1"/>
    <col min="8715" max="8715" width="40.42578125" style="25" customWidth="1"/>
    <col min="8716" max="8716" width="15.42578125" style="25" customWidth="1"/>
    <col min="8717" max="8960" width="8.85546875" style="25"/>
    <col min="8961" max="8961" width="10.42578125" style="25" customWidth="1"/>
    <col min="8962" max="8962" width="50.42578125" style="25" customWidth="1"/>
    <col min="8963" max="8963" width="15.42578125" style="25" customWidth="1"/>
    <col min="8964" max="8967" width="10.42578125" style="25" customWidth="1"/>
    <col min="8968" max="8969" width="12.42578125" style="25" customWidth="1"/>
    <col min="8970" max="8970" width="15.42578125" style="25" customWidth="1"/>
    <col min="8971" max="8971" width="40.42578125" style="25" customWidth="1"/>
    <col min="8972" max="8972" width="15.42578125" style="25" customWidth="1"/>
    <col min="8973" max="9216" width="8.85546875" style="25"/>
    <col min="9217" max="9217" width="10.42578125" style="25" customWidth="1"/>
    <col min="9218" max="9218" width="50.42578125" style="25" customWidth="1"/>
    <col min="9219" max="9219" width="15.42578125" style="25" customWidth="1"/>
    <col min="9220" max="9223" width="10.42578125" style="25" customWidth="1"/>
    <col min="9224" max="9225" width="12.42578125" style="25" customWidth="1"/>
    <col min="9226" max="9226" width="15.42578125" style="25" customWidth="1"/>
    <col min="9227" max="9227" width="40.42578125" style="25" customWidth="1"/>
    <col min="9228" max="9228" width="15.42578125" style="25" customWidth="1"/>
    <col min="9229" max="9472" width="8.85546875" style="25"/>
    <col min="9473" max="9473" width="10.42578125" style="25" customWidth="1"/>
    <col min="9474" max="9474" width="50.42578125" style="25" customWidth="1"/>
    <col min="9475" max="9475" width="15.42578125" style="25" customWidth="1"/>
    <col min="9476" max="9479" width="10.42578125" style="25" customWidth="1"/>
    <col min="9480" max="9481" width="12.42578125" style="25" customWidth="1"/>
    <col min="9482" max="9482" width="15.42578125" style="25" customWidth="1"/>
    <col min="9483" max="9483" width="40.42578125" style="25" customWidth="1"/>
    <col min="9484" max="9484" width="15.42578125" style="25" customWidth="1"/>
    <col min="9485" max="9728" width="8.85546875" style="25"/>
    <col min="9729" max="9729" width="10.42578125" style="25" customWidth="1"/>
    <col min="9730" max="9730" width="50.42578125" style="25" customWidth="1"/>
    <col min="9731" max="9731" width="15.42578125" style="25" customWidth="1"/>
    <col min="9732" max="9735" width="10.42578125" style="25" customWidth="1"/>
    <col min="9736" max="9737" width="12.42578125" style="25" customWidth="1"/>
    <col min="9738" max="9738" width="15.42578125" style="25" customWidth="1"/>
    <col min="9739" max="9739" width="40.42578125" style="25" customWidth="1"/>
    <col min="9740" max="9740" width="15.42578125" style="25" customWidth="1"/>
    <col min="9741" max="9984" width="8.85546875" style="25"/>
    <col min="9985" max="9985" width="10.42578125" style="25" customWidth="1"/>
    <col min="9986" max="9986" width="50.42578125" style="25" customWidth="1"/>
    <col min="9987" max="9987" width="15.42578125" style="25" customWidth="1"/>
    <col min="9988" max="9991" width="10.42578125" style="25" customWidth="1"/>
    <col min="9992" max="9993" width="12.42578125" style="25" customWidth="1"/>
    <col min="9994" max="9994" width="15.42578125" style="25" customWidth="1"/>
    <col min="9995" max="9995" width="40.42578125" style="25" customWidth="1"/>
    <col min="9996" max="9996" width="15.42578125" style="25" customWidth="1"/>
    <col min="9997" max="10240" width="8.85546875" style="25"/>
    <col min="10241" max="10241" width="10.42578125" style="25" customWidth="1"/>
    <col min="10242" max="10242" width="50.42578125" style="25" customWidth="1"/>
    <col min="10243" max="10243" width="15.42578125" style="25" customWidth="1"/>
    <col min="10244" max="10247" width="10.42578125" style="25" customWidth="1"/>
    <col min="10248" max="10249" width="12.42578125" style="25" customWidth="1"/>
    <col min="10250" max="10250" width="15.42578125" style="25" customWidth="1"/>
    <col min="10251" max="10251" width="40.42578125" style="25" customWidth="1"/>
    <col min="10252" max="10252" width="15.42578125" style="25" customWidth="1"/>
    <col min="10253" max="10496" width="8.85546875" style="25"/>
    <col min="10497" max="10497" width="10.42578125" style="25" customWidth="1"/>
    <col min="10498" max="10498" width="50.42578125" style="25" customWidth="1"/>
    <col min="10499" max="10499" width="15.42578125" style="25" customWidth="1"/>
    <col min="10500" max="10503" width="10.42578125" style="25" customWidth="1"/>
    <col min="10504" max="10505" width="12.42578125" style="25" customWidth="1"/>
    <col min="10506" max="10506" width="15.42578125" style="25" customWidth="1"/>
    <col min="10507" max="10507" width="40.42578125" style="25" customWidth="1"/>
    <col min="10508" max="10508" width="15.42578125" style="25" customWidth="1"/>
    <col min="10509" max="10752" width="8.85546875" style="25"/>
    <col min="10753" max="10753" width="10.42578125" style="25" customWidth="1"/>
    <col min="10754" max="10754" width="50.42578125" style="25" customWidth="1"/>
    <col min="10755" max="10755" width="15.42578125" style="25" customWidth="1"/>
    <col min="10756" max="10759" width="10.42578125" style="25" customWidth="1"/>
    <col min="10760" max="10761" width="12.42578125" style="25" customWidth="1"/>
    <col min="10762" max="10762" width="15.42578125" style="25" customWidth="1"/>
    <col min="10763" max="10763" width="40.42578125" style="25" customWidth="1"/>
    <col min="10764" max="10764" width="15.42578125" style="25" customWidth="1"/>
    <col min="10765" max="11008" width="8.85546875" style="25"/>
    <col min="11009" max="11009" width="10.42578125" style="25" customWidth="1"/>
    <col min="11010" max="11010" width="50.42578125" style="25" customWidth="1"/>
    <col min="11011" max="11011" width="15.42578125" style="25" customWidth="1"/>
    <col min="11012" max="11015" width="10.42578125" style="25" customWidth="1"/>
    <col min="11016" max="11017" width="12.42578125" style="25" customWidth="1"/>
    <col min="11018" max="11018" width="15.42578125" style="25" customWidth="1"/>
    <col min="11019" max="11019" width="40.42578125" style="25" customWidth="1"/>
    <col min="11020" max="11020" width="15.42578125" style="25" customWidth="1"/>
    <col min="11021" max="11264" width="8.85546875" style="25"/>
    <col min="11265" max="11265" width="10.42578125" style="25" customWidth="1"/>
    <col min="11266" max="11266" width="50.42578125" style="25" customWidth="1"/>
    <col min="11267" max="11267" width="15.42578125" style="25" customWidth="1"/>
    <col min="11268" max="11271" width="10.42578125" style="25" customWidth="1"/>
    <col min="11272" max="11273" width="12.42578125" style="25" customWidth="1"/>
    <col min="11274" max="11274" width="15.42578125" style="25" customWidth="1"/>
    <col min="11275" max="11275" width="40.42578125" style="25" customWidth="1"/>
    <col min="11276" max="11276" width="15.42578125" style="25" customWidth="1"/>
    <col min="11277" max="11520" width="8.85546875" style="25"/>
    <col min="11521" max="11521" width="10.42578125" style="25" customWidth="1"/>
    <col min="11522" max="11522" width="50.42578125" style="25" customWidth="1"/>
    <col min="11523" max="11523" width="15.42578125" style="25" customWidth="1"/>
    <col min="11524" max="11527" width="10.42578125" style="25" customWidth="1"/>
    <col min="11528" max="11529" width="12.42578125" style="25" customWidth="1"/>
    <col min="11530" max="11530" width="15.42578125" style="25" customWidth="1"/>
    <col min="11531" max="11531" width="40.42578125" style="25" customWidth="1"/>
    <col min="11532" max="11532" width="15.42578125" style="25" customWidth="1"/>
    <col min="11533" max="11776" width="8.85546875" style="25"/>
    <col min="11777" max="11777" width="10.42578125" style="25" customWidth="1"/>
    <col min="11778" max="11778" width="50.42578125" style="25" customWidth="1"/>
    <col min="11779" max="11779" width="15.42578125" style="25" customWidth="1"/>
    <col min="11780" max="11783" width="10.42578125" style="25" customWidth="1"/>
    <col min="11784" max="11785" width="12.42578125" style="25" customWidth="1"/>
    <col min="11786" max="11786" width="15.42578125" style="25" customWidth="1"/>
    <col min="11787" max="11787" width="40.42578125" style="25" customWidth="1"/>
    <col min="11788" max="11788" width="15.42578125" style="25" customWidth="1"/>
    <col min="11789" max="12032" width="8.85546875" style="25"/>
    <col min="12033" max="12033" width="10.42578125" style="25" customWidth="1"/>
    <col min="12034" max="12034" width="50.42578125" style="25" customWidth="1"/>
    <col min="12035" max="12035" width="15.42578125" style="25" customWidth="1"/>
    <col min="12036" max="12039" width="10.42578125" style="25" customWidth="1"/>
    <col min="12040" max="12041" width="12.42578125" style="25" customWidth="1"/>
    <col min="12042" max="12042" width="15.42578125" style="25" customWidth="1"/>
    <col min="12043" max="12043" width="40.42578125" style="25" customWidth="1"/>
    <col min="12044" max="12044" width="15.42578125" style="25" customWidth="1"/>
    <col min="12045" max="12288" width="8.85546875" style="25"/>
    <col min="12289" max="12289" width="10.42578125" style="25" customWidth="1"/>
    <col min="12290" max="12290" width="50.42578125" style="25" customWidth="1"/>
    <col min="12291" max="12291" width="15.42578125" style="25" customWidth="1"/>
    <col min="12292" max="12295" width="10.42578125" style="25" customWidth="1"/>
    <col min="12296" max="12297" width="12.42578125" style="25" customWidth="1"/>
    <col min="12298" max="12298" width="15.42578125" style="25" customWidth="1"/>
    <col min="12299" max="12299" width="40.42578125" style="25" customWidth="1"/>
    <col min="12300" max="12300" width="15.42578125" style="25" customWidth="1"/>
    <col min="12301" max="12544" width="8.85546875" style="25"/>
    <col min="12545" max="12545" width="10.42578125" style="25" customWidth="1"/>
    <col min="12546" max="12546" width="50.42578125" style="25" customWidth="1"/>
    <col min="12547" max="12547" width="15.42578125" style="25" customWidth="1"/>
    <col min="12548" max="12551" width="10.42578125" style="25" customWidth="1"/>
    <col min="12552" max="12553" width="12.42578125" style="25" customWidth="1"/>
    <col min="12554" max="12554" width="15.42578125" style="25" customWidth="1"/>
    <col min="12555" max="12555" width="40.42578125" style="25" customWidth="1"/>
    <col min="12556" max="12556" width="15.42578125" style="25" customWidth="1"/>
    <col min="12557" max="12800" width="8.85546875" style="25"/>
    <col min="12801" max="12801" width="10.42578125" style="25" customWidth="1"/>
    <col min="12802" max="12802" width="50.42578125" style="25" customWidth="1"/>
    <col min="12803" max="12803" width="15.42578125" style="25" customWidth="1"/>
    <col min="12804" max="12807" width="10.42578125" style="25" customWidth="1"/>
    <col min="12808" max="12809" width="12.42578125" style="25" customWidth="1"/>
    <col min="12810" max="12810" width="15.42578125" style="25" customWidth="1"/>
    <col min="12811" max="12811" width="40.42578125" style="25" customWidth="1"/>
    <col min="12812" max="12812" width="15.42578125" style="25" customWidth="1"/>
    <col min="12813" max="13056" width="8.85546875" style="25"/>
    <col min="13057" max="13057" width="10.42578125" style="25" customWidth="1"/>
    <col min="13058" max="13058" width="50.42578125" style="25" customWidth="1"/>
    <col min="13059" max="13059" width="15.42578125" style="25" customWidth="1"/>
    <col min="13060" max="13063" width="10.42578125" style="25" customWidth="1"/>
    <col min="13064" max="13065" width="12.42578125" style="25" customWidth="1"/>
    <col min="13066" max="13066" width="15.42578125" style="25" customWidth="1"/>
    <col min="13067" max="13067" width="40.42578125" style="25" customWidth="1"/>
    <col min="13068" max="13068" width="15.42578125" style="25" customWidth="1"/>
    <col min="13069" max="13312" width="8.85546875" style="25"/>
    <col min="13313" max="13313" width="10.42578125" style="25" customWidth="1"/>
    <col min="13314" max="13314" width="50.42578125" style="25" customWidth="1"/>
    <col min="13315" max="13315" width="15.42578125" style="25" customWidth="1"/>
    <col min="13316" max="13319" width="10.42578125" style="25" customWidth="1"/>
    <col min="13320" max="13321" width="12.42578125" style="25" customWidth="1"/>
    <col min="13322" max="13322" width="15.42578125" style="25" customWidth="1"/>
    <col min="13323" max="13323" width="40.42578125" style="25" customWidth="1"/>
    <col min="13324" max="13324" width="15.42578125" style="25" customWidth="1"/>
    <col min="13325" max="13568" width="8.85546875" style="25"/>
    <col min="13569" max="13569" width="10.42578125" style="25" customWidth="1"/>
    <col min="13570" max="13570" width="50.42578125" style="25" customWidth="1"/>
    <col min="13571" max="13571" width="15.42578125" style="25" customWidth="1"/>
    <col min="13572" max="13575" width="10.42578125" style="25" customWidth="1"/>
    <col min="13576" max="13577" width="12.42578125" style="25" customWidth="1"/>
    <col min="13578" max="13578" width="15.42578125" style="25" customWidth="1"/>
    <col min="13579" max="13579" width="40.42578125" style="25" customWidth="1"/>
    <col min="13580" max="13580" width="15.42578125" style="25" customWidth="1"/>
    <col min="13581" max="13824" width="8.85546875" style="25"/>
    <col min="13825" max="13825" width="10.42578125" style="25" customWidth="1"/>
    <col min="13826" max="13826" width="50.42578125" style="25" customWidth="1"/>
    <col min="13827" max="13827" width="15.42578125" style="25" customWidth="1"/>
    <col min="13828" max="13831" width="10.42578125" style="25" customWidth="1"/>
    <col min="13832" max="13833" width="12.42578125" style="25" customWidth="1"/>
    <col min="13834" max="13834" width="15.42578125" style="25" customWidth="1"/>
    <col min="13835" max="13835" width="40.42578125" style="25" customWidth="1"/>
    <col min="13836" max="13836" width="15.42578125" style="25" customWidth="1"/>
    <col min="13837" max="14080" width="8.85546875" style="25"/>
    <col min="14081" max="14081" width="10.42578125" style="25" customWidth="1"/>
    <col min="14082" max="14082" width="50.42578125" style="25" customWidth="1"/>
    <col min="14083" max="14083" width="15.42578125" style="25" customWidth="1"/>
    <col min="14084" max="14087" width="10.42578125" style="25" customWidth="1"/>
    <col min="14088" max="14089" width="12.42578125" style="25" customWidth="1"/>
    <col min="14090" max="14090" width="15.42578125" style="25" customWidth="1"/>
    <col min="14091" max="14091" width="40.42578125" style="25" customWidth="1"/>
    <col min="14092" max="14092" width="15.42578125" style="25" customWidth="1"/>
    <col min="14093" max="14336" width="8.85546875" style="25"/>
    <col min="14337" max="14337" width="10.42578125" style="25" customWidth="1"/>
    <col min="14338" max="14338" width="50.42578125" style="25" customWidth="1"/>
    <col min="14339" max="14339" width="15.42578125" style="25" customWidth="1"/>
    <col min="14340" max="14343" width="10.42578125" style="25" customWidth="1"/>
    <col min="14344" max="14345" width="12.42578125" style="25" customWidth="1"/>
    <col min="14346" max="14346" width="15.42578125" style="25" customWidth="1"/>
    <col min="14347" max="14347" width="40.42578125" style="25" customWidth="1"/>
    <col min="14348" max="14348" width="15.42578125" style="25" customWidth="1"/>
    <col min="14349" max="14592" width="8.85546875" style="25"/>
    <col min="14593" max="14593" width="10.42578125" style="25" customWidth="1"/>
    <col min="14594" max="14594" width="50.42578125" style="25" customWidth="1"/>
    <col min="14595" max="14595" width="15.42578125" style="25" customWidth="1"/>
    <col min="14596" max="14599" width="10.42578125" style="25" customWidth="1"/>
    <col min="14600" max="14601" width="12.42578125" style="25" customWidth="1"/>
    <col min="14602" max="14602" width="15.42578125" style="25" customWidth="1"/>
    <col min="14603" max="14603" width="40.42578125" style="25" customWidth="1"/>
    <col min="14604" max="14604" width="15.42578125" style="25" customWidth="1"/>
    <col min="14605" max="14848" width="8.85546875" style="25"/>
    <col min="14849" max="14849" width="10.42578125" style="25" customWidth="1"/>
    <col min="14850" max="14850" width="50.42578125" style="25" customWidth="1"/>
    <col min="14851" max="14851" width="15.42578125" style="25" customWidth="1"/>
    <col min="14852" max="14855" width="10.42578125" style="25" customWidth="1"/>
    <col min="14856" max="14857" width="12.42578125" style="25" customWidth="1"/>
    <col min="14858" max="14858" width="15.42578125" style="25" customWidth="1"/>
    <col min="14859" max="14859" width="40.42578125" style="25" customWidth="1"/>
    <col min="14860" max="14860" width="15.42578125" style="25" customWidth="1"/>
    <col min="14861" max="15104" width="8.85546875" style="25"/>
    <col min="15105" max="15105" width="10.42578125" style="25" customWidth="1"/>
    <col min="15106" max="15106" width="50.42578125" style="25" customWidth="1"/>
    <col min="15107" max="15107" width="15.42578125" style="25" customWidth="1"/>
    <col min="15108" max="15111" width="10.42578125" style="25" customWidth="1"/>
    <col min="15112" max="15113" width="12.42578125" style="25" customWidth="1"/>
    <col min="15114" max="15114" width="15.42578125" style="25" customWidth="1"/>
    <col min="15115" max="15115" width="40.42578125" style="25" customWidth="1"/>
    <col min="15116" max="15116" width="15.42578125" style="25" customWidth="1"/>
    <col min="15117" max="15360" width="8.85546875" style="25"/>
    <col min="15361" max="15361" width="10.42578125" style="25" customWidth="1"/>
    <col min="15362" max="15362" width="50.42578125" style="25" customWidth="1"/>
    <col min="15363" max="15363" width="15.42578125" style="25" customWidth="1"/>
    <col min="15364" max="15367" width="10.42578125" style="25" customWidth="1"/>
    <col min="15368" max="15369" width="12.42578125" style="25" customWidth="1"/>
    <col min="15370" max="15370" width="15.42578125" style="25" customWidth="1"/>
    <col min="15371" max="15371" width="40.42578125" style="25" customWidth="1"/>
    <col min="15372" max="15372" width="15.42578125" style="25" customWidth="1"/>
    <col min="15373" max="15616" width="8.85546875" style="25"/>
    <col min="15617" max="15617" width="10.42578125" style="25" customWidth="1"/>
    <col min="15618" max="15618" width="50.42578125" style="25" customWidth="1"/>
    <col min="15619" max="15619" width="15.42578125" style="25" customWidth="1"/>
    <col min="15620" max="15623" width="10.42578125" style="25" customWidth="1"/>
    <col min="15624" max="15625" width="12.42578125" style="25" customWidth="1"/>
    <col min="15626" max="15626" width="15.42578125" style="25" customWidth="1"/>
    <col min="15627" max="15627" width="40.42578125" style="25" customWidth="1"/>
    <col min="15628" max="15628" width="15.42578125" style="25" customWidth="1"/>
    <col min="15629" max="15872" width="8.85546875" style="25"/>
    <col min="15873" max="15873" width="10.42578125" style="25" customWidth="1"/>
    <col min="15874" max="15874" width="50.42578125" style="25" customWidth="1"/>
    <col min="15875" max="15875" width="15.42578125" style="25" customWidth="1"/>
    <col min="15876" max="15879" width="10.42578125" style="25" customWidth="1"/>
    <col min="15880" max="15881" width="12.42578125" style="25" customWidth="1"/>
    <col min="15882" max="15882" width="15.42578125" style="25" customWidth="1"/>
    <col min="15883" max="15883" width="40.42578125" style="25" customWidth="1"/>
    <col min="15884" max="15884" width="15.42578125" style="25" customWidth="1"/>
    <col min="15885" max="16128" width="8.85546875" style="25"/>
    <col min="16129" max="16129" width="10.42578125" style="25" customWidth="1"/>
    <col min="16130" max="16130" width="50.42578125" style="25" customWidth="1"/>
    <col min="16131" max="16131" width="15.42578125" style="25" customWidth="1"/>
    <col min="16132" max="16135" width="10.42578125" style="25" customWidth="1"/>
    <col min="16136" max="16137" width="12.42578125" style="25" customWidth="1"/>
    <col min="16138" max="16138" width="15.42578125" style="25" customWidth="1"/>
    <col min="16139" max="16139" width="40.42578125" style="25" customWidth="1"/>
    <col min="16140" max="16140" width="15.42578125" style="25" customWidth="1"/>
    <col min="16141" max="16384" width="8.85546875" style="25"/>
  </cols>
  <sheetData>
    <row r="1" spans="1:12" ht="69.95" customHeight="1" thickBot="1" x14ac:dyDescent="0.25">
      <c r="A1" s="959" t="s">
        <v>842</v>
      </c>
      <c r="B1" s="960"/>
      <c r="C1" s="960"/>
      <c r="D1" s="960"/>
      <c r="E1" s="960"/>
      <c r="F1" s="960"/>
      <c r="G1" s="960"/>
      <c r="H1" s="960"/>
      <c r="I1" s="960"/>
      <c r="J1" s="960"/>
      <c r="K1" s="961"/>
      <c r="L1" s="6"/>
    </row>
    <row r="2" spans="1:12" s="493" customFormat="1" ht="15.95" customHeight="1" thickTop="1" x14ac:dyDescent="0.25">
      <c r="A2" s="570" t="s">
        <v>1019</v>
      </c>
      <c r="B2" s="437">
        <f>Resources!C13</f>
        <v>0</v>
      </c>
      <c r="C2" s="571" t="s">
        <v>776</v>
      </c>
      <c r="D2" s="573">
        <f ca="1">COUNTIF($J$9:$J$168,"Deliverable Still In Progress")</f>
        <v>16</v>
      </c>
      <c r="E2" s="574"/>
      <c r="F2" s="567"/>
      <c r="G2" s="568"/>
      <c r="H2" s="540"/>
      <c r="I2" s="569"/>
      <c r="J2" s="540"/>
      <c r="K2" s="505"/>
      <c r="L2" s="492"/>
    </row>
    <row r="3" spans="1:12" s="493" customFormat="1" ht="15.95" customHeight="1" x14ac:dyDescent="0.25">
      <c r="A3" s="570" t="s">
        <v>1020</v>
      </c>
      <c r="B3" s="437">
        <f>Resources!E13</f>
        <v>0</v>
      </c>
      <c r="C3" s="571" t="s">
        <v>777</v>
      </c>
      <c r="D3" s="573">
        <f ca="1">COUNTIF($J$9:$J$168,"Deliverable Completed")</f>
        <v>0</v>
      </c>
      <c r="E3" s="449">
        <f ca="1">D3/D6</f>
        <v>0</v>
      </c>
      <c r="F3" s="567"/>
      <c r="G3" s="568"/>
      <c r="H3" s="540"/>
      <c r="I3" s="569"/>
      <c r="J3" s="540"/>
      <c r="K3" s="505"/>
      <c r="L3" s="492"/>
    </row>
    <row r="4" spans="1:12" s="493" customFormat="1" ht="15.95" customHeight="1" x14ac:dyDescent="0.25">
      <c r="A4" s="570" t="s">
        <v>1021</v>
      </c>
      <c r="B4" s="450"/>
      <c r="C4" s="571" t="s">
        <v>778</v>
      </c>
      <c r="D4" s="573">
        <f ca="1">D7-COUNTIF($J$9:$J$168,"completed")</f>
        <v>99</v>
      </c>
      <c r="E4" s="574"/>
      <c r="F4" s="567"/>
      <c r="G4" s="568"/>
      <c r="H4" s="540"/>
      <c r="I4" s="569"/>
      <c r="J4" s="540"/>
      <c r="K4" s="505"/>
      <c r="L4" s="492"/>
    </row>
    <row r="5" spans="1:12" s="493" customFormat="1" ht="15.95" customHeight="1" x14ac:dyDescent="0.25">
      <c r="A5" s="570"/>
      <c r="B5" s="450"/>
      <c r="C5" s="572" t="s">
        <v>779</v>
      </c>
      <c r="D5" s="573">
        <f ca="1">D7-D4</f>
        <v>0</v>
      </c>
      <c r="E5" s="449">
        <f ca="1">D5/D7</f>
        <v>0</v>
      </c>
      <c r="F5" s="567"/>
      <c r="G5" s="568"/>
      <c r="H5" s="540"/>
      <c r="I5" s="569"/>
      <c r="J5" s="540"/>
      <c r="K5" s="505"/>
      <c r="L5" s="492"/>
    </row>
    <row r="6" spans="1:12" s="493" customFormat="1" ht="15.95" customHeight="1" thickBot="1" x14ac:dyDescent="0.3">
      <c r="A6" s="570"/>
      <c r="B6" s="450"/>
      <c r="C6" s="572" t="s">
        <v>780</v>
      </c>
      <c r="D6" s="573">
        <f ca="1">D2+D3</f>
        <v>16</v>
      </c>
      <c r="E6" s="449"/>
      <c r="F6" s="567"/>
      <c r="G6" s="568"/>
      <c r="H6" s="540"/>
      <c r="I6" s="569"/>
      <c r="J6" s="540"/>
      <c r="K6" s="505"/>
      <c r="L6" s="492"/>
    </row>
    <row r="7" spans="1:12" s="493" customFormat="1" ht="15.95" customHeight="1" thickBot="1" x14ac:dyDescent="0.3">
      <c r="A7" s="566"/>
      <c r="B7" s="506"/>
      <c r="C7" s="572" t="s">
        <v>781</v>
      </c>
      <c r="D7" s="573">
        <f ca="1">COUNTA(B9:B156)-D6</f>
        <v>99</v>
      </c>
      <c r="E7" s="449"/>
      <c r="F7" s="544" t="s">
        <v>1017</v>
      </c>
      <c r="G7" s="568"/>
      <c r="H7" s="540"/>
      <c r="I7" s="569"/>
      <c r="J7" s="544" t="s">
        <v>1017</v>
      </c>
      <c r="K7" s="505"/>
      <c r="L7" s="492"/>
    </row>
    <row r="8" spans="1:12" s="127" customFormat="1" ht="47.25" x14ac:dyDescent="0.25">
      <c r="A8" s="352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529" t="s">
        <v>53</v>
      </c>
      <c r="H8" s="496" t="s">
        <v>95</v>
      </c>
      <c r="I8" s="496" t="s">
        <v>54</v>
      </c>
      <c r="J8" s="528" t="s">
        <v>55</v>
      </c>
      <c r="K8" s="356" t="s">
        <v>56</v>
      </c>
      <c r="L8" s="126"/>
    </row>
    <row r="9" spans="1:12" ht="15" x14ac:dyDescent="0.2">
      <c r="A9" s="986" t="s">
        <v>966</v>
      </c>
      <c r="B9" s="520" t="s">
        <v>1001</v>
      </c>
      <c r="C9" s="145"/>
      <c r="D9" s="184"/>
      <c r="E9" s="184"/>
      <c r="F9" s="614">
        <f t="shared" ref="F9:F40" ca="1" si="0">IF(ISBLANK(G9),IF(ISERROR(DAYS360(TODAY(),E9))," ",(DAYS360(TODAY(),E9))),E9-G9)</f>
        <v>-43388</v>
      </c>
      <c r="G9" s="154"/>
      <c r="H9" s="173"/>
      <c r="I9" s="145"/>
      <c r="J9" s="138" t="str">
        <f ca="1">IF(AND(J10="completed",J11="completed",J12="completed"),"Deliverable Completed","DELIVERABLE STILL IN PROGRESS")</f>
        <v>DELIVERABLE STILL IN PROGRESS</v>
      </c>
      <c r="K9" s="107"/>
    </row>
    <row r="10" spans="1:12" ht="15" x14ac:dyDescent="0.2">
      <c r="A10" s="987"/>
      <c r="B10" s="146" t="s">
        <v>967</v>
      </c>
      <c r="C10" s="39"/>
      <c r="D10" s="187"/>
      <c r="E10" s="187"/>
      <c r="F10" s="615">
        <f t="shared" ca="1" si="0"/>
        <v>-43388</v>
      </c>
      <c r="G10" s="200"/>
      <c r="H10" s="38"/>
      <c r="I10" s="39"/>
      <c r="J10" s="40" t="str">
        <f ca="1">IF(G10&gt;0,"COMPLETED",(IF(I10&gt;0,"ISSUE IDENTIFIED",(IF(TODAY()&gt;E10,"OVERDUE","In Progress")))))</f>
        <v>OVERDUE</v>
      </c>
      <c r="K10" s="256"/>
    </row>
    <row r="11" spans="1:12" ht="15" x14ac:dyDescent="0.2">
      <c r="A11" s="987"/>
      <c r="B11" s="146" t="s">
        <v>968</v>
      </c>
      <c r="C11" s="39"/>
      <c r="D11" s="187"/>
      <c r="E11" s="187"/>
      <c r="F11" s="615">
        <f t="shared" ca="1" si="0"/>
        <v>-43388</v>
      </c>
      <c r="G11" s="200"/>
      <c r="H11" s="38"/>
      <c r="I11" s="39"/>
      <c r="J11" s="40" t="str">
        <f ca="1">IF(G11&gt;0,"COMPLETED",(IF(I11&gt;0,"ISSUE IDENTIFIED",(IF(TODAY()&gt;E11,"OVERDUE","In Progress")))))</f>
        <v>OVERDUE</v>
      </c>
      <c r="K11" s="256"/>
    </row>
    <row r="12" spans="1:12" ht="15" x14ac:dyDescent="0.2">
      <c r="A12" s="987"/>
      <c r="B12" s="146" t="s">
        <v>969</v>
      </c>
      <c r="C12" s="39"/>
      <c r="D12" s="187"/>
      <c r="E12" s="187"/>
      <c r="F12" s="615">
        <f t="shared" ca="1" si="0"/>
        <v>-43388</v>
      </c>
      <c r="G12" s="200"/>
      <c r="H12" s="38"/>
      <c r="I12" s="39"/>
      <c r="J12" s="40" t="str">
        <f ca="1">IF(G12&gt;0,"COMPLETED",(IF(I12&gt;0,"ISSUE IDENTIFIED",(IF(TODAY()&gt;E12,"OVERDUE","In Progress")))))</f>
        <v>OVERDUE</v>
      </c>
      <c r="K12" s="256"/>
    </row>
    <row r="13" spans="1:12" ht="15" x14ac:dyDescent="0.2">
      <c r="A13" s="987"/>
      <c r="B13" s="582" t="s">
        <v>970</v>
      </c>
      <c r="C13" s="39"/>
      <c r="D13" s="551"/>
      <c r="E13" s="551"/>
      <c r="F13" s="615">
        <f t="shared" ca="1" si="0"/>
        <v>-43388</v>
      </c>
      <c r="G13" s="200"/>
      <c r="H13" s="38"/>
      <c r="I13" s="39"/>
      <c r="J13" s="40" t="str">
        <f ca="1">IF(AND(J14="completed",J15="completed",J16="completed",J17="completed",J18="completed",J19="completed"),"Deliverable Completed","DELIVERABLE STILL IN PROGRESS")</f>
        <v>DELIVERABLE STILL IN PROGRESS</v>
      </c>
      <c r="K13" s="256"/>
    </row>
    <row r="14" spans="1:12" ht="15" x14ac:dyDescent="0.2">
      <c r="A14" s="987"/>
      <c r="B14" s="146" t="s">
        <v>1002</v>
      </c>
      <c r="C14" s="39"/>
      <c r="D14" s="187"/>
      <c r="E14" s="187"/>
      <c r="F14" s="615">
        <f t="shared" ca="1" si="0"/>
        <v>-43388</v>
      </c>
      <c r="G14" s="200"/>
      <c r="H14" s="38"/>
      <c r="I14" s="39"/>
      <c r="J14" s="40" t="str">
        <f ca="1">IF(G14&gt;0,"COMPLETED",(IF(I14&gt;0,"ISSUE IDENTIFIED",(IF(TODAY()&gt;E14,"OVERDUE","In Progress")))))</f>
        <v>OVERDUE</v>
      </c>
      <c r="K14" s="256"/>
    </row>
    <row r="15" spans="1:12" ht="15" x14ac:dyDescent="0.2">
      <c r="A15" s="987"/>
      <c r="B15" s="146" t="s">
        <v>1003</v>
      </c>
      <c r="C15" s="39"/>
      <c r="D15" s="187"/>
      <c r="E15" s="187"/>
      <c r="F15" s="615">
        <f t="shared" ca="1" si="0"/>
        <v>-43388</v>
      </c>
      <c r="G15" s="200"/>
      <c r="H15" s="38"/>
      <c r="I15" s="39"/>
      <c r="J15" s="40" t="str">
        <f ca="1">IF(G15&gt;0,"COMPLETED",(IF(I15&gt;0,"ISSUE IDENTIFIED",(IF(TODAY()&gt;E15,"OVERDUE","In Progress")))))</f>
        <v>OVERDUE</v>
      </c>
      <c r="K15" s="256"/>
    </row>
    <row r="16" spans="1:12" ht="15" x14ac:dyDescent="0.2">
      <c r="A16" s="987"/>
      <c r="B16" s="146" t="s">
        <v>256</v>
      </c>
      <c r="C16" s="39"/>
      <c r="D16" s="187"/>
      <c r="E16" s="187"/>
      <c r="F16" s="615">
        <f t="shared" ca="1" si="0"/>
        <v>-43388</v>
      </c>
      <c r="G16" s="200"/>
      <c r="H16" s="38"/>
      <c r="I16" s="39"/>
      <c r="J16" s="40" t="str">
        <f t="shared" ref="J16:J19" ca="1" si="1">IF(G16&gt;0,"COMPLETED",(IF(I16&gt;0,"ISSUE IDENTIFIED",(IF(TODAY()&gt;E16,"OVERDUE","In Progress")))))</f>
        <v>OVERDUE</v>
      </c>
      <c r="K16" s="256"/>
    </row>
    <row r="17" spans="1:11" ht="15" x14ac:dyDescent="0.2">
      <c r="A17" s="987"/>
      <c r="B17" s="146" t="s">
        <v>257</v>
      </c>
      <c r="C17" s="39"/>
      <c r="D17" s="187"/>
      <c r="E17" s="187"/>
      <c r="F17" s="615">
        <f t="shared" ca="1" si="0"/>
        <v>-43388</v>
      </c>
      <c r="G17" s="200"/>
      <c r="H17" s="38"/>
      <c r="I17" s="39"/>
      <c r="J17" s="40" t="str">
        <f t="shared" ca="1" si="1"/>
        <v>OVERDUE</v>
      </c>
      <c r="K17" s="256"/>
    </row>
    <row r="18" spans="1:11" ht="15" x14ac:dyDescent="0.2">
      <c r="A18" s="987"/>
      <c r="B18" s="146" t="s">
        <v>258</v>
      </c>
      <c r="C18" s="39"/>
      <c r="D18" s="187"/>
      <c r="E18" s="187"/>
      <c r="F18" s="615">
        <f t="shared" ca="1" si="0"/>
        <v>-43388</v>
      </c>
      <c r="G18" s="200"/>
      <c r="H18" s="38"/>
      <c r="I18" s="39"/>
      <c r="J18" s="40" t="str">
        <f t="shared" ca="1" si="1"/>
        <v>OVERDUE</v>
      </c>
      <c r="K18" s="256"/>
    </row>
    <row r="19" spans="1:11" ht="15" x14ac:dyDescent="0.2">
      <c r="A19" s="987"/>
      <c r="B19" s="146" t="s">
        <v>259</v>
      </c>
      <c r="C19" s="39"/>
      <c r="D19" s="187"/>
      <c r="E19" s="187"/>
      <c r="F19" s="615">
        <f t="shared" ca="1" si="0"/>
        <v>-43388</v>
      </c>
      <c r="G19" s="200"/>
      <c r="H19" s="38"/>
      <c r="I19" s="39"/>
      <c r="J19" s="40" t="str">
        <f t="shared" ca="1" si="1"/>
        <v>OVERDUE</v>
      </c>
      <c r="K19" s="256"/>
    </row>
    <row r="20" spans="1:11" ht="14.25" customHeight="1" x14ac:dyDescent="0.2">
      <c r="A20" s="987"/>
      <c r="B20" s="582" t="s">
        <v>971</v>
      </c>
      <c r="C20" s="39"/>
      <c r="D20" s="551"/>
      <c r="E20" s="551"/>
      <c r="F20" s="615">
        <f t="shared" ca="1" si="0"/>
        <v>-43388</v>
      </c>
      <c r="G20" s="200"/>
      <c r="H20" s="38"/>
      <c r="I20" s="39"/>
      <c r="J20" s="40" t="str">
        <f ca="1">IF(AND(J21="completed",J22="completed",J23="completed",J24="completed",J25="completed",J27="completed"),"Deliverable Completed","DELIVERABLE STILL IN PROGRESS")</f>
        <v>DELIVERABLE STILL IN PROGRESS</v>
      </c>
      <c r="K20" s="256"/>
    </row>
    <row r="21" spans="1:11" ht="15" x14ac:dyDescent="0.2">
      <c r="A21" s="987"/>
      <c r="B21" s="146" t="s">
        <v>972</v>
      </c>
      <c r="C21" s="39"/>
      <c r="D21" s="187"/>
      <c r="E21" s="187"/>
      <c r="F21" s="615">
        <f t="shared" ca="1" si="0"/>
        <v>-43388</v>
      </c>
      <c r="G21" s="200"/>
      <c r="H21" s="38"/>
      <c r="I21" s="39"/>
      <c r="J21" s="40" t="str">
        <f t="shared" ref="J21:J27" ca="1" si="2">IF(G21&gt;0,"COMPLETED",(IF(I21&gt;0,"ISSUE IDENTIFIED",(IF(TODAY()&gt;E21,"OVERDUE","In Progress")))))</f>
        <v>OVERDUE</v>
      </c>
      <c r="K21" s="256"/>
    </row>
    <row r="22" spans="1:11" ht="15" x14ac:dyDescent="0.2">
      <c r="A22" s="987"/>
      <c r="B22" s="146" t="s">
        <v>973</v>
      </c>
      <c r="C22" s="39"/>
      <c r="D22" s="187"/>
      <c r="E22" s="187"/>
      <c r="F22" s="615">
        <f t="shared" ca="1" si="0"/>
        <v>-43388</v>
      </c>
      <c r="G22" s="200"/>
      <c r="H22" s="38"/>
      <c r="I22" s="39"/>
      <c r="J22" s="40" t="str">
        <f t="shared" ca="1" si="2"/>
        <v>OVERDUE</v>
      </c>
      <c r="K22" s="256"/>
    </row>
    <row r="23" spans="1:11" ht="15" x14ac:dyDescent="0.2">
      <c r="A23" s="987"/>
      <c r="B23" s="146" t="s">
        <v>1011</v>
      </c>
      <c r="C23" s="39"/>
      <c r="D23" s="187"/>
      <c r="E23" s="187"/>
      <c r="F23" s="615">
        <f t="shared" ca="1" si="0"/>
        <v>-43388</v>
      </c>
      <c r="G23" s="200"/>
      <c r="H23" s="38"/>
      <c r="I23" s="39"/>
      <c r="J23" s="40" t="str">
        <f t="shared" ca="1" si="2"/>
        <v>OVERDUE</v>
      </c>
      <c r="K23" s="256"/>
    </row>
    <row r="24" spans="1:11" ht="15" x14ac:dyDescent="0.2">
      <c r="A24" s="987"/>
      <c r="B24" s="155" t="s">
        <v>974</v>
      </c>
      <c r="C24" s="39"/>
      <c r="D24" s="187"/>
      <c r="E24" s="187"/>
      <c r="F24" s="615">
        <f t="shared" ca="1" si="0"/>
        <v>-43388</v>
      </c>
      <c r="G24" s="200"/>
      <c r="H24" s="38"/>
      <c r="I24" s="39"/>
      <c r="J24" s="40" t="str">
        <f t="shared" ca="1" si="2"/>
        <v>OVERDUE</v>
      </c>
      <c r="K24" s="256"/>
    </row>
    <row r="25" spans="1:11" ht="15" x14ac:dyDescent="0.2">
      <c r="A25" s="987"/>
      <c r="B25" s="146" t="s">
        <v>975</v>
      </c>
      <c r="C25" s="39"/>
      <c r="D25" s="187"/>
      <c r="E25" s="187"/>
      <c r="F25" s="615">
        <f t="shared" ca="1" si="0"/>
        <v>-43388</v>
      </c>
      <c r="G25" s="200"/>
      <c r="H25" s="38"/>
      <c r="I25" s="39"/>
      <c r="J25" s="40" t="str">
        <f t="shared" ca="1" si="2"/>
        <v>OVERDUE</v>
      </c>
      <c r="K25" s="256"/>
    </row>
    <row r="26" spans="1:11" ht="15" x14ac:dyDescent="0.2">
      <c r="A26" s="987"/>
      <c r="B26" s="146" t="s">
        <v>976</v>
      </c>
      <c r="C26" s="39"/>
      <c r="D26" s="187"/>
      <c r="E26" s="187"/>
      <c r="F26" s="615">
        <f t="shared" ca="1" si="0"/>
        <v>-43388</v>
      </c>
      <c r="G26" s="200"/>
      <c r="H26" s="38"/>
      <c r="I26" s="39"/>
      <c r="J26" s="40" t="str">
        <f t="shared" ca="1" si="2"/>
        <v>OVERDUE</v>
      </c>
      <c r="K26" s="256"/>
    </row>
    <row r="27" spans="1:11" ht="15" x14ac:dyDescent="0.2">
      <c r="A27" s="987"/>
      <c r="B27" s="146" t="s">
        <v>977</v>
      </c>
      <c r="C27" s="39"/>
      <c r="D27" s="187"/>
      <c r="E27" s="187"/>
      <c r="F27" s="615">
        <f t="shared" ca="1" si="0"/>
        <v>-43388</v>
      </c>
      <c r="G27" s="200"/>
      <c r="H27" s="38"/>
      <c r="I27" s="39"/>
      <c r="J27" s="40" t="str">
        <f t="shared" ca="1" si="2"/>
        <v>OVERDUE</v>
      </c>
      <c r="K27" s="256"/>
    </row>
    <row r="28" spans="1:11" ht="18" customHeight="1" x14ac:dyDescent="0.2">
      <c r="A28" s="987" t="s">
        <v>262</v>
      </c>
      <c r="B28" s="582" t="s">
        <v>978</v>
      </c>
      <c r="C28" s="39"/>
      <c r="D28" s="551"/>
      <c r="E28" s="551"/>
      <c r="F28" s="615">
        <f t="shared" ca="1" si="0"/>
        <v>-43388</v>
      </c>
      <c r="G28" s="200"/>
      <c r="H28" s="38"/>
      <c r="I28" s="39"/>
      <c r="J28" s="40" t="str">
        <f ca="1">IF(AND(J29="completed",J30="completed",J31="completed"),"Deliverable Completed","DELIVERABLE STILL IN PROGRESS")</f>
        <v>DELIVERABLE STILL IN PROGRESS</v>
      </c>
      <c r="K28" s="256"/>
    </row>
    <row r="29" spans="1:11" ht="18" customHeight="1" x14ac:dyDescent="0.2">
      <c r="A29" s="987"/>
      <c r="B29" s="146" t="s">
        <v>1004</v>
      </c>
      <c r="C29" s="39"/>
      <c r="D29" s="187"/>
      <c r="E29" s="187"/>
      <c r="F29" s="615">
        <f t="shared" ca="1" si="0"/>
        <v>-43388</v>
      </c>
      <c r="G29" s="200"/>
      <c r="H29" s="38"/>
      <c r="I29" s="39"/>
      <c r="J29" s="40" t="str">
        <f ca="1">IF(G29&gt;0,"COMPLETED",(IF(I29&gt;0,"ISSUE IDENTIFIED",(IF(TODAY()&gt;E29,"OVERDUE","In Progress")))))</f>
        <v>OVERDUE</v>
      </c>
      <c r="K29" s="256"/>
    </row>
    <row r="30" spans="1:11" ht="18" customHeight="1" x14ac:dyDescent="0.2">
      <c r="A30" s="987"/>
      <c r="B30" s="146" t="s">
        <v>263</v>
      </c>
      <c r="C30" s="39"/>
      <c r="D30" s="187"/>
      <c r="E30" s="187"/>
      <c r="F30" s="615">
        <f t="shared" ca="1" si="0"/>
        <v>-43388</v>
      </c>
      <c r="G30" s="200"/>
      <c r="H30" s="38"/>
      <c r="I30" s="39"/>
      <c r="J30" s="40" t="str">
        <f ca="1">IF(G30&gt;0,"COMPLETED",(IF(I30&gt;0,"ISSUE IDENTIFIED",(IF(TODAY()&gt;E30,"OVERDUE","In Progress")))))</f>
        <v>OVERDUE</v>
      </c>
      <c r="K30" s="256"/>
    </row>
    <row r="31" spans="1:11" ht="18" customHeight="1" x14ac:dyDescent="0.2">
      <c r="A31" s="987"/>
      <c r="B31" s="146" t="s">
        <v>979</v>
      </c>
      <c r="C31" s="39"/>
      <c r="D31" s="187"/>
      <c r="E31" s="187"/>
      <c r="F31" s="615">
        <f t="shared" ca="1" si="0"/>
        <v>-43388</v>
      </c>
      <c r="G31" s="200"/>
      <c r="H31" s="38"/>
      <c r="I31" s="39"/>
      <c r="J31" s="40" t="str">
        <f ca="1">IF(G31&gt;0,"COMPLETED",(IF(I31&gt;0,"ISSUE IDENTIFIED",(IF(TODAY()&gt;E31,"OVERDUE","In Progress")))))</f>
        <v>OVERDUE</v>
      </c>
      <c r="K31" s="256"/>
    </row>
    <row r="32" spans="1:11" ht="17.25" customHeight="1" x14ac:dyDescent="0.2">
      <c r="A32" s="987" t="s">
        <v>850</v>
      </c>
      <c r="B32" s="582" t="s">
        <v>1005</v>
      </c>
      <c r="C32" s="39"/>
      <c r="D32" s="551"/>
      <c r="E32" s="551"/>
      <c r="F32" s="615">
        <f t="shared" ca="1" si="0"/>
        <v>-43388</v>
      </c>
      <c r="G32" s="200"/>
      <c r="H32" s="38"/>
      <c r="I32" s="39"/>
      <c r="J32" s="40" t="str">
        <f ca="1">IF(AND(J33="completed",J34="completed",J35="completed",J36="completed",J37="completed"),"Deliverable Completed","DELIVERABLE STILL IN PROGRESS")</f>
        <v>DELIVERABLE STILL IN PROGRESS</v>
      </c>
      <c r="K32" s="256"/>
    </row>
    <row r="33" spans="1:11" ht="15" x14ac:dyDescent="0.2">
      <c r="A33" s="987"/>
      <c r="B33" s="146" t="s">
        <v>980</v>
      </c>
      <c r="C33" s="39"/>
      <c r="D33" s="187"/>
      <c r="E33" s="187"/>
      <c r="F33" s="615">
        <f t="shared" ca="1" si="0"/>
        <v>-43388</v>
      </c>
      <c r="G33" s="200"/>
      <c r="H33" s="38"/>
      <c r="I33" s="39"/>
      <c r="J33" s="40" t="str">
        <f ca="1">IF(G33&gt;0,"COMPLETED",(IF(I33&gt;0,"ISSUE IDENTIFIED",(IF(TODAY()&gt;E33,"OVERDUE","In Progress")))))</f>
        <v>OVERDUE</v>
      </c>
      <c r="K33" s="256"/>
    </row>
    <row r="34" spans="1:11" ht="25.5" x14ac:dyDescent="0.2">
      <c r="A34" s="987"/>
      <c r="B34" s="155" t="s">
        <v>981</v>
      </c>
      <c r="C34" s="39"/>
      <c r="D34" s="187"/>
      <c r="E34" s="187"/>
      <c r="F34" s="615">
        <f t="shared" ca="1" si="0"/>
        <v>-43388</v>
      </c>
      <c r="G34" s="200"/>
      <c r="H34" s="38"/>
      <c r="I34" s="39"/>
      <c r="J34" s="40" t="str">
        <f ca="1">IF(G34&gt;0,"COMPLETED",(IF(I34&gt;0,"ISSUE IDENTIFIED",(IF(TODAY()&gt;E34,"OVERDUE","In Progress")))))</f>
        <v>OVERDUE</v>
      </c>
      <c r="K34" s="256"/>
    </row>
    <row r="35" spans="1:11" ht="15" x14ac:dyDescent="0.2">
      <c r="A35" s="987"/>
      <c r="B35" s="155" t="s">
        <v>1006</v>
      </c>
      <c r="C35" s="39"/>
      <c r="D35" s="187"/>
      <c r="E35" s="187"/>
      <c r="F35" s="615">
        <f t="shared" ca="1" si="0"/>
        <v>-43388</v>
      </c>
      <c r="G35" s="200"/>
      <c r="H35" s="38"/>
      <c r="I35" s="39"/>
      <c r="J35" s="40" t="str">
        <f ca="1">IF(G35&gt;0,"COMPLETED",(IF(I35&gt;0,"ISSUE IDENTIFIED",(IF(TODAY()&gt;E35,"OVERDUE","In Progress")))))</f>
        <v>OVERDUE</v>
      </c>
      <c r="K35" s="256"/>
    </row>
    <row r="36" spans="1:11" ht="15" x14ac:dyDescent="0.2">
      <c r="A36" s="987"/>
      <c r="B36" s="146" t="s">
        <v>982</v>
      </c>
      <c r="C36" s="39"/>
      <c r="D36" s="187"/>
      <c r="E36" s="187"/>
      <c r="F36" s="615">
        <f t="shared" ca="1" si="0"/>
        <v>-43388</v>
      </c>
      <c r="G36" s="200"/>
      <c r="H36" s="38"/>
      <c r="I36" s="39"/>
      <c r="J36" s="40" t="str">
        <f ca="1">IF(G36&gt;0,"COMPLETED",(IF(I36&gt;0,"ISSUE IDENTIFIED",(IF(TODAY()&gt;E36,"OVERDUE","In Progress")))))</f>
        <v>OVERDUE</v>
      </c>
      <c r="K36" s="256"/>
    </row>
    <row r="37" spans="1:11" ht="15" x14ac:dyDescent="0.2">
      <c r="A37" s="987"/>
      <c r="B37" s="146" t="s">
        <v>983</v>
      </c>
      <c r="C37" s="39"/>
      <c r="D37" s="187"/>
      <c r="E37" s="187"/>
      <c r="F37" s="615">
        <f t="shared" ca="1" si="0"/>
        <v>-43388</v>
      </c>
      <c r="G37" s="200"/>
      <c r="H37" s="38"/>
      <c r="I37" s="39"/>
      <c r="J37" s="40" t="str">
        <f ca="1">IF(G37&gt;0,"COMPLETED",(IF(I37&gt;0,"ISSUE IDENTIFIED",(IF(TODAY()&gt;E37,"OVERDUE","In Progress")))))</f>
        <v>OVERDUE</v>
      </c>
      <c r="K37" s="256"/>
    </row>
    <row r="38" spans="1:11" ht="18" customHeight="1" x14ac:dyDescent="0.2">
      <c r="A38" s="988" t="s">
        <v>984</v>
      </c>
      <c r="B38" s="582" t="s">
        <v>985</v>
      </c>
      <c r="C38" s="39"/>
      <c r="D38" s="551"/>
      <c r="E38" s="551"/>
      <c r="F38" s="615">
        <f t="shared" ca="1" si="0"/>
        <v>-43388</v>
      </c>
      <c r="G38" s="200"/>
      <c r="H38" s="38"/>
      <c r="I38" s="39"/>
      <c r="J38" s="40" t="str">
        <f ca="1">IF(AND(J39="completed",J40="completed",J41="completed",J42="completed",J43="completed",J44="completed",J45="completed",J46="completed",J47="completed",J48="completed"),"Deliverable Completed","DELIVERABLE STILL IN PROGRESS")</f>
        <v>DELIVERABLE STILL IN PROGRESS</v>
      </c>
      <c r="K38" s="256"/>
    </row>
    <row r="39" spans="1:11" ht="15" x14ac:dyDescent="0.2">
      <c r="A39" s="970"/>
      <c r="B39" s="146" t="s">
        <v>1007</v>
      </c>
      <c r="C39" s="39"/>
      <c r="D39" s="187"/>
      <c r="E39" s="187"/>
      <c r="F39" s="615">
        <f t="shared" ca="1" si="0"/>
        <v>-43388</v>
      </c>
      <c r="G39" s="200"/>
      <c r="H39" s="38"/>
      <c r="I39" s="39"/>
      <c r="J39" s="100" t="str">
        <f t="shared" ref="J39:J48" ca="1" si="3">IF(G39&gt;0,"COMPLETED",(IF(I39&gt;0,"ISSUE IDENTIFIED",(IF(TODAY()&gt;E39,"OVERDUE","In Progress")))))</f>
        <v>OVERDUE</v>
      </c>
      <c r="K39" s="256"/>
    </row>
    <row r="40" spans="1:11" ht="15" x14ac:dyDescent="0.2">
      <c r="A40" s="970"/>
      <c r="B40" s="155" t="s">
        <v>986</v>
      </c>
      <c r="C40" s="39"/>
      <c r="D40" s="187"/>
      <c r="E40" s="187"/>
      <c r="F40" s="615">
        <f t="shared" ca="1" si="0"/>
        <v>-43388</v>
      </c>
      <c r="G40" s="200"/>
      <c r="H40" s="38"/>
      <c r="I40" s="39"/>
      <c r="J40" s="100" t="str">
        <f t="shared" ca="1" si="3"/>
        <v>OVERDUE</v>
      </c>
      <c r="K40" s="256"/>
    </row>
    <row r="41" spans="1:11" ht="15" x14ac:dyDescent="0.2">
      <c r="A41" s="970"/>
      <c r="B41" s="155" t="s">
        <v>987</v>
      </c>
      <c r="C41" s="39"/>
      <c r="D41" s="187"/>
      <c r="E41" s="187"/>
      <c r="F41" s="615">
        <f t="shared" ref="F41:F72" ca="1" si="4">IF(ISBLANK(G41),IF(ISERROR(DAYS360(TODAY(),E41))," ",(DAYS360(TODAY(),E41))),E41-G41)</f>
        <v>-43388</v>
      </c>
      <c r="G41" s="200"/>
      <c r="H41" s="38"/>
      <c r="I41" s="39"/>
      <c r="J41" s="100" t="str">
        <f t="shared" ca="1" si="3"/>
        <v>OVERDUE</v>
      </c>
      <c r="K41" s="256"/>
    </row>
    <row r="42" spans="1:11" ht="15" x14ac:dyDescent="0.2">
      <c r="A42" s="970"/>
      <c r="B42" s="146" t="s">
        <v>1008</v>
      </c>
      <c r="C42" s="39"/>
      <c r="D42" s="187"/>
      <c r="E42" s="187"/>
      <c r="F42" s="615">
        <f t="shared" ca="1" si="4"/>
        <v>-43388</v>
      </c>
      <c r="G42" s="200"/>
      <c r="H42" s="38"/>
      <c r="I42" s="39"/>
      <c r="J42" s="100" t="str">
        <f t="shared" ca="1" si="3"/>
        <v>OVERDUE</v>
      </c>
      <c r="K42" s="256"/>
    </row>
    <row r="43" spans="1:11" ht="15" x14ac:dyDescent="0.2">
      <c r="A43" s="970"/>
      <c r="B43" s="155" t="s">
        <v>988</v>
      </c>
      <c r="C43" s="39"/>
      <c r="D43" s="187"/>
      <c r="E43" s="187"/>
      <c r="F43" s="615">
        <f t="shared" ca="1" si="4"/>
        <v>-43388</v>
      </c>
      <c r="G43" s="200"/>
      <c r="H43" s="38"/>
      <c r="I43" s="39"/>
      <c r="J43" s="100" t="str">
        <f t="shared" ca="1" si="3"/>
        <v>OVERDUE</v>
      </c>
      <c r="K43" s="256"/>
    </row>
    <row r="44" spans="1:11" ht="15" x14ac:dyDescent="0.2">
      <c r="A44" s="970"/>
      <c r="B44" s="155" t="s">
        <v>989</v>
      </c>
      <c r="C44" s="39"/>
      <c r="D44" s="187"/>
      <c r="E44" s="187"/>
      <c r="F44" s="615">
        <f t="shared" ca="1" si="4"/>
        <v>-43388</v>
      </c>
      <c r="G44" s="200"/>
      <c r="H44" s="38"/>
      <c r="I44" s="39"/>
      <c r="J44" s="100" t="str">
        <f t="shared" ca="1" si="3"/>
        <v>OVERDUE</v>
      </c>
      <c r="K44" s="256"/>
    </row>
    <row r="45" spans="1:11" ht="15.75" customHeight="1" x14ac:dyDescent="0.2">
      <c r="A45" s="970"/>
      <c r="B45" s="155" t="s">
        <v>990</v>
      </c>
      <c r="C45" s="39"/>
      <c r="D45" s="187"/>
      <c r="E45" s="187"/>
      <c r="F45" s="615">
        <f t="shared" ca="1" si="4"/>
        <v>-43388</v>
      </c>
      <c r="G45" s="200"/>
      <c r="H45" s="38"/>
      <c r="I45" s="39"/>
      <c r="J45" s="100" t="str">
        <f t="shared" ca="1" si="3"/>
        <v>OVERDUE</v>
      </c>
      <c r="K45" s="256"/>
    </row>
    <row r="46" spans="1:11" s="128" customFormat="1" ht="15" x14ac:dyDescent="0.2">
      <c r="A46" s="970"/>
      <c r="B46" s="146" t="s">
        <v>991</v>
      </c>
      <c r="C46" s="39"/>
      <c r="D46" s="187"/>
      <c r="E46" s="187"/>
      <c r="F46" s="615">
        <f t="shared" ca="1" si="4"/>
        <v>-43388</v>
      </c>
      <c r="G46" s="200"/>
      <c r="H46" s="38"/>
      <c r="I46" s="39"/>
      <c r="J46" s="100" t="str">
        <f t="shared" ca="1" si="3"/>
        <v>OVERDUE</v>
      </c>
      <c r="K46" s="256"/>
    </row>
    <row r="47" spans="1:11" s="128" customFormat="1" ht="15" x14ac:dyDescent="0.2">
      <c r="A47" s="970"/>
      <c r="B47" s="155" t="s">
        <v>992</v>
      </c>
      <c r="C47" s="39"/>
      <c r="D47" s="187"/>
      <c r="E47" s="187"/>
      <c r="F47" s="615">
        <f t="shared" ca="1" si="4"/>
        <v>-43388</v>
      </c>
      <c r="G47" s="200"/>
      <c r="H47" s="38"/>
      <c r="I47" s="39"/>
      <c r="J47" s="100" t="str">
        <f t="shared" ca="1" si="3"/>
        <v>OVERDUE</v>
      </c>
      <c r="K47" s="256"/>
    </row>
    <row r="48" spans="1:11" ht="15" x14ac:dyDescent="0.2">
      <c r="A48" s="970"/>
      <c r="B48" s="155" t="s">
        <v>993</v>
      </c>
      <c r="C48" s="39"/>
      <c r="D48" s="187"/>
      <c r="E48" s="187"/>
      <c r="F48" s="615">
        <f t="shared" ca="1" si="4"/>
        <v>-43388</v>
      </c>
      <c r="G48" s="200"/>
      <c r="H48" s="38"/>
      <c r="I48" s="39"/>
      <c r="J48" s="40" t="str">
        <f t="shared" ca="1" si="3"/>
        <v>OVERDUE</v>
      </c>
      <c r="K48" s="256"/>
    </row>
    <row r="49" spans="1:11" ht="15" x14ac:dyDescent="0.2">
      <c r="A49" s="970"/>
      <c r="B49" s="582" t="s">
        <v>994</v>
      </c>
      <c r="C49" s="39"/>
      <c r="D49" s="551"/>
      <c r="E49" s="576"/>
      <c r="F49" s="615">
        <f t="shared" ca="1" si="4"/>
        <v>-43388</v>
      </c>
      <c r="G49" s="200"/>
      <c r="H49" s="38"/>
      <c r="I49" s="39"/>
      <c r="J49" s="40" t="str">
        <f ca="1">IF(AND(J50="completed",J51="completed",J52="completed",J53="completed",J54="completed",J55="completed",J56="completed",J57="completed",J58="completed",J59="completed",J60="completed",J61="completed"),"Deliverable Completed","DELIVERABLE STILL IN PROGRESS")</f>
        <v>DELIVERABLE STILL IN PROGRESS</v>
      </c>
      <c r="K49" s="256"/>
    </row>
    <row r="50" spans="1:11" ht="25.5" x14ac:dyDescent="0.25">
      <c r="A50" s="970"/>
      <c r="B50" s="146" t="s">
        <v>243</v>
      </c>
      <c r="C50" s="39"/>
      <c r="D50" s="187"/>
      <c r="E50" s="187"/>
      <c r="F50" s="615">
        <f t="shared" ca="1" si="4"/>
        <v>-43388</v>
      </c>
      <c r="G50" s="200"/>
      <c r="H50" s="38"/>
      <c r="I50" s="577"/>
      <c r="J50" s="40" t="str">
        <f t="shared" ref="J50:J61" ca="1" si="5">IF(G50&gt;0,"COMPLETED",(IF(I50&gt;0,"ISSUE IDENTIFIED",(IF(TODAY()&gt;E50,"OVERDUE","In Progress")))))</f>
        <v>OVERDUE</v>
      </c>
      <c r="K50" s="256"/>
    </row>
    <row r="51" spans="1:11" ht="25.5" x14ac:dyDescent="0.2">
      <c r="A51" s="970"/>
      <c r="B51" s="155" t="s">
        <v>244</v>
      </c>
      <c r="C51" s="39"/>
      <c r="D51" s="187"/>
      <c r="E51" s="187"/>
      <c r="F51" s="615">
        <f t="shared" ca="1" si="4"/>
        <v>-43388</v>
      </c>
      <c r="G51" s="200"/>
      <c r="H51" s="38"/>
      <c r="I51" s="39"/>
      <c r="J51" s="40" t="str">
        <f t="shared" ca="1" si="5"/>
        <v>OVERDUE</v>
      </c>
      <c r="K51" s="256"/>
    </row>
    <row r="52" spans="1:11" ht="15" x14ac:dyDescent="0.2">
      <c r="A52" s="970"/>
      <c r="B52" s="155" t="s">
        <v>245</v>
      </c>
      <c r="C52" s="39"/>
      <c r="D52" s="187"/>
      <c r="E52" s="187"/>
      <c r="F52" s="615">
        <f t="shared" ca="1" si="4"/>
        <v>-43388</v>
      </c>
      <c r="G52" s="200"/>
      <c r="H52" s="38"/>
      <c r="I52" s="39"/>
      <c r="J52" s="40" t="str">
        <f t="shared" ca="1" si="5"/>
        <v>OVERDUE</v>
      </c>
      <c r="K52" s="256"/>
    </row>
    <row r="53" spans="1:11" ht="15" x14ac:dyDescent="0.2">
      <c r="A53" s="970"/>
      <c r="B53" s="155" t="s">
        <v>246</v>
      </c>
      <c r="C53" s="39"/>
      <c r="D53" s="187"/>
      <c r="E53" s="187"/>
      <c r="F53" s="615">
        <f t="shared" ca="1" si="4"/>
        <v>-43388</v>
      </c>
      <c r="G53" s="200"/>
      <c r="H53" s="38"/>
      <c r="I53" s="39"/>
      <c r="J53" s="40" t="str">
        <f t="shared" ca="1" si="5"/>
        <v>OVERDUE</v>
      </c>
      <c r="K53" s="256"/>
    </row>
    <row r="54" spans="1:11" ht="15" x14ac:dyDescent="0.2">
      <c r="A54" s="970"/>
      <c r="B54" s="181" t="s">
        <v>995</v>
      </c>
      <c r="C54" s="39"/>
      <c r="D54" s="187"/>
      <c r="E54" s="187"/>
      <c r="F54" s="615">
        <f t="shared" ca="1" si="4"/>
        <v>-43388</v>
      </c>
      <c r="G54" s="200"/>
      <c r="H54" s="38"/>
      <c r="I54" s="39"/>
      <c r="J54" s="40" t="str">
        <f t="shared" ca="1" si="5"/>
        <v>OVERDUE</v>
      </c>
      <c r="K54" s="578"/>
    </row>
    <row r="55" spans="1:11" ht="15" x14ac:dyDescent="0.2">
      <c r="A55" s="970"/>
      <c r="B55" s="146" t="s">
        <v>249</v>
      </c>
      <c r="C55" s="39"/>
      <c r="D55" s="187"/>
      <c r="E55" s="187"/>
      <c r="F55" s="615">
        <f t="shared" ca="1" si="4"/>
        <v>-43388</v>
      </c>
      <c r="G55" s="200"/>
      <c r="H55" s="38"/>
      <c r="I55" s="39"/>
      <c r="J55" s="40" t="str">
        <f t="shared" ca="1" si="5"/>
        <v>OVERDUE</v>
      </c>
      <c r="K55" s="578"/>
    </row>
    <row r="56" spans="1:11" ht="14.25" customHeight="1" x14ac:dyDescent="0.2">
      <c r="A56" s="970"/>
      <c r="B56" s="155" t="s">
        <v>250</v>
      </c>
      <c r="C56" s="39"/>
      <c r="D56" s="187"/>
      <c r="E56" s="187"/>
      <c r="F56" s="615">
        <f t="shared" ca="1" si="4"/>
        <v>-43388</v>
      </c>
      <c r="G56" s="200"/>
      <c r="H56" s="38"/>
      <c r="I56" s="39"/>
      <c r="J56" s="40" t="str">
        <f t="shared" ca="1" si="5"/>
        <v>OVERDUE</v>
      </c>
      <c r="K56" s="578"/>
    </row>
    <row r="57" spans="1:11" ht="15" x14ac:dyDescent="0.2">
      <c r="A57" s="970"/>
      <c r="B57" s="155" t="s">
        <v>251</v>
      </c>
      <c r="C57" s="39"/>
      <c r="D57" s="187"/>
      <c r="E57" s="187"/>
      <c r="F57" s="615">
        <f t="shared" ca="1" si="4"/>
        <v>-43388</v>
      </c>
      <c r="G57" s="200"/>
      <c r="H57" s="38"/>
      <c r="I57" s="39"/>
      <c r="J57" s="40" t="str">
        <f t="shared" ca="1" si="5"/>
        <v>OVERDUE</v>
      </c>
      <c r="K57" s="579"/>
    </row>
    <row r="58" spans="1:11" ht="25.5" x14ac:dyDescent="0.2">
      <c r="A58" s="970"/>
      <c r="B58" s="146" t="s">
        <v>1012</v>
      </c>
      <c r="C58" s="39"/>
      <c r="D58" s="187"/>
      <c r="E58" s="187"/>
      <c r="F58" s="615">
        <f t="shared" ca="1" si="4"/>
        <v>-43388</v>
      </c>
      <c r="G58" s="200"/>
      <c r="H58" s="38"/>
      <c r="I58" s="39"/>
      <c r="J58" s="40" t="str">
        <f t="shared" ca="1" si="5"/>
        <v>OVERDUE</v>
      </c>
      <c r="K58" s="256"/>
    </row>
    <row r="59" spans="1:11" ht="15" x14ac:dyDescent="0.2">
      <c r="A59" s="970"/>
      <c r="B59" s="146" t="s">
        <v>253</v>
      </c>
      <c r="C59" s="39"/>
      <c r="D59" s="187"/>
      <c r="E59" s="187"/>
      <c r="F59" s="615">
        <f t="shared" ca="1" si="4"/>
        <v>-43388</v>
      </c>
      <c r="G59" s="200"/>
      <c r="H59" s="38"/>
      <c r="I59" s="39"/>
      <c r="J59" s="40" t="str">
        <f t="shared" ca="1" si="5"/>
        <v>OVERDUE</v>
      </c>
      <c r="K59" s="578"/>
    </row>
    <row r="60" spans="1:11" ht="15" x14ac:dyDescent="0.2">
      <c r="A60" s="970"/>
      <c r="B60" s="146" t="s">
        <v>254</v>
      </c>
      <c r="C60" s="39"/>
      <c r="D60" s="187"/>
      <c r="E60" s="187"/>
      <c r="F60" s="615">
        <f t="shared" ca="1" si="4"/>
        <v>-43388</v>
      </c>
      <c r="G60" s="200"/>
      <c r="H60" s="38"/>
      <c r="I60" s="39"/>
      <c r="J60" s="40" t="str">
        <f t="shared" ca="1" si="5"/>
        <v>OVERDUE</v>
      </c>
      <c r="K60" s="578"/>
    </row>
    <row r="61" spans="1:11" ht="15" x14ac:dyDescent="0.2">
      <c r="A61" s="970"/>
      <c r="B61" s="155" t="s">
        <v>255</v>
      </c>
      <c r="C61" s="39"/>
      <c r="D61" s="187"/>
      <c r="E61" s="187"/>
      <c r="F61" s="615">
        <f t="shared" ca="1" si="4"/>
        <v>-43388</v>
      </c>
      <c r="G61" s="200"/>
      <c r="H61" s="38"/>
      <c r="I61" s="39"/>
      <c r="J61" s="40" t="str">
        <f t="shared" ca="1" si="5"/>
        <v>OVERDUE</v>
      </c>
      <c r="K61" s="578"/>
    </row>
    <row r="62" spans="1:11" ht="15" x14ac:dyDescent="0.2">
      <c r="A62" s="970"/>
      <c r="B62" s="582" t="s">
        <v>294</v>
      </c>
      <c r="C62" s="39"/>
      <c r="D62" s="551"/>
      <c r="E62" s="551"/>
      <c r="F62" s="615">
        <f t="shared" ca="1" si="4"/>
        <v>-43388</v>
      </c>
      <c r="G62" s="200"/>
      <c r="H62" s="38"/>
      <c r="I62" s="39"/>
      <c r="J62" s="40" t="str">
        <f ca="1">IF(AND(J63="completed",J64="completed",J65="completed",J66="completed",J67="completed",J68="completed",J69="completed",J70="completed"),"Deliverable Completed","DELIVERABLE STILL IN PROGRESS")</f>
        <v>DELIVERABLE STILL IN PROGRESS</v>
      </c>
      <c r="K62" s="256"/>
    </row>
    <row r="63" spans="1:11" ht="15" x14ac:dyDescent="0.2">
      <c r="A63" s="970"/>
      <c r="B63" s="146" t="s">
        <v>1009</v>
      </c>
      <c r="C63" s="39"/>
      <c r="D63" s="187"/>
      <c r="E63" s="187"/>
      <c r="F63" s="615">
        <f t="shared" ca="1" si="4"/>
        <v>-43388</v>
      </c>
      <c r="G63" s="200"/>
      <c r="H63" s="38"/>
      <c r="I63" s="39"/>
      <c r="J63" s="40" t="str">
        <f t="shared" ref="J63:J70" ca="1" si="6">IF(G63&gt;0,"COMPLETED",(IF(I63&gt;0,"ISSUE IDENTIFIED",(IF(TODAY()&gt;E63,"OVERDUE","In Progress")))))</f>
        <v>OVERDUE</v>
      </c>
      <c r="K63" s="256"/>
    </row>
    <row r="64" spans="1:11" ht="15" x14ac:dyDescent="0.2">
      <c r="A64" s="970"/>
      <c r="B64" s="146" t="s">
        <v>296</v>
      </c>
      <c r="C64" s="39"/>
      <c r="D64" s="187"/>
      <c r="E64" s="187"/>
      <c r="F64" s="615">
        <f t="shared" ca="1" si="4"/>
        <v>-43388</v>
      </c>
      <c r="G64" s="200"/>
      <c r="H64" s="38"/>
      <c r="I64" s="39"/>
      <c r="J64" s="40" t="str">
        <f t="shared" ca="1" si="6"/>
        <v>OVERDUE</v>
      </c>
      <c r="K64" s="256"/>
    </row>
    <row r="65" spans="1:11" ht="25.5" x14ac:dyDescent="0.2">
      <c r="A65" s="970"/>
      <c r="B65" s="155" t="s">
        <v>297</v>
      </c>
      <c r="C65" s="39"/>
      <c r="D65" s="187"/>
      <c r="E65" s="187"/>
      <c r="F65" s="615">
        <f t="shared" ca="1" si="4"/>
        <v>-43388</v>
      </c>
      <c r="G65" s="200"/>
      <c r="H65" s="38"/>
      <c r="I65" s="39"/>
      <c r="J65" s="40" t="str">
        <f t="shared" ca="1" si="6"/>
        <v>OVERDUE</v>
      </c>
      <c r="K65" s="256"/>
    </row>
    <row r="66" spans="1:11" ht="15" customHeight="1" x14ac:dyDescent="0.2">
      <c r="A66" s="970"/>
      <c r="B66" s="146" t="s">
        <v>298</v>
      </c>
      <c r="C66" s="39"/>
      <c r="D66" s="187"/>
      <c r="E66" s="187"/>
      <c r="F66" s="615">
        <f t="shared" ca="1" si="4"/>
        <v>-43388</v>
      </c>
      <c r="G66" s="200"/>
      <c r="H66" s="38"/>
      <c r="I66" s="39"/>
      <c r="J66" s="40" t="str">
        <f t="shared" ca="1" si="6"/>
        <v>OVERDUE</v>
      </c>
      <c r="K66" s="256"/>
    </row>
    <row r="67" spans="1:11" ht="15" customHeight="1" x14ac:dyDescent="0.2">
      <c r="A67" s="970"/>
      <c r="B67" s="155" t="s">
        <v>299</v>
      </c>
      <c r="C67" s="39"/>
      <c r="D67" s="187"/>
      <c r="E67" s="187"/>
      <c r="F67" s="615">
        <f t="shared" ca="1" si="4"/>
        <v>-43388</v>
      </c>
      <c r="G67" s="200"/>
      <c r="H67" s="38"/>
      <c r="I67" s="39"/>
      <c r="J67" s="40" t="str">
        <f t="shared" ca="1" si="6"/>
        <v>OVERDUE</v>
      </c>
      <c r="K67" s="256"/>
    </row>
    <row r="68" spans="1:11" ht="15" customHeight="1" x14ac:dyDescent="0.2">
      <c r="A68" s="970"/>
      <c r="B68" s="146" t="s">
        <v>1010</v>
      </c>
      <c r="C68" s="39"/>
      <c r="D68" s="187"/>
      <c r="E68" s="187"/>
      <c r="F68" s="615">
        <f t="shared" ca="1" si="4"/>
        <v>-43388</v>
      </c>
      <c r="G68" s="200"/>
      <c r="H68" s="38"/>
      <c r="I68" s="39"/>
      <c r="J68" s="40" t="str">
        <f t="shared" ca="1" si="6"/>
        <v>OVERDUE</v>
      </c>
      <c r="K68" s="256"/>
    </row>
    <row r="69" spans="1:11" ht="15" customHeight="1" x14ac:dyDescent="0.2">
      <c r="A69" s="970"/>
      <c r="B69" s="155" t="s">
        <v>301</v>
      </c>
      <c r="C69" s="39"/>
      <c r="D69" s="187"/>
      <c r="E69" s="187"/>
      <c r="F69" s="615">
        <f t="shared" ca="1" si="4"/>
        <v>-43388</v>
      </c>
      <c r="G69" s="200"/>
      <c r="H69" s="38"/>
      <c r="I69" s="39"/>
      <c r="J69" s="40" t="str">
        <f t="shared" ca="1" si="6"/>
        <v>OVERDUE</v>
      </c>
      <c r="K69" s="256"/>
    </row>
    <row r="70" spans="1:11" ht="15" x14ac:dyDescent="0.2">
      <c r="A70" s="970"/>
      <c r="B70" s="146" t="s">
        <v>302</v>
      </c>
      <c r="C70" s="39"/>
      <c r="D70" s="187"/>
      <c r="E70" s="187"/>
      <c r="F70" s="615">
        <f t="shared" ca="1" si="4"/>
        <v>-43388</v>
      </c>
      <c r="G70" s="200"/>
      <c r="H70" s="38"/>
      <c r="I70" s="39"/>
      <c r="J70" s="40" t="str">
        <f t="shared" ca="1" si="6"/>
        <v>OVERDUE</v>
      </c>
      <c r="K70" s="256"/>
    </row>
    <row r="71" spans="1:11" ht="15" x14ac:dyDescent="0.2">
      <c r="A71" s="989"/>
      <c r="B71" s="582" t="s">
        <v>996</v>
      </c>
      <c r="C71" s="39"/>
      <c r="D71" s="551"/>
      <c r="E71" s="551"/>
      <c r="F71" s="615">
        <f t="shared" ca="1" si="4"/>
        <v>-43388</v>
      </c>
      <c r="G71" s="200"/>
      <c r="H71" s="38"/>
      <c r="I71" s="39"/>
      <c r="J71" s="40" t="str">
        <f ca="1">IF(AND(J72="completed",J73="completed",J74="completed",J75="completed"),"Deliverable Completed","DELIVERABLE STILL IN PROGRESS")</f>
        <v>DELIVERABLE STILL IN PROGRESS</v>
      </c>
      <c r="K71" s="256"/>
    </row>
    <row r="72" spans="1:11" ht="15.75" thickBot="1" x14ac:dyDescent="0.25">
      <c r="A72" s="989"/>
      <c r="B72" s="817" t="s">
        <v>997</v>
      </c>
      <c r="C72" s="213"/>
      <c r="D72" s="210"/>
      <c r="E72" s="210"/>
      <c r="F72" s="616">
        <f t="shared" ca="1" si="4"/>
        <v>-43388</v>
      </c>
      <c r="G72" s="257"/>
      <c r="H72" s="212"/>
      <c r="I72" s="213"/>
      <c r="J72" s="74" t="str">
        <f ca="1">IF(G72&gt;0,"COMPLETED",(IF(I72&gt;0,"ISSUE IDENTIFIED",(IF(TODAY()&gt;E72,"OVERDUE","In Progress")))))</f>
        <v>OVERDUE</v>
      </c>
      <c r="K72" s="402"/>
    </row>
    <row r="73" spans="1:11" ht="15" x14ac:dyDescent="0.2">
      <c r="A73" s="989"/>
      <c r="B73" s="401" t="s">
        <v>998</v>
      </c>
      <c r="C73" s="81"/>
      <c r="D73" s="537"/>
      <c r="E73" s="537"/>
      <c r="F73" s="614">
        <f t="shared" ref="F73:F104" ca="1" si="7">IF(ISBLANK(G73),IF(ISERROR(DAYS360(TODAY(),E73))," ",(DAYS360(TODAY(),E73))),E73-G73)</f>
        <v>-43388</v>
      </c>
      <c r="G73" s="220"/>
      <c r="H73" s="116"/>
      <c r="I73" s="81"/>
      <c r="J73" s="141" t="str">
        <f ca="1">IF(G73&gt;0,"COMPLETED",(IF(I73&gt;0,"ISSUE IDENTIFIED",(IF(TODAY()&gt;E73,"OVERDUE","In Progress")))))</f>
        <v>OVERDUE</v>
      </c>
      <c r="K73" s="107"/>
    </row>
    <row r="74" spans="1:11" ht="15" x14ac:dyDescent="0.2">
      <c r="A74" s="989"/>
      <c r="B74" s="146" t="s">
        <v>999</v>
      </c>
      <c r="C74" s="39"/>
      <c r="D74" s="187"/>
      <c r="E74" s="187"/>
      <c r="F74" s="615">
        <f t="shared" ca="1" si="7"/>
        <v>-43388</v>
      </c>
      <c r="G74" s="200"/>
      <c r="H74" s="38"/>
      <c r="I74" s="39"/>
      <c r="J74" s="40" t="str">
        <f ca="1">IF(G74&gt;0,"COMPLETED",(IF(I74&gt;0,"ISSUE IDENTIFIED",(IF(TODAY()&gt;E74,"OVERDUE","In Progress")))))</f>
        <v>OVERDUE</v>
      </c>
      <c r="K74" s="256"/>
    </row>
    <row r="75" spans="1:11" ht="15" x14ac:dyDescent="0.2">
      <c r="A75" s="989"/>
      <c r="B75" s="146" t="s">
        <v>1039</v>
      </c>
      <c r="C75" s="39"/>
      <c r="D75" s="187"/>
      <c r="E75" s="187"/>
      <c r="F75" s="615">
        <f t="shared" ca="1" si="7"/>
        <v>-43388</v>
      </c>
      <c r="G75" s="200"/>
      <c r="H75" s="38"/>
      <c r="I75" s="39"/>
      <c r="J75" s="40" t="str">
        <f t="shared" ref="J75" ca="1" si="8">IF(G75&gt;0,"COMPLETED",(IF(I75&gt;0,"ISSUE IDENTIFIED",(IF(TODAY()&gt;E75,"OVERDUE","In Progress")))))</f>
        <v>OVERDUE</v>
      </c>
      <c r="K75" s="256"/>
    </row>
    <row r="76" spans="1:11" ht="15" x14ac:dyDescent="0.2">
      <c r="A76" s="989"/>
      <c r="B76" s="582" t="s">
        <v>260</v>
      </c>
      <c r="C76" s="39"/>
      <c r="D76" s="187"/>
      <c r="E76" s="187"/>
      <c r="F76" s="615">
        <f t="shared" ca="1" si="7"/>
        <v>-43388</v>
      </c>
      <c r="G76" s="200"/>
      <c r="H76" s="38"/>
      <c r="I76" s="39"/>
      <c r="J76" s="138" t="str">
        <f ca="1">IF(AND(J77="completed",J78="completed",J79="completed",J80="completed",J81="completed"),"Deliverable Completed","DELIVERABLE STILL IN PROGRESS")</f>
        <v>DELIVERABLE STILL IN PROGRESS</v>
      </c>
      <c r="K76" s="256"/>
    </row>
    <row r="77" spans="1:11" ht="15" x14ac:dyDescent="0.2">
      <c r="A77" s="989"/>
      <c r="B77" s="146" t="s">
        <v>261</v>
      </c>
      <c r="C77" s="39"/>
      <c r="D77" s="187"/>
      <c r="E77" s="187"/>
      <c r="F77" s="615">
        <f t="shared" ca="1" si="7"/>
        <v>-43388</v>
      </c>
      <c r="G77" s="200"/>
      <c r="H77" s="38"/>
      <c r="I77" s="39"/>
      <c r="J77" s="40" t="str">
        <f t="shared" ref="J77:J81" ca="1" si="9">IF(G77&gt;0,"COMPLETED",(IF(I77&gt;0,"ISSUE IDENTIFIED",(IF(TODAY()&gt;E77,"OVERDUE","In Progress")))))</f>
        <v>OVERDUE</v>
      </c>
      <c r="K77" s="256"/>
    </row>
    <row r="78" spans="1:11" ht="15" x14ac:dyDescent="0.2">
      <c r="A78" s="989"/>
      <c r="B78" s="146" t="s">
        <v>125</v>
      </c>
      <c r="C78" s="39"/>
      <c r="D78" s="187"/>
      <c r="E78" s="187"/>
      <c r="F78" s="615">
        <f t="shared" ca="1" si="7"/>
        <v>-43388</v>
      </c>
      <c r="G78" s="200"/>
      <c r="H78" s="38"/>
      <c r="I78" s="39"/>
      <c r="J78" s="40" t="str">
        <f t="shared" ca="1" si="9"/>
        <v>OVERDUE</v>
      </c>
      <c r="K78" s="256"/>
    </row>
    <row r="79" spans="1:11" ht="15" x14ac:dyDescent="0.2">
      <c r="A79" s="989"/>
      <c r="B79" s="146" t="s">
        <v>126</v>
      </c>
      <c r="C79" s="39"/>
      <c r="D79" s="187"/>
      <c r="E79" s="187"/>
      <c r="F79" s="615">
        <f t="shared" ca="1" si="7"/>
        <v>-43388</v>
      </c>
      <c r="G79" s="200"/>
      <c r="H79" s="38"/>
      <c r="I79" s="39"/>
      <c r="J79" s="40" t="str">
        <f t="shared" ca="1" si="9"/>
        <v>OVERDUE</v>
      </c>
      <c r="K79" s="256"/>
    </row>
    <row r="80" spans="1:11" ht="15" x14ac:dyDescent="0.2">
      <c r="A80" s="989"/>
      <c r="B80" s="146" t="s">
        <v>127</v>
      </c>
      <c r="C80" s="39"/>
      <c r="D80" s="187"/>
      <c r="E80" s="187"/>
      <c r="F80" s="615">
        <f t="shared" ca="1" si="7"/>
        <v>-43388</v>
      </c>
      <c r="G80" s="200"/>
      <c r="H80" s="38"/>
      <c r="I80" s="39"/>
      <c r="J80" s="40" t="str">
        <f t="shared" ca="1" si="9"/>
        <v>OVERDUE</v>
      </c>
      <c r="K80" s="256"/>
    </row>
    <row r="81" spans="1:11" ht="15" x14ac:dyDescent="0.2">
      <c r="A81" s="989"/>
      <c r="B81" s="146" t="s">
        <v>128</v>
      </c>
      <c r="C81" s="39"/>
      <c r="D81" s="187"/>
      <c r="E81" s="187"/>
      <c r="F81" s="615">
        <f t="shared" ca="1" si="7"/>
        <v>-43388</v>
      </c>
      <c r="G81" s="200"/>
      <c r="H81" s="38"/>
      <c r="I81" s="39"/>
      <c r="J81" s="40" t="str">
        <f t="shared" ca="1" si="9"/>
        <v>OVERDUE</v>
      </c>
      <c r="K81" s="256"/>
    </row>
    <row r="82" spans="1:11" ht="15" x14ac:dyDescent="0.2">
      <c r="A82" s="989"/>
      <c r="B82" s="582" t="s">
        <v>265</v>
      </c>
      <c r="C82" s="39"/>
      <c r="D82" s="187"/>
      <c r="E82" s="187"/>
      <c r="F82" s="615">
        <f t="shared" ca="1" si="7"/>
        <v>-43388</v>
      </c>
      <c r="G82" s="200"/>
      <c r="H82" s="38"/>
      <c r="I82" s="39"/>
      <c r="J82" s="138" t="str">
        <f ca="1">IF(AND(J83="completed",J84="completed",J85="completed",J86="completed",J87="completed",J88="completed",J89="completed",J90="completed",J91="completed",J92="completed",J93="completed",J94="completed",J95="completed",J96="completed",J97="completed"),"Deliverable Completed","DELIVERABLE STILL IN PROGRESS")</f>
        <v>DELIVERABLE STILL IN PROGRESS</v>
      </c>
      <c r="K82" s="256"/>
    </row>
    <row r="83" spans="1:11" ht="15" x14ac:dyDescent="0.2">
      <c r="A83" s="989"/>
      <c r="B83" s="146" t="s">
        <v>266</v>
      </c>
      <c r="C83" s="39"/>
      <c r="D83" s="187"/>
      <c r="E83" s="187"/>
      <c r="F83" s="615">
        <f t="shared" ca="1" si="7"/>
        <v>-43388</v>
      </c>
      <c r="G83" s="200"/>
      <c r="H83" s="38"/>
      <c r="I83" s="39"/>
      <c r="J83" s="40" t="str">
        <f t="shared" ref="J83:J97" ca="1" si="10">IF(G83&gt;0,"COMPLETED",(IF(I83&gt;0,"ISSUE IDENTIFIED",(IF(TODAY()&gt;E83,"OVERDUE","In Progress")))))</f>
        <v>OVERDUE</v>
      </c>
      <c r="K83" s="256"/>
    </row>
    <row r="84" spans="1:11" ht="15" x14ac:dyDescent="0.2">
      <c r="A84" s="989"/>
      <c r="B84" s="155" t="s">
        <v>267</v>
      </c>
      <c r="C84" s="39"/>
      <c r="D84" s="187"/>
      <c r="E84" s="187"/>
      <c r="F84" s="615">
        <f t="shared" ca="1" si="7"/>
        <v>-43388</v>
      </c>
      <c r="G84" s="200"/>
      <c r="H84" s="38"/>
      <c r="I84" s="39"/>
      <c r="J84" s="40" t="str">
        <f t="shared" ca="1" si="10"/>
        <v>OVERDUE</v>
      </c>
      <c r="K84" s="256"/>
    </row>
    <row r="85" spans="1:11" ht="15" x14ac:dyDescent="0.2">
      <c r="A85" s="989"/>
      <c r="B85" s="155" t="s">
        <v>268</v>
      </c>
      <c r="C85" s="39"/>
      <c r="D85" s="187"/>
      <c r="E85" s="187"/>
      <c r="F85" s="615">
        <f t="shared" ca="1" si="7"/>
        <v>-43388</v>
      </c>
      <c r="G85" s="200"/>
      <c r="H85" s="38"/>
      <c r="I85" s="39"/>
      <c r="J85" s="40" t="str">
        <f t="shared" ca="1" si="10"/>
        <v>OVERDUE</v>
      </c>
      <c r="K85" s="256"/>
    </row>
    <row r="86" spans="1:11" ht="15" x14ac:dyDescent="0.2">
      <c r="A86" s="989"/>
      <c r="B86" s="155" t="s">
        <v>269</v>
      </c>
      <c r="C86" s="39"/>
      <c r="D86" s="187"/>
      <c r="E86" s="187"/>
      <c r="F86" s="615">
        <f t="shared" ca="1" si="7"/>
        <v>-43388</v>
      </c>
      <c r="G86" s="200"/>
      <c r="H86" s="38"/>
      <c r="I86" s="39"/>
      <c r="J86" s="40" t="str">
        <f t="shared" ca="1" si="10"/>
        <v>OVERDUE</v>
      </c>
      <c r="K86" s="256"/>
    </row>
    <row r="87" spans="1:11" ht="15" x14ac:dyDescent="0.2">
      <c r="A87" s="989"/>
      <c r="B87" s="155" t="s">
        <v>270</v>
      </c>
      <c r="C87" s="39"/>
      <c r="D87" s="187"/>
      <c r="E87" s="187"/>
      <c r="F87" s="615">
        <f t="shared" ca="1" si="7"/>
        <v>-43388</v>
      </c>
      <c r="G87" s="200"/>
      <c r="H87" s="38"/>
      <c r="I87" s="39"/>
      <c r="J87" s="40" t="str">
        <f t="shared" ca="1" si="10"/>
        <v>OVERDUE</v>
      </c>
      <c r="K87" s="256"/>
    </row>
    <row r="88" spans="1:11" ht="15" x14ac:dyDescent="0.2">
      <c r="A88" s="989"/>
      <c r="B88" s="155" t="s">
        <v>271</v>
      </c>
      <c r="C88" s="39"/>
      <c r="D88" s="187"/>
      <c r="E88" s="187"/>
      <c r="F88" s="615">
        <f t="shared" ca="1" si="7"/>
        <v>-43388</v>
      </c>
      <c r="G88" s="200"/>
      <c r="H88" s="38"/>
      <c r="I88" s="39"/>
      <c r="J88" s="40" t="str">
        <f t="shared" ca="1" si="10"/>
        <v>OVERDUE</v>
      </c>
      <c r="K88" s="256"/>
    </row>
    <row r="89" spans="1:11" ht="15" x14ac:dyDescent="0.2">
      <c r="A89" s="989"/>
      <c r="B89" s="155" t="s">
        <v>272</v>
      </c>
      <c r="C89" s="39"/>
      <c r="D89" s="187"/>
      <c r="E89" s="187"/>
      <c r="F89" s="615">
        <f t="shared" ca="1" si="7"/>
        <v>-43388</v>
      </c>
      <c r="G89" s="200"/>
      <c r="H89" s="38"/>
      <c r="I89" s="39"/>
      <c r="J89" s="40" t="str">
        <f t="shared" ca="1" si="10"/>
        <v>OVERDUE</v>
      </c>
      <c r="K89" s="256"/>
    </row>
    <row r="90" spans="1:11" ht="15" x14ac:dyDescent="0.2">
      <c r="A90" s="989"/>
      <c r="B90" s="146" t="s">
        <v>273</v>
      </c>
      <c r="C90" s="39"/>
      <c r="D90" s="187"/>
      <c r="E90" s="187"/>
      <c r="F90" s="615">
        <f t="shared" ca="1" si="7"/>
        <v>-43388</v>
      </c>
      <c r="G90" s="200"/>
      <c r="H90" s="38"/>
      <c r="I90" s="39"/>
      <c r="J90" s="40" t="str">
        <f t="shared" ca="1" si="10"/>
        <v>OVERDUE</v>
      </c>
      <c r="K90" s="256"/>
    </row>
    <row r="91" spans="1:11" ht="15" x14ac:dyDescent="0.2">
      <c r="A91" s="989"/>
      <c r="B91" s="155" t="s">
        <v>274</v>
      </c>
      <c r="C91" s="39"/>
      <c r="D91" s="187"/>
      <c r="E91" s="187"/>
      <c r="F91" s="615">
        <f t="shared" ca="1" si="7"/>
        <v>-43388</v>
      </c>
      <c r="G91" s="200"/>
      <c r="H91" s="38"/>
      <c r="I91" s="39"/>
      <c r="J91" s="40" t="str">
        <f t="shared" ca="1" si="10"/>
        <v>OVERDUE</v>
      </c>
      <c r="K91" s="256"/>
    </row>
    <row r="92" spans="1:11" ht="15" x14ac:dyDescent="0.2">
      <c r="A92" s="989"/>
      <c r="B92" s="155" t="s">
        <v>264</v>
      </c>
      <c r="C92" s="39"/>
      <c r="D92" s="187"/>
      <c r="E92" s="187"/>
      <c r="F92" s="615">
        <f t="shared" ca="1" si="7"/>
        <v>-43388</v>
      </c>
      <c r="G92" s="200"/>
      <c r="H92" s="38"/>
      <c r="I92" s="39"/>
      <c r="J92" s="40" t="str">
        <f t="shared" ca="1" si="10"/>
        <v>OVERDUE</v>
      </c>
      <c r="K92" s="256"/>
    </row>
    <row r="93" spans="1:11" ht="15" x14ac:dyDescent="0.2">
      <c r="A93" s="989"/>
      <c r="B93" s="146" t="s">
        <v>275</v>
      </c>
      <c r="C93" s="39"/>
      <c r="D93" s="187"/>
      <c r="E93" s="187"/>
      <c r="F93" s="615">
        <f t="shared" ca="1" si="7"/>
        <v>-43388</v>
      </c>
      <c r="G93" s="200"/>
      <c r="H93" s="38"/>
      <c r="I93" s="39"/>
      <c r="J93" s="40" t="str">
        <f t="shared" ca="1" si="10"/>
        <v>OVERDUE</v>
      </c>
      <c r="K93" s="256"/>
    </row>
    <row r="94" spans="1:11" ht="15" x14ac:dyDescent="0.2">
      <c r="A94" s="989"/>
      <c r="B94" s="155" t="s">
        <v>276</v>
      </c>
      <c r="C94" s="39"/>
      <c r="D94" s="187"/>
      <c r="E94" s="187"/>
      <c r="F94" s="615">
        <f t="shared" ca="1" si="7"/>
        <v>-43388</v>
      </c>
      <c r="G94" s="200"/>
      <c r="H94" s="38"/>
      <c r="I94" s="39"/>
      <c r="J94" s="40" t="str">
        <f t="shared" ca="1" si="10"/>
        <v>OVERDUE</v>
      </c>
      <c r="K94" s="256"/>
    </row>
    <row r="95" spans="1:11" ht="15" x14ac:dyDescent="0.2">
      <c r="A95" s="989"/>
      <c r="B95" s="155" t="s">
        <v>277</v>
      </c>
      <c r="C95" s="39"/>
      <c r="D95" s="187"/>
      <c r="E95" s="187"/>
      <c r="F95" s="615">
        <f t="shared" ca="1" si="7"/>
        <v>-43388</v>
      </c>
      <c r="G95" s="200"/>
      <c r="H95" s="38"/>
      <c r="I95" s="39"/>
      <c r="J95" s="40" t="str">
        <f t="shared" ca="1" si="10"/>
        <v>OVERDUE</v>
      </c>
      <c r="K95" s="256"/>
    </row>
    <row r="96" spans="1:11" ht="15" x14ac:dyDescent="0.2">
      <c r="A96" s="989"/>
      <c r="B96" s="155" t="s">
        <v>278</v>
      </c>
      <c r="C96" s="39"/>
      <c r="D96" s="187"/>
      <c r="E96" s="187"/>
      <c r="F96" s="615">
        <f t="shared" ca="1" si="7"/>
        <v>-43388</v>
      </c>
      <c r="G96" s="200"/>
      <c r="H96" s="38"/>
      <c r="I96" s="39"/>
      <c r="J96" s="40" t="str">
        <f t="shared" ca="1" si="10"/>
        <v>OVERDUE</v>
      </c>
      <c r="K96" s="256"/>
    </row>
    <row r="97" spans="1:11" ht="15" x14ac:dyDescent="0.2">
      <c r="A97" s="989"/>
      <c r="B97" s="146" t="s">
        <v>279</v>
      </c>
      <c r="C97" s="39"/>
      <c r="D97" s="187"/>
      <c r="E97" s="187"/>
      <c r="F97" s="615">
        <f t="shared" ca="1" si="7"/>
        <v>-43388</v>
      </c>
      <c r="G97" s="200"/>
      <c r="H97" s="38"/>
      <c r="I97" s="39"/>
      <c r="J97" s="40" t="str">
        <f t="shared" ca="1" si="10"/>
        <v>OVERDUE</v>
      </c>
      <c r="K97" s="256"/>
    </row>
    <row r="98" spans="1:11" ht="15" x14ac:dyDescent="0.2">
      <c r="A98" s="989"/>
      <c r="B98" s="582" t="s">
        <v>280</v>
      </c>
      <c r="C98" s="39"/>
      <c r="D98" s="187"/>
      <c r="E98" s="187"/>
      <c r="F98" s="615">
        <f t="shared" ca="1" si="7"/>
        <v>-43388</v>
      </c>
      <c r="G98" s="200"/>
      <c r="H98" s="38"/>
      <c r="I98" s="39"/>
      <c r="J98" s="138" t="str">
        <f ca="1">IF(AND(J99="completed",J100="completed",J101="completed",J102="completed",J103="completed",J104="completed"),"Deliverable Completed","DELIVERABLE STILL IN PROGRESS")</f>
        <v>DELIVERABLE STILL IN PROGRESS</v>
      </c>
      <c r="K98" s="256"/>
    </row>
    <row r="99" spans="1:11" ht="15" x14ac:dyDescent="0.2">
      <c r="A99" s="989"/>
      <c r="B99" s="157" t="s">
        <v>281</v>
      </c>
      <c r="C99" s="39"/>
      <c r="D99" s="187"/>
      <c r="E99" s="187"/>
      <c r="F99" s="615">
        <f t="shared" ca="1" si="7"/>
        <v>-43388</v>
      </c>
      <c r="G99" s="200"/>
      <c r="H99" s="38"/>
      <c r="I99" s="39"/>
      <c r="J99" s="40" t="str">
        <f t="shared" ref="J99:J104" ca="1" si="11">IF(G99&gt;0,"COMPLETED",(IF(I99&gt;0,"ISSUE IDENTIFIED",(IF(TODAY()&gt;E99,"OVERDUE","In Progress")))))</f>
        <v>OVERDUE</v>
      </c>
      <c r="K99" s="256"/>
    </row>
    <row r="100" spans="1:11" ht="15" x14ac:dyDescent="0.2">
      <c r="A100" s="989"/>
      <c r="B100" s="157" t="s">
        <v>282</v>
      </c>
      <c r="C100" s="39"/>
      <c r="D100" s="187"/>
      <c r="E100" s="187"/>
      <c r="F100" s="615">
        <f t="shared" ca="1" si="7"/>
        <v>-43388</v>
      </c>
      <c r="G100" s="200"/>
      <c r="H100" s="38"/>
      <c r="I100" s="39"/>
      <c r="J100" s="40" t="str">
        <f t="shared" ca="1" si="11"/>
        <v>OVERDUE</v>
      </c>
      <c r="K100" s="256"/>
    </row>
    <row r="101" spans="1:11" ht="15" x14ac:dyDescent="0.2">
      <c r="A101" s="989"/>
      <c r="B101" s="157" t="s">
        <v>283</v>
      </c>
      <c r="C101" s="39"/>
      <c r="D101" s="187"/>
      <c r="E101" s="187"/>
      <c r="F101" s="615">
        <f t="shared" ca="1" si="7"/>
        <v>-43388</v>
      </c>
      <c r="G101" s="200"/>
      <c r="H101" s="38"/>
      <c r="I101" s="39"/>
      <c r="J101" s="40" t="str">
        <f t="shared" ca="1" si="11"/>
        <v>OVERDUE</v>
      </c>
      <c r="K101" s="256"/>
    </row>
    <row r="102" spans="1:11" ht="15" x14ac:dyDescent="0.2">
      <c r="A102" s="989"/>
      <c r="B102" s="157" t="s">
        <v>284</v>
      </c>
      <c r="C102" s="39"/>
      <c r="D102" s="187"/>
      <c r="E102" s="187"/>
      <c r="F102" s="615">
        <f t="shared" ca="1" si="7"/>
        <v>-43388</v>
      </c>
      <c r="G102" s="200"/>
      <c r="H102" s="38"/>
      <c r="I102" s="39"/>
      <c r="J102" s="40" t="str">
        <f t="shared" ca="1" si="11"/>
        <v>OVERDUE</v>
      </c>
      <c r="K102" s="256"/>
    </row>
    <row r="103" spans="1:11" ht="15" x14ac:dyDescent="0.2">
      <c r="A103" s="989"/>
      <c r="B103" s="157" t="s">
        <v>285</v>
      </c>
      <c r="C103" s="39"/>
      <c r="D103" s="187"/>
      <c r="E103" s="187"/>
      <c r="F103" s="615">
        <f t="shared" ca="1" si="7"/>
        <v>-43388</v>
      </c>
      <c r="G103" s="200"/>
      <c r="H103" s="38"/>
      <c r="I103" s="39"/>
      <c r="J103" s="40" t="str">
        <f t="shared" ca="1" si="11"/>
        <v>OVERDUE</v>
      </c>
      <c r="K103" s="256"/>
    </row>
    <row r="104" spans="1:11" ht="15" x14ac:dyDescent="0.2">
      <c r="A104" s="989"/>
      <c r="B104" s="157" t="s">
        <v>286</v>
      </c>
      <c r="C104" s="39"/>
      <c r="D104" s="187"/>
      <c r="E104" s="187"/>
      <c r="F104" s="615">
        <f t="shared" ca="1" si="7"/>
        <v>-43388</v>
      </c>
      <c r="G104" s="200"/>
      <c r="H104" s="38"/>
      <c r="I104" s="39"/>
      <c r="J104" s="40" t="str">
        <f t="shared" ca="1" si="11"/>
        <v>OVERDUE</v>
      </c>
      <c r="K104" s="256"/>
    </row>
    <row r="105" spans="1:11" ht="15" x14ac:dyDescent="0.2">
      <c r="A105" s="989"/>
      <c r="B105" s="582" t="s">
        <v>287</v>
      </c>
      <c r="C105" s="39"/>
      <c r="D105" s="187"/>
      <c r="E105" s="187"/>
      <c r="F105" s="615">
        <f t="shared" ref="F105:F127" ca="1" si="12">IF(ISBLANK(G105),IF(ISERROR(DAYS360(TODAY(),E105))," ",(DAYS360(TODAY(),E105))),E105-G105)</f>
        <v>-43388</v>
      </c>
      <c r="G105" s="200"/>
      <c r="H105" s="38"/>
      <c r="I105" s="39"/>
      <c r="J105" s="138" t="str">
        <f ca="1">IF(AND(J106="completed",J107="completed",J108="completed",J109="completed",J110="completed",J111="completed"),"Deliverable Completed","DELIVERABLE STILL IN PROGRESS")</f>
        <v>DELIVERABLE STILL IN PROGRESS</v>
      </c>
      <c r="K105" s="256"/>
    </row>
    <row r="106" spans="1:11" ht="15" x14ac:dyDescent="0.2">
      <c r="A106" s="989"/>
      <c r="B106" s="146" t="s">
        <v>288</v>
      </c>
      <c r="C106" s="39"/>
      <c r="D106" s="187"/>
      <c r="E106" s="187"/>
      <c r="F106" s="615">
        <f t="shared" ca="1" si="12"/>
        <v>-43388</v>
      </c>
      <c r="G106" s="200"/>
      <c r="H106" s="38"/>
      <c r="I106" s="39"/>
      <c r="J106" s="40" t="str">
        <f t="shared" ref="J106:J111" ca="1" si="13">IF(G106&gt;0,"COMPLETED",(IF(I106&gt;0,"ISSUE IDENTIFIED",(IF(TODAY()&gt;E106,"OVERDUE","In Progress")))))</f>
        <v>OVERDUE</v>
      </c>
      <c r="K106" s="256"/>
    </row>
    <row r="107" spans="1:11" ht="15" x14ac:dyDescent="0.2">
      <c r="A107" s="989"/>
      <c r="B107" s="146" t="s">
        <v>289</v>
      </c>
      <c r="C107" s="39"/>
      <c r="D107" s="187"/>
      <c r="E107" s="187"/>
      <c r="F107" s="615">
        <f t="shared" ca="1" si="12"/>
        <v>-43388</v>
      </c>
      <c r="G107" s="200"/>
      <c r="H107" s="38"/>
      <c r="I107" s="39"/>
      <c r="J107" s="40" t="str">
        <f t="shared" ca="1" si="13"/>
        <v>OVERDUE</v>
      </c>
      <c r="K107" s="256"/>
    </row>
    <row r="108" spans="1:11" ht="15" x14ac:dyDescent="0.2">
      <c r="A108" s="989"/>
      <c r="B108" s="155" t="s">
        <v>290</v>
      </c>
      <c r="C108" s="39"/>
      <c r="D108" s="187"/>
      <c r="E108" s="187"/>
      <c r="F108" s="615">
        <f t="shared" ca="1" si="12"/>
        <v>-43388</v>
      </c>
      <c r="G108" s="200"/>
      <c r="H108" s="38"/>
      <c r="I108" s="39"/>
      <c r="J108" s="40" t="str">
        <f t="shared" ca="1" si="13"/>
        <v>OVERDUE</v>
      </c>
      <c r="K108" s="256"/>
    </row>
    <row r="109" spans="1:11" ht="15" x14ac:dyDescent="0.2">
      <c r="A109" s="989"/>
      <c r="B109" s="155" t="s">
        <v>291</v>
      </c>
      <c r="C109" s="39"/>
      <c r="D109" s="187"/>
      <c r="E109" s="187"/>
      <c r="F109" s="615">
        <f t="shared" ca="1" si="12"/>
        <v>-43388</v>
      </c>
      <c r="G109" s="200"/>
      <c r="H109" s="38"/>
      <c r="I109" s="39"/>
      <c r="J109" s="40" t="str">
        <f t="shared" ca="1" si="13"/>
        <v>OVERDUE</v>
      </c>
      <c r="K109" s="256"/>
    </row>
    <row r="110" spans="1:11" ht="15" x14ac:dyDescent="0.2">
      <c r="A110" s="989"/>
      <c r="B110" s="155" t="s">
        <v>292</v>
      </c>
      <c r="C110" s="39"/>
      <c r="D110" s="187"/>
      <c r="E110" s="187"/>
      <c r="F110" s="615">
        <f t="shared" ca="1" si="12"/>
        <v>-43388</v>
      </c>
      <c r="G110" s="200"/>
      <c r="H110" s="38"/>
      <c r="I110" s="39"/>
      <c r="J110" s="40" t="str">
        <f t="shared" ca="1" si="13"/>
        <v>OVERDUE</v>
      </c>
      <c r="K110" s="256"/>
    </row>
    <row r="111" spans="1:11" ht="15" x14ac:dyDescent="0.2">
      <c r="A111" s="989"/>
      <c r="B111" s="146" t="s">
        <v>293</v>
      </c>
      <c r="C111" s="39"/>
      <c r="D111" s="187"/>
      <c r="E111" s="187"/>
      <c r="F111" s="615">
        <f t="shared" ca="1" si="12"/>
        <v>-43388</v>
      </c>
      <c r="G111" s="200"/>
      <c r="H111" s="38"/>
      <c r="I111" s="39"/>
      <c r="J111" s="40" t="str">
        <f t="shared" ca="1" si="13"/>
        <v>OVERDUE</v>
      </c>
      <c r="K111" s="256"/>
    </row>
    <row r="112" spans="1:11" ht="15" x14ac:dyDescent="0.2">
      <c r="A112" s="989"/>
      <c r="B112" s="582" t="s">
        <v>294</v>
      </c>
      <c r="C112" s="39"/>
      <c r="D112" s="187"/>
      <c r="E112" s="187"/>
      <c r="F112" s="615">
        <f t="shared" ca="1" si="12"/>
        <v>-43388</v>
      </c>
      <c r="G112" s="200"/>
      <c r="H112" s="38"/>
      <c r="I112" s="39"/>
      <c r="J112" s="138" t="str">
        <f ca="1">IF(AND(J113="completed",J114="completed",J115="completed",J116="completed",J117="completed",J118="completed",J119="completed",J120="completed"),"Deliverable Completed","DELIVERABLE STILL IN PROGRESS")</f>
        <v>DELIVERABLE STILL IN PROGRESS</v>
      </c>
      <c r="K112" s="256"/>
    </row>
    <row r="113" spans="1:11" ht="15" x14ac:dyDescent="0.2">
      <c r="A113" s="989"/>
      <c r="B113" s="146" t="s">
        <v>295</v>
      </c>
      <c r="C113" s="39"/>
      <c r="D113" s="187"/>
      <c r="E113" s="187"/>
      <c r="F113" s="615">
        <f t="shared" ca="1" si="12"/>
        <v>-43388</v>
      </c>
      <c r="G113" s="200"/>
      <c r="H113" s="38"/>
      <c r="I113" s="39"/>
      <c r="J113" s="40" t="str">
        <f t="shared" ref="J113:J120" ca="1" si="14">IF(G113&gt;0,"COMPLETED",(IF(I113&gt;0,"ISSUE IDENTIFIED",(IF(TODAY()&gt;E113,"OVERDUE","In Progress")))))</f>
        <v>OVERDUE</v>
      </c>
      <c r="K113" s="256"/>
    </row>
    <row r="114" spans="1:11" ht="15" x14ac:dyDescent="0.2">
      <c r="A114" s="989"/>
      <c r="B114" s="146" t="s">
        <v>296</v>
      </c>
      <c r="C114" s="39"/>
      <c r="D114" s="187"/>
      <c r="E114" s="187"/>
      <c r="F114" s="615">
        <f t="shared" ca="1" si="12"/>
        <v>-43388</v>
      </c>
      <c r="G114" s="200"/>
      <c r="H114" s="38"/>
      <c r="I114" s="39"/>
      <c r="J114" s="40" t="str">
        <f t="shared" ca="1" si="14"/>
        <v>OVERDUE</v>
      </c>
      <c r="K114" s="256"/>
    </row>
    <row r="115" spans="1:11" ht="25.5" x14ac:dyDescent="0.2">
      <c r="A115" s="989"/>
      <c r="B115" s="155" t="s">
        <v>297</v>
      </c>
      <c r="C115" s="39"/>
      <c r="D115" s="187"/>
      <c r="E115" s="187"/>
      <c r="F115" s="615">
        <f t="shared" ca="1" si="12"/>
        <v>-43388</v>
      </c>
      <c r="G115" s="200"/>
      <c r="H115" s="38"/>
      <c r="I115" s="39"/>
      <c r="J115" s="40" t="str">
        <f t="shared" ca="1" si="14"/>
        <v>OVERDUE</v>
      </c>
      <c r="K115" s="256"/>
    </row>
    <row r="116" spans="1:11" ht="15" x14ac:dyDescent="0.2">
      <c r="A116" s="989"/>
      <c r="B116" s="146" t="s">
        <v>298</v>
      </c>
      <c r="C116" s="39"/>
      <c r="D116" s="187"/>
      <c r="E116" s="187"/>
      <c r="F116" s="615">
        <f t="shared" ca="1" si="12"/>
        <v>-43388</v>
      </c>
      <c r="G116" s="200"/>
      <c r="H116" s="38"/>
      <c r="I116" s="39"/>
      <c r="J116" s="40" t="str">
        <f t="shared" ca="1" si="14"/>
        <v>OVERDUE</v>
      </c>
      <c r="K116" s="256"/>
    </row>
    <row r="117" spans="1:11" ht="15" x14ac:dyDescent="0.2">
      <c r="A117" s="989"/>
      <c r="B117" s="155" t="s">
        <v>299</v>
      </c>
      <c r="C117" s="39"/>
      <c r="D117" s="187"/>
      <c r="E117" s="187"/>
      <c r="F117" s="615">
        <f t="shared" ca="1" si="12"/>
        <v>-43388</v>
      </c>
      <c r="G117" s="200"/>
      <c r="H117" s="38"/>
      <c r="I117" s="39"/>
      <c r="J117" s="40" t="str">
        <f t="shared" ca="1" si="14"/>
        <v>OVERDUE</v>
      </c>
      <c r="K117" s="256"/>
    </row>
    <row r="118" spans="1:11" ht="15" x14ac:dyDescent="0.2">
      <c r="A118" s="989"/>
      <c r="B118" s="146" t="s">
        <v>300</v>
      </c>
      <c r="C118" s="39"/>
      <c r="D118" s="187"/>
      <c r="E118" s="187"/>
      <c r="F118" s="615">
        <f t="shared" ca="1" si="12"/>
        <v>-43388</v>
      </c>
      <c r="G118" s="200"/>
      <c r="H118" s="38"/>
      <c r="I118" s="39"/>
      <c r="J118" s="40" t="str">
        <f t="shared" ca="1" si="14"/>
        <v>OVERDUE</v>
      </c>
      <c r="K118" s="256"/>
    </row>
    <row r="119" spans="1:11" ht="15" x14ac:dyDescent="0.2">
      <c r="A119" s="989"/>
      <c r="B119" s="155" t="s">
        <v>301</v>
      </c>
      <c r="C119" s="39"/>
      <c r="D119" s="187"/>
      <c r="E119" s="187"/>
      <c r="F119" s="615">
        <f t="shared" ca="1" si="12"/>
        <v>-43388</v>
      </c>
      <c r="G119" s="200"/>
      <c r="H119" s="38"/>
      <c r="I119" s="39"/>
      <c r="J119" s="40" t="str">
        <f t="shared" ca="1" si="14"/>
        <v>OVERDUE</v>
      </c>
      <c r="K119" s="256"/>
    </row>
    <row r="120" spans="1:11" ht="15" x14ac:dyDescent="0.2">
      <c r="A120" s="989"/>
      <c r="B120" s="146" t="s">
        <v>302</v>
      </c>
      <c r="C120" s="39"/>
      <c r="D120" s="187"/>
      <c r="E120" s="187"/>
      <c r="F120" s="615">
        <f t="shared" ca="1" si="12"/>
        <v>-43388</v>
      </c>
      <c r="G120" s="200"/>
      <c r="H120" s="38"/>
      <c r="I120" s="39"/>
      <c r="J120" s="40" t="str">
        <f t="shared" ca="1" si="14"/>
        <v>OVERDUE</v>
      </c>
      <c r="K120" s="256"/>
    </row>
    <row r="121" spans="1:11" ht="15" x14ac:dyDescent="0.2">
      <c r="A121" s="989"/>
      <c r="B121" s="582" t="s">
        <v>303</v>
      </c>
      <c r="C121" s="39"/>
      <c r="D121" s="187"/>
      <c r="E121" s="187"/>
      <c r="F121" s="615">
        <f t="shared" ca="1" si="12"/>
        <v>-43388</v>
      </c>
      <c r="G121" s="200"/>
      <c r="H121" s="38"/>
      <c r="I121" s="39"/>
      <c r="J121" s="138" t="str">
        <f ca="1">IF(AND(J122="completed",J123="completed",J124="completed",J125="completed"),"Deliverable Completed","DELIVERABLE STILL IN PROGRESS")</f>
        <v>DELIVERABLE STILL IN PROGRESS</v>
      </c>
      <c r="K121" s="256"/>
    </row>
    <row r="122" spans="1:11" ht="15" x14ac:dyDescent="0.2">
      <c r="A122" s="989"/>
      <c r="B122" s="146"/>
      <c r="C122" s="39"/>
      <c r="D122" s="187"/>
      <c r="E122" s="187"/>
      <c r="F122" s="615">
        <f t="shared" ca="1" si="12"/>
        <v>-43388</v>
      </c>
      <c r="G122" s="200"/>
      <c r="H122" s="38"/>
      <c r="I122" s="39"/>
      <c r="J122" s="40" t="str">
        <f t="shared" ref="J122:J125" ca="1" si="15">IF(G122&gt;0,"COMPLETED",(IF(I122&gt;0,"ISSUE IDENTIFIED",(IF(TODAY()&gt;E122,"OVERDUE","In Progress")))))</f>
        <v>OVERDUE</v>
      </c>
      <c r="K122" s="256"/>
    </row>
    <row r="123" spans="1:11" ht="15" x14ac:dyDescent="0.2">
      <c r="A123" s="989"/>
      <c r="B123" s="146"/>
      <c r="C123" s="39"/>
      <c r="D123" s="187"/>
      <c r="E123" s="187"/>
      <c r="F123" s="615">
        <f t="shared" ca="1" si="12"/>
        <v>-43388</v>
      </c>
      <c r="G123" s="200"/>
      <c r="H123" s="38"/>
      <c r="I123" s="39"/>
      <c r="J123" s="40" t="str">
        <f t="shared" ca="1" si="15"/>
        <v>OVERDUE</v>
      </c>
      <c r="K123" s="256"/>
    </row>
    <row r="124" spans="1:11" ht="15" x14ac:dyDescent="0.2">
      <c r="A124" s="989"/>
      <c r="B124" s="179"/>
      <c r="C124" s="39"/>
      <c r="D124" s="187"/>
      <c r="E124" s="187"/>
      <c r="F124" s="615">
        <f t="shared" ca="1" si="12"/>
        <v>-43388</v>
      </c>
      <c r="G124" s="200"/>
      <c r="H124" s="38"/>
      <c r="I124" s="39"/>
      <c r="J124" s="40" t="str">
        <f t="shared" ca="1" si="15"/>
        <v>OVERDUE</v>
      </c>
      <c r="K124" s="256"/>
    </row>
    <row r="125" spans="1:11" ht="15" x14ac:dyDescent="0.2">
      <c r="A125" s="989"/>
      <c r="B125" s="146"/>
      <c r="C125" s="39"/>
      <c r="D125" s="187"/>
      <c r="E125" s="187"/>
      <c r="F125" s="615">
        <f t="shared" ca="1" si="12"/>
        <v>-43388</v>
      </c>
      <c r="G125" s="200"/>
      <c r="H125" s="38"/>
      <c r="I125" s="39"/>
      <c r="J125" s="40" t="str">
        <f t="shared" ca="1" si="15"/>
        <v>OVERDUE</v>
      </c>
      <c r="K125" s="256"/>
    </row>
    <row r="126" spans="1:11" ht="15" x14ac:dyDescent="0.2">
      <c r="A126" s="989"/>
      <c r="B126" s="582" t="s">
        <v>304</v>
      </c>
      <c r="C126" s="39"/>
      <c r="D126" s="187"/>
      <c r="E126" s="187"/>
      <c r="F126" s="615">
        <f t="shared" ca="1" si="12"/>
        <v>-43388</v>
      </c>
      <c r="G126" s="200"/>
      <c r="H126" s="38"/>
      <c r="I126" s="39"/>
      <c r="J126" s="138" t="str">
        <f ca="1">IF(AND(J127="completed",J127="completed"),"Deliverable Completed","DELIVERABLE STILL IN PROGRESS")</f>
        <v>DELIVERABLE STILL IN PROGRESS</v>
      </c>
      <c r="K126" s="256"/>
    </row>
    <row r="127" spans="1:11" ht="15.75" thickBot="1" x14ac:dyDescent="0.25">
      <c r="A127" s="990"/>
      <c r="B127" s="208" t="s">
        <v>1000</v>
      </c>
      <c r="C127" s="213"/>
      <c r="D127" s="210"/>
      <c r="E127" s="210"/>
      <c r="F127" s="616">
        <f t="shared" ca="1" si="12"/>
        <v>-43388</v>
      </c>
      <c r="G127" s="257"/>
      <c r="H127" s="212"/>
      <c r="I127" s="213"/>
      <c r="J127" s="74" t="str">
        <f ca="1">IF(G127&gt;0,"COMPLETED",(IF(I127&gt;0,"ISSUE IDENTIFIED",(IF(TODAY()&gt;E127,"OVERDUE","In Progress")))))</f>
        <v>OVERDUE</v>
      </c>
      <c r="K127" s="402"/>
    </row>
  </sheetData>
  <sheetProtection algorithmName="SHA-512" hashValue="CWB/6Z23XWZSV6JnYvEQWDAGOiwyzsCNagEffjGDcpuQH5aHRVi03/g0AAAdiN335yglvD70ztRHAijEc01ARQ==" saltValue="aJWU+sOUrNfBvR2hy+N1zg==" spinCount="100000" sheet="1" insertRows="0" deleteRows="0" sort="0" autoFilter="0"/>
  <autoFilter ref="A8:K127" xr:uid="{00000000-0009-0000-0000-000009000000}"/>
  <mergeCells count="5">
    <mergeCell ref="A1:K1"/>
    <mergeCell ref="A9:A27"/>
    <mergeCell ref="A28:A31"/>
    <mergeCell ref="A32:A37"/>
    <mergeCell ref="A38:A127"/>
  </mergeCells>
  <conditionalFormatting sqref="F9:F150">
    <cfRule type="cellIs" dxfId="104" priority="64" stopIfTrue="1" operator="lessThan">
      <formula>-1000</formula>
    </cfRule>
  </conditionalFormatting>
  <conditionalFormatting sqref="D9:E127">
    <cfRule type="cellIs" dxfId="103" priority="36" operator="equal">
      <formula>0</formula>
    </cfRule>
  </conditionalFormatting>
  <conditionalFormatting sqref="J9:J150">
    <cfRule type="containsText" dxfId="102" priority="1" operator="containsText" text="DELIVERABLE STILL IN PROGRESS">
      <formula>NOT(ISERROR(SEARCH("DELIVERABLE STILL IN PROGRESS",J9)))</formula>
    </cfRule>
    <cfRule type="containsText" dxfId="101" priority="2" operator="containsText" text="DELIVERABLE COMPLETED">
      <formula>NOT(ISERROR(SEARCH("DELIVERABLE COMPLETED",J9)))</formula>
    </cfRule>
    <cfRule type="cellIs" dxfId="100" priority="3" stopIfTrue="1" operator="equal">
      <formula>"OVERDUE"</formula>
    </cfRule>
    <cfRule type="cellIs" dxfId="99" priority="4" stopIfTrue="1" operator="equal">
      <formula>"COMPLETED"</formula>
    </cfRule>
    <cfRule type="cellIs" dxfId="98" priority="5" stopIfTrue="1" operator="equal">
      <formula>"ISSUE IDENTIFIED"</formula>
    </cfRule>
  </conditionalFormatting>
  <printOptions horizontalCentered="1"/>
  <pageMargins left="0.25" right="0.25" top="0.5" bottom="0.75" header="0.25" footer="0.5"/>
  <pageSetup scale="43" fitToHeight="2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0C3964"/>
    <pageSetUpPr fitToPage="1"/>
  </sheetPr>
  <dimension ref="A1:OA10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A104" sqref="A104"/>
    </sheetView>
  </sheetViews>
  <sheetFormatPr defaultRowHeight="12.75" x14ac:dyDescent="0.2"/>
  <cols>
    <col min="1" max="1" width="18.42578125" style="34" bestFit="1" customWidth="1"/>
    <col min="2" max="2" width="87.7109375" style="41" customWidth="1"/>
    <col min="3" max="3" width="43.85546875" style="41" bestFit="1" customWidth="1"/>
    <col min="4" max="7" width="13.7109375" style="45" customWidth="1"/>
    <col min="8" max="8" width="13.7109375" style="34" bestFit="1" customWidth="1"/>
    <col min="9" max="9" width="16.28515625" style="41" bestFit="1" customWidth="1"/>
    <col min="10" max="10" width="26" style="34" bestFit="1" customWidth="1"/>
    <col min="11" max="11" width="56.140625" style="41" customWidth="1"/>
    <col min="12" max="12" width="15.5703125" style="119" customWidth="1"/>
    <col min="13" max="65" width="9.140625" style="119"/>
    <col min="66" max="256" width="9.140625" style="34"/>
    <col min="257" max="257" width="10.7109375" style="34" customWidth="1"/>
    <col min="258" max="258" width="50.7109375" style="34" customWidth="1"/>
    <col min="259" max="259" width="15.5703125" style="34" customWidth="1"/>
    <col min="260" max="263" width="10.7109375" style="34" customWidth="1"/>
    <col min="264" max="265" width="12.7109375" style="34" customWidth="1"/>
    <col min="266" max="266" width="18.28515625" style="34" customWidth="1"/>
    <col min="267" max="267" width="56.140625" style="34" customWidth="1"/>
    <col min="268" max="268" width="15.5703125" style="34" customWidth="1"/>
    <col min="269" max="512" width="9.140625" style="34"/>
    <col min="513" max="513" width="10.7109375" style="34" customWidth="1"/>
    <col min="514" max="514" width="50.7109375" style="34" customWidth="1"/>
    <col min="515" max="515" width="15.5703125" style="34" customWidth="1"/>
    <col min="516" max="519" width="10.7109375" style="34" customWidth="1"/>
    <col min="520" max="521" width="12.7109375" style="34" customWidth="1"/>
    <col min="522" max="522" width="18.28515625" style="34" customWidth="1"/>
    <col min="523" max="523" width="56.140625" style="34" customWidth="1"/>
    <col min="524" max="524" width="15.5703125" style="34" customWidth="1"/>
    <col min="525" max="768" width="9.140625" style="34"/>
    <col min="769" max="769" width="10.7109375" style="34" customWidth="1"/>
    <col min="770" max="770" width="50.7109375" style="34" customWidth="1"/>
    <col min="771" max="771" width="15.5703125" style="34" customWidth="1"/>
    <col min="772" max="775" width="10.7109375" style="34" customWidth="1"/>
    <col min="776" max="777" width="12.7109375" style="34" customWidth="1"/>
    <col min="778" max="778" width="18.28515625" style="34" customWidth="1"/>
    <col min="779" max="779" width="56.140625" style="34" customWidth="1"/>
    <col min="780" max="780" width="15.5703125" style="34" customWidth="1"/>
    <col min="781" max="1024" width="9.140625" style="34"/>
    <col min="1025" max="1025" width="10.7109375" style="34" customWidth="1"/>
    <col min="1026" max="1026" width="50.7109375" style="34" customWidth="1"/>
    <col min="1027" max="1027" width="15.5703125" style="34" customWidth="1"/>
    <col min="1028" max="1031" width="10.7109375" style="34" customWidth="1"/>
    <col min="1032" max="1033" width="12.7109375" style="34" customWidth="1"/>
    <col min="1034" max="1034" width="18.28515625" style="34" customWidth="1"/>
    <col min="1035" max="1035" width="56.140625" style="34" customWidth="1"/>
    <col min="1036" max="1036" width="15.5703125" style="34" customWidth="1"/>
    <col min="1037" max="1280" width="9.140625" style="34"/>
    <col min="1281" max="1281" width="10.7109375" style="34" customWidth="1"/>
    <col min="1282" max="1282" width="50.7109375" style="34" customWidth="1"/>
    <col min="1283" max="1283" width="15.5703125" style="34" customWidth="1"/>
    <col min="1284" max="1287" width="10.7109375" style="34" customWidth="1"/>
    <col min="1288" max="1289" width="12.7109375" style="34" customWidth="1"/>
    <col min="1290" max="1290" width="18.28515625" style="34" customWidth="1"/>
    <col min="1291" max="1291" width="56.140625" style="34" customWidth="1"/>
    <col min="1292" max="1292" width="15.5703125" style="34" customWidth="1"/>
    <col min="1293" max="1536" width="9.140625" style="34"/>
    <col min="1537" max="1537" width="10.7109375" style="34" customWidth="1"/>
    <col min="1538" max="1538" width="50.7109375" style="34" customWidth="1"/>
    <col min="1539" max="1539" width="15.5703125" style="34" customWidth="1"/>
    <col min="1540" max="1543" width="10.7109375" style="34" customWidth="1"/>
    <col min="1544" max="1545" width="12.7109375" style="34" customWidth="1"/>
    <col min="1546" max="1546" width="18.28515625" style="34" customWidth="1"/>
    <col min="1547" max="1547" width="56.140625" style="34" customWidth="1"/>
    <col min="1548" max="1548" width="15.5703125" style="34" customWidth="1"/>
    <col min="1549" max="1792" width="9.140625" style="34"/>
    <col min="1793" max="1793" width="10.7109375" style="34" customWidth="1"/>
    <col min="1794" max="1794" width="50.7109375" style="34" customWidth="1"/>
    <col min="1795" max="1795" width="15.5703125" style="34" customWidth="1"/>
    <col min="1796" max="1799" width="10.7109375" style="34" customWidth="1"/>
    <col min="1800" max="1801" width="12.7109375" style="34" customWidth="1"/>
    <col min="1802" max="1802" width="18.28515625" style="34" customWidth="1"/>
    <col min="1803" max="1803" width="56.140625" style="34" customWidth="1"/>
    <col min="1804" max="1804" width="15.5703125" style="34" customWidth="1"/>
    <col min="1805" max="2048" width="9.140625" style="34"/>
    <col min="2049" max="2049" width="10.7109375" style="34" customWidth="1"/>
    <col min="2050" max="2050" width="50.7109375" style="34" customWidth="1"/>
    <col min="2051" max="2051" width="15.5703125" style="34" customWidth="1"/>
    <col min="2052" max="2055" width="10.7109375" style="34" customWidth="1"/>
    <col min="2056" max="2057" width="12.7109375" style="34" customWidth="1"/>
    <col min="2058" max="2058" width="18.28515625" style="34" customWidth="1"/>
    <col min="2059" max="2059" width="56.140625" style="34" customWidth="1"/>
    <col min="2060" max="2060" width="15.5703125" style="34" customWidth="1"/>
    <col min="2061" max="2304" width="9.140625" style="34"/>
    <col min="2305" max="2305" width="10.7109375" style="34" customWidth="1"/>
    <col min="2306" max="2306" width="50.7109375" style="34" customWidth="1"/>
    <col min="2307" max="2307" width="15.5703125" style="34" customWidth="1"/>
    <col min="2308" max="2311" width="10.7109375" style="34" customWidth="1"/>
    <col min="2312" max="2313" width="12.7109375" style="34" customWidth="1"/>
    <col min="2314" max="2314" width="18.28515625" style="34" customWidth="1"/>
    <col min="2315" max="2315" width="56.140625" style="34" customWidth="1"/>
    <col min="2316" max="2316" width="15.5703125" style="34" customWidth="1"/>
    <col min="2317" max="2560" width="9.140625" style="34"/>
    <col min="2561" max="2561" width="10.7109375" style="34" customWidth="1"/>
    <col min="2562" max="2562" width="50.7109375" style="34" customWidth="1"/>
    <col min="2563" max="2563" width="15.5703125" style="34" customWidth="1"/>
    <col min="2564" max="2567" width="10.7109375" style="34" customWidth="1"/>
    <col min="2568" max="2569" width="12.7109375" style="34" customWidth="1"/>
    <col min="2570" max="2570" width="18.28515625" style="34" customWidth="1"/>
    <col min="2571" max="2571" width="56.140625" style="34" customWidth="1"/>
    <col min="2572" max="2572" width="15.5703125" style="34" customWidth="1"/>
    <col min="2573" max="2816" width="9.140625" style="34"/>
    <col min="2817" max="2817" width="10.7109375" style="34" customWidth="1"/>
    <col min="2818" max="2818" width="50.7109375" style="34" customWidth="1"/>
    <col min="2819" max="2819" width="15.5703125" style="34" customWidth="1"/>
    <col min="2820" max="2823" width="10.7109375" style="34" customWidth="1"/>
    <col min="2824" max="2825" width="12.7109375" style="34" customWidth="1"/>
    <col min="2826" max="2826" width="18.28515625" style="34" customWidth="1"/>
    <col min="2827" max="2827" width="56.140625" style="34" customWidth="1"/>
    <col min="2828" max="2828" width="15.5703125" style="34" customWidth="1"/>
    <col min="2829" max="3072" width="9.140625" style="34"/>
    <col min="3073" max="3073" width="10.7109375" style="34" customWidth="1"/>
    <col min="3074" max="3074" width="50.7109375" style="34" customWidth="1"/>
    <col min="3075" max="3075" width="15.5703125" style="34" customWidth="1"/>
    <col min="3076" max="3079" width="10.7109375" style="34" customWidth="1"/>
    <col min="3080" max="3081" width="12.7109375" style="34" customWidth="1"/>
    <col min="3082" max="3082" width="18.28515625" style="34" customWidth="1"/>
    <col min="3083" max="3083" width="56.140625" style="34" customWidth="1"/>
    <col min="3084" max="3084" width="15.5703125" style="34" customWidth="1"/>
    <col min="3085" max="3328" width="9.140625" style="34"/>
    <col min="3329" max="3329" width="10.7109375" style="34" customWidth="1"/>
    <col min="3330" max="3330" width="50.7109375" style="34" customWidth="1"/>
    <col min="3331" max="3331" width="15.5703125" style="34" customWidth="1"/>
    <col min="3332" max="3335" width="10.7109375" style="34" customWidth="1"/>
    <col min="3336" max="3337" width="12.7109375" style="34" customWidth="1"/>
    <col min="3338" max="3338" width="18.28515625" style="34" customWidth="1"/>
    <col min="3339" max="3339" width="56.140625" style="34" customWidth="1"/>
    <col min="3340" max="3340" width="15.5703125" style="34" customWidth="1"/>
    <col min="3341" max="3584" width="9.140625" style="34"/>
    <col min="3585" max="3585" width="10.7109375" style="34" customWidth="1"/>
    <col min="3586" max="3586" width="50.7109375" style="34" customWidth="1"/>
    <col min="3587" max="3587" width="15.5703125" style="34" customWidth="1"/>
    <col min="3588" max="3591" width="10.7109375" style="34" customWidth="1"/>
    <col min="3592" max="3593" width="12.7109375" style="34" customWidth="1"/>
    <col min="3594" max="3594" width="18.28515625" style="34" customWidth="1"/>
    <col min="3595" max="3595" width="56.140625" style="34" customWidth="1"/>
    <col min="3596" max="3596" width="15.5703125" style="34" customWidth="1"/>
    <col min="3597" max="3840" width="9.140625" style="34"/>
    <col min="3841" max="3841" width="10.7109375" style="34" customWidth="1"/>
    <col min="3842" max="3842" width="50.7109375" style="34" customWidth="1"/>
    <col min="3843" max="3843" width="15.5703125" style="34" customWidth="1"/>
    <col min="3844" max="3847" width="10.7109375" style="34" customWidth="1"/>
    <col min="3848" max="3849" width="12.7109375" style="34" customWidth="1"/>
    <col min="3850" max="3850" width="18.28515625" style="34" customWidth="1"/>
    <col min="3851" max="3851" width="56.140625" style="34" customWidth="1"/>
    <col min="3852" max="3852" width="15.5703125" style="34" customWidth="1"/>
    <col min="3853" max="4096" width="9.140625" style="34"/>
    <col min="4097" max="4097" width="10.7109375" style="34" customWidth="1"/>
    <col min="4098" max="4098" width="50.7109375" style="34" customWidth="1"/>
    <col min="4099" max="4099" width="15.5703125" style="34" customWidth="1"/>
    <col min="4100" max="4103" width="10.7109375" style="34" customWidth="1"/>
    <col min="4104" max="4105" width="12.7109375" style="34" customWidth="1"/>
    <col min="4106" max="4106" width="18.28515625" style="34" customWidth="1"/>
    <col min="4107" max="4107" width="56.140625" style="34" customWidth="1"/>
    <col min="4108" max="4108" width="15.5703125" style="34" customWidth="1"/>
    <col min="4109" max="4352" width="9.140625" style="34"/>
    <col min="4353" max="4353" width="10.7109375" style="34" customWidth="1"/>
    <col min="4354" max="4354" width="50.7109375" style="34" customWidth="1"/>
    <col min="4355" max="4355" width="15.5703125" style="34" customWidth="1"/>
    <col min="4356" max="4359" width="10.7109375" style="34" customWidth="1"/>
    <col min="4360" max="4361" width="12.7109375" style="34" customWidth="1"/>
    <col min="4362" max="4362" width="18.28515625" style="34" customWidth="1"/>
    <col min="4363" max="4363" width="56.140625" style="34" customWidth="1"/>
    <col min="4364" max="4364" width="15.5703125" style="34" customWidth="1"/>
    <col min="4365" max="4608" width="9.140625" style="34"/>
    <col min="4609" max="4609" width="10.7109375" style="34" customWidth="1"/>
    <col min="4610" max="4610" width="50.7109375" style="34" customWidth="1"/>
    <col min="4611" max="4611" width="15.5703125" style="34" customWidth="1"/>
    <col min="4612" max="4615" width="10.7109375" style="34" customWidth="1"/>
    <col min="4616" max="4617" width="12.7109375" style="34" customWidth="1"/>
    <col min="4618" max="4618" width="18.28515625" style="34" customWidth="1"/>
    <col min="4619" max="4619" width="56.140625" style="34" customWidth="1"/>
    <col min="4620" max="4620" width="15.5703125" style="34" customWidth="1"/>
    <col min="4621" max="4864" width="9.140625" style="34"/>
    <col min="4865" max="4865" width="10.7109375" style="34" customWidth="1"/>
    <col min="4866" max="4866" width="50.7109375" style="34" customWidth="1"/>
    <col min="4867" max="4867" width="15.5703125" style="34" customWidth="1"/>
    <col min="4868" max="4871" width="10.7109375" style="34" customWidth="1"/>
    <col min="4872" max="4873" width="12.7109375" style="34" customWidth="1"/>
    <col min="4874" max="4874" width="18.28515625" style="34" customWidth="1"/>
    <col min="4875" max="4875" width="56.140625" style="34" customWidth="1"/>
    <col min="4876" max="4876" width="15.5703125" style="34" customWidth="1"/>
    <col min="4877" max="5120" width="9.140625" style="34"/>
    <col min="5121" max="5121" width="10.7109375" style="34" customWidth="1"/>
    <col min="5122" max="5122" width="50.7109375" style="34" customWidth="1"/>
    <col min="5123" max="5123" width="15.5703125" style="34" customWidth="1"/>
    <col min="5124" max="5127" width="10.7109375" style="34" customWidth="1"/>
    <col min="5128" max="5129" width="12.7109375" style="34" customWidth="1"/>
    <col min="5130" max="5130" width="18.28515625" style="34" customWidth="1"/>
    <col min="5131" max="5131" width="56.140625" style="34" customWidth="1"/>
    <col min="5132" max="5132" width="15.5703125" style="34" customWidth="1"/>
    <col min="5133" max="5376" width="9.140625" style="34"/>
    <col min="5377" max="5377" width="10.7109375" style="34" customWidth="1"/>
    <col min="5378" max="5378" width="50.7109375" style="34" customWidth="1"/>
    <col min="5379" max="5379" width="15.5703125" style="34" customWidth="1"/>
    <col min="5380" max="5383" width="10.7109375" style="34" customWidth="1"/>
    <col min="5384" max="5385" width="12.7109375" style="34" customWidth="1"/>
    <col min="5386" max="5386" width="18.28515625" style="34" customWidth="1"/>
    <col min="5387" max="5387" width="56.140625" style="34" customWidth="1"/>
    <col min="5388" max="5388" width="15.5703125" style="34" customWidth="1"/>
    <col min="5389" max="5632" width="9.140625" style="34"/>
    <col min="5633" max="5633" width="10.7109375" style="34" customWidth="1"/>
    <col min="5634" max="5634" width="50.7109375" style="34" customWidth="1"/>
    <col min="5635" max="5635" width="15.5703125" style="34" customWidth="1"/>
    <col min="5636" max="5639" width="10.7109375" style="34" customWidth="1"/>
    <col min="5640" max="5641" width="12.7109375" style="34" customWidth="1"/>
    <col min="5642" max="5642" width="18.28515625" style="34" customWidth="1"/>
    <col min="5643" max="5643" width="56.140625" style="34" customWidth="1"/>
    <col min="5644" max="5644" width="15.5703125" style="34" customWidth="1"/>
    <col min="5645" max="5888" width="9.140625" style="34"/>
    <col min="5889" max="5889" width="10.7109375" style="34" customWidth="1"/>
    <col min="5890" max="5890" width="50.7109375" style="34" customWidth="1"/>
    <col min="5891" max="5891" width="15.5703125" style="34" customWidth="1"/>
    <col min="5892" max="5895" width="10.7109375" style="34" customWidth="1"/>
    <col min="5896" max="5897" width="12.7109375" style="34" customWidth="1"/>
    <col min="5898" max="5898" width="18.28515625" style="34" customWidth="1"/>
    <col min="5899" max="5899" width="56.140625" style="34" customWidth="1"/>
    <col min="5900" max="5900" width="15.5703125" style="34" customWidth="1"/>
    <col min="5901" max="6144" width="9.140625" style="34"/>
    <col min="6145" max="6145" width="10.7109375" style="34" customWidth="1"/>
    <col min="6146" max="6146" width="50.7109375" style="34" customWidth="1"/>
    <col min="6147" max="6147" width="15.5703125" style="34" customWidth="1"/>
    <col min="6148" max="6151" width="10.7109375" style="34" customWidth="1"/>
    <col min="6152" max="6153" width="12.7109375" style="34" customWidth="1"/>
    <col min="6154" max="6154" width="18.28515625" style="34" customWidth="1"/>
    <col min="6155" max="6155" width="56.140625" style="34" customWidth="1"/>
    <col min="6156" max="6156" width="15.5703125" style="34" customWidth="1"/>
    <col min="6157" max="6400" width="9.140625" style="34"/>
    <col min="6401" max="6401" width="10.7109375" style="34" customWidth="1"/>
    <col min="6402" max="6402" width="50.7109375" style="34" customWidth="1"/>
    <col min="6403" max="6403" width="15.5703125" style="34" customWidth="1"/>
    <col min="6404" max="6407" width="10.7109375" style="34" customWidth="1"/>
    <col min="6408" max="6409" width="12.7109375" style="34" customWidth="1"/>
    <col min="6410" max="6410" width="18.28515625" style="34" customWidth="1"/>
    <col min="6411" max="6411" width="56.140625" style="34" customWidth="1"/>
    <col min="6412" max="6412" width="15.5703125" style="34" customWidth="1"/>
    <col min="6413" max="6656" width="9.140625" style="34"/>
    <col min="6657" max="6657" width="10.7109375" style="34" customWidth="1"/>
    <col min="6658" max="6658" width="50.7109375" style="34" customWidth="1"/>
    <col min="6659" max="6659" width="15.5703125" style="34" customWidth="1"/>
    <col min="6660" max="6663" width="10.7109375" style="34" customWidth="1"/>
    <col min="6664" max="6665" width="12.7109375" style="34" customWidth="1"/>
    <col min="6666" max="6666" width="18.28515625" style="34" customWidth="1"/>
    <col min="6667" max="6667" width="56.140625" style="34" customWidth="1"/>
    <col min="6668" max="6668" width="15.5703125" style="34" customWidth="1"/>
    <col min="6669" max="6912" width="9.140625" style="34"/>
    <col min="6913" max="6913" width="10.7109375" style="34" customWidth="1"/>
    <col min="6914" max="6914" width="50.7109375" style="34" customWidth="1"/>
    <col min="6915" max="6915" width="15.5703125" style="34" customWidth="1"/>
    <col min="6916" max="6919" width="10.7109375" style="34" customWidth="1"/>
    <col min="6920" max="6921" width="12.7109375" style="34" customWidth="1"/>
    <col min="6922" max="6922" width="18.28515625" style="34" customWidth="1"/>
    <col min="6923" max="6923" width="56.140625" style="34" customWidth="1"/>
    <col min="6924" max="6924" width="15.5703125" style="34" customWidth="1"/>
    <col min="6925" max="7168" width="9.140625" style="34"/>
    <col min="7169" max="7169" width="10.7109375" style="34" customWidth="1"/>
    <col min="7170" max="7170" width="50.7109375" style="34" customWidth="1"/>
    <col min="7171" max="7171" width="15.5703125" style="34" customWidth="1"/>
    <col min="7172" max="7175" width="10.7109375" style="34" customWidth="1"/>
    <col min="7176" max="7177" width="12.7109375" style="34" customWidth="1"/>
    <col min="7178" max="7178" width="18.28515625" style="34" customWidth="1"/>
    <col min="7179" max="7179" width="56.140625" style="34" customWidth="1"/>
    <col min="7180" max="7180" width="15.5703125" style="34" customWidth="1"/>
    <col min="7181" max="7424" width="9.140625" style="34"/>
    <col min="7425" max="7425" width="10.7109375" style="34" customWidth="1"/>
    <col min="7426" max="7426" width="50.7109375" style="34" customWidth="1"/>
    <col min="7427" max="7427" width="15.5703125" style="34" customWidth="1"/>
    <col min="7428" max="7431" width="10.7109375" style="34" customWidth="1"/>
    <col min="7432" max="7433" width="12.7109375" style="34" customWidth="1"/>
    <col min="7434" max="7434" width="18.28515625" style="34" customWidth="1"/>
    <col min="7435" max="7435" width="56.140625" style="34" customWidth="1"/>
    <col min="7436" max="7436" width="15.5703125" style="34" customWidth="1"/>
    <col min="7437" max="7680" width="9.140625" style="34"/>
    <col min="7681" max="7681" width="10.7109375" style="34" customWidth="1"/>
    <col min="7682" max="7682" width="50.7109375" style="34" customWidth="1"/>
    <col min="7683" max="7683" width="15.5703125" style="34" customWidth="1"/>
    <col min="7684" max="7687" width="10.7109375" style="34" customWidth="1"/>
    <col min="7688" max="7689" width="12.7109375" style="34" customWidth="1"/>
    <col min="7690" max="7690" width="18.28515625" style="34" customWidth="1"/>
    <col min="7691" max="7691" width="56.140625" style="34" customWidth="1"/>
    <col min="7692" max="7692" width="15.5703125" style="34" customWidth="1"/>
    <col min="7693" max="7936" width="9.140625" style="34"/>
    <col min="7937" max="7937" width="10.7109375" style="34" customWidth="1"/>
    <col min="7938" max="7938" width="50.7109375" style="34" customWidth="1"/>
    <col min="7939" max="7939" width="15.5703125" style="34" customWidth="1"/>
    <col min="7940" max="7943" width="10.7109375" style="34" customWidth="1"/>
    <col min="7944" max="7945" width="12.7109375" style="34" customWidth="1"/>
    <col min="7946" max="7946" width="18.28515625" style="34" customWidth="1"/>
    <col min="7947" max="7947" width="56.140625" style="34" customWidth="1"/>
    <col min="7948" max="7948" width="15.5703125" style="34" customWidth="1"/>
    <col min="7949" max="8192" width="9.140625" style="34"/>
    <col min="8193" max="8193" width="10.7109375" style="34" customWidth="1"/>
    <col min="8194" max="8194" width="50.7109375" style="34" customWidth="1"/>
    <col min="8195" max="8195" width="15.5703125" style="34" customWidth="1"/>
    <col min="8196" max="8199" width="10.7109375" style="34" customWidth="1"/>
    <col min="8200" max="8201" width="12.7109375" style="34" customWidth="1"/>
    <col min="8202" max="8202" width="18.28515625" style="34" customWidth="1"/>
    <col min="8203" max="8203" width="56.140625" style="34" customWidth="1"/>
    <col min="8204" max="8204" width="15.5703125" style="34" customWidth="1"/>
    <col min="8205" max="8448" width="9.140625" style="34"/>
    <col min="8449" max="8449" width="10.7109375" style="34" customWidth="1"/>
    <col min="8450" max="8450" width="50.7109375" style="34" customWidth="1"/>
    <col min="8451" max="8451" width="15.5703125" style="34" customWidth="1"/>
    <col min="8452" max="8455" width="10.7109375" style="34" customWidth="1"/>
    <col min="8456" max="8457" width="12.7109375" style="34" customWidth="1"/>
    <col min="8458" max="8458" width="18.28515625" style="34" customWidth="1"/>
    <col min="8459" max="8459" width="56.140625" style="34" customWidth="1"/>
    <col min="8460" max="8460" width="15.5703125" style="34" customWidth="1"/>
    <col min="8461" max="8704" width="9.140625" style="34"/>
    <col min="8705" max="8705" width="10.7109375" style="34" customWidth="1"/>
    <col min="8706" max="8706" width="50.7109375" style="34" customWidth="1"/>
    <col min="8707" max="8707" width="15.5703125" style="34" customWidth="1"/>
    <col min="8708" max="8711" width="10.7109375" style="34" customWidth="1"/>
    <col min="8712" max="8713" width="12.7109375" style="34" customWidth="1"/>
    <col min="8714" max="8714" width="18.28515625" style="34" customWidth="1"/>
    <col min="8715" max="8715" width="56.140625" style="34" customWidth="1"/>
    <col min="8716" max="8716" width="15.5703125" style="34" customWidth="1"/>
    <col min="8717" max="8960" width="9.140625" style="34"/>
    <col min="8961" max="8961" width="10.7109375" style="34" customWidth="1"/>
    <col min="8962" max="8962" width="50.7109375" style="34" customWidth="1"/>
    <col min="8963" max="8963" width="15.5703125" style="34" customWidth="1"/>
    <col min="8964" max="8967" width="10.7109375" style="34" customWidth="1"/>
    <col min="8968" max="8969" width="12.7109375" style="34" customWidth="1"/>
    <col min="8970" max="8970" width="18.28515625" style="34" customWidth="1"/>
    <col min="8971" max="8971" width="56.140625" style="34" customWidth="1"/>
    <col min="8972" max="8972" width="15.5703125" style="34" customWidth="1"/>
    <col min="8973" max="9216" width="9.140625" style="34"/>
    <col min="9217" max="9217" width="10.7109375" style="34" customWidth="1"/>
    <col min="9218" max="9218" width="50.7109375" style="34" customWidth="1"/>
    <col min="9219" max="9219" width="15.5703125" style="34" customWidth="1"/>
    <col min="9220" max="9223" width="10.7109375" style="34" customWidth="1"/>
    <col min="9224" max="9225" width="12.7109375" style="34" customWidth="1"/>
    <col min="9226" max="9226" width="18.28515625" style="34" customWidth="1"/>
    <col min="9227" max="9227" width="56.140625" style="34" customWidth="1"/>
    <col min="9228" max="9228" width="15.5703125" style="34" customWidth="1"/>
    <col min="9229" max="9472" width="9.140625" style="34"/>
    <col min="9473" max="9473" width="10.7109375" style="34" customWidth="1"/>
    <col min="9474" max="9474" width="50.7109375" style="34" customWidth="1"/>
    <col min="9475" max="9475" width="15.5703125" style="34" customWidth="1"/>
    <col min="9476" max="9479" width="10.7109375" style="34" customWidth="1"/>
    <col min="9480" max="9481" width="12.7109375" style="34" customWidth="1"/>
    <col min="9482" max="9482" width="18.28515625" style="34" customWidth="1"/>
    <col min="9483" max="9483" width="56.140625" style="34" customWidth="1"/>
    <col min="9484" max="9484" width="15.5703125" style="34" customWidth="1"/>
    <col min="9485" max="9728" width="9.140625" style="34"/>
    <col min="9729" max="9729" width="10.7109375" style="34" customWidth="1"/>
    <col min="9730" max="9730" width="50.7109375" style="34" customWidth="1"/>
    <col min="9731" max="9731" width="15.5703125" style="34" customWidth="1"/>
    <col min="9732" max="9735" width="10.7109375" style="34" customWidth="1"/>
    <col min="9736" max="9737" width="12.7109375" style="34" customWidth="1"/>
    <col min="9738" max="9738" width="18.28515625" style="34" customWidth="1"/>
    <col min="9739" max="9739" width="56.140625" style="34" customWidth="1"/>
    <col min="9740" max="9740" width="15.5703125" style="34" customWidth="1"/>
    <col min="9741" max="9984" width="9.140625" style="34"/>
    <col min="9985" max="9985" width="10.7109375" style="34" customWidth="1"/>
    <col min="9986" max="9986" width="50.7109375" style="34" customWidth="1"/>
    <col min="9987" max="9987" width="15.5703125" style="34" customWidth="1"/>
    <col min="9988" max="9991" width="10.7109375" style="34" customWidth="1"/>
    <col min="9992" max="9993" width="12.7109375" style="34" customWidth="1"/>
    <col min="9994" max="9994" width="18.28515625" style="34" customWidth="1"/>
    <col min="9995" max="9995" width="56.140625" style="34" customWidth="1"/>
    <col min="9996" max="9996" width="15.5703125" style="34" customWidth="1"/>
    <col min="9997" max="10240" width="9.140625" style="34"/>
    <col min="10241" max="10241" width="10.7109375" style="34" customWidth="1"/>
    <col min="10242" max="10242" width="50.7109375" style="34" customWidth="1"/>
    <col min="10243" max="10243" width="15.5703125" style="34" customWidth="1"/>
    <col min="10244" max="10247" width="10.7109375" style="34" customWidth="1"/>
    <col min="10248" max="10249" width="12.7109375" style="34" customWidth="1"/>
    <col min="10250" max="10250" width="18.28515625" style="34" customWidth="1"/>
    <col min="10251" max="10251" width="56.140625" style="34" customWidth="1"/>
    <col min="10252" max="10252" width="15.5703125" style="34" customWidth="1"/>
    <col min="10253" max="10496" width="9.140625" style="34"/>
    <col min="10497" max="10497" width="10.7109375" style="34" customWidth="1"/>
    <col min="10498" max="10498" width="50.7109375" style="34" customWidth="1"/>
    <col min="10499" max="10499" width="15.5703125" style="34" customWidth="1"/>
    <col min="10500" max="10503" width="10.7109375" style="34" customWidth="1"/>
    <col min="10504" max="10505" width="12.7109375" style="34" customWidth="1"/>
    <col min="10506" max="10506" width="18.28515625" style="34" customWidth="1"/>
    <col min="10507" max="10507" width="56.140625" style="34" customWidth="1"/>
    <col min="10508" max="10508" width="15.5703125" style="34" customWidth="1"/>
    <col min="10509" max="10752" width="9.140625" style="34"/>
    <col min="10753" max="10753" width="10.7109375" style="34" customWidth="1"/>
    <col min="10754" max="10754" width="50.7109375" style="34" customWidth="1"/>
    <col min="10755" max="10755" width="15.5703125" style="34" customWidth="1"/>
    <col min="10756" max="10759" width="10.7109375" style="34" customWidth="1"/>
    <col min="10760" max="10761" width="12.7109375" style="34" customWidth="1"/>
    <col min="10762" max="10762" width="18.28515625" style="34" customWidth="1"/>
    <col min="10763" max="10763" width="56.140625" style="34" customWidth="1"/>
    <col min="10764" max="10764" width="15.5703125" style="34" customWidth="1"/>
    <col min="10765" max="11008" width="9.140625" style="34"/>
    <col min="11009" max="11009" width="10.7109375" style="34" customWidth="1"/>
    <col min="11010" max="11010" width="50.7109375" style="34" customWidth="1"/>
    <col min="11011" max="11011" width="15.5703125" style="34" customWidth="1"/>
    <col min="11012" max="11015" width="10.7109375" style="34" customWidth="1"/>
    <col min="11016" max="11017" width="12.7109375" style="34" customWidth="1"/>
    <col min="11018" max="11018" width="18.28515625" style="34" customWidth="1"/>
    <col min="11019" max="11019" width="56.140625" style="34" customWidth="1"/>
    <col min="11020" max="11020" width="15.5703125" style="34" customWidth="1"/>
    <col min="11021" max="11264" width="9.140625" style="34"/>
    <col min="11265" max="11265" width="10.7109375" style="34" customWidth="1"/>
    <col min="11266" max="11266" width="50.7109375" style="34" customWidth="1"/>
    <col min="11267" max="11267" width="15.5703125" style="34" customWidth="1"/>
    <col min="11268" max="11271" width="10.7109375" style="34" customWidth="1"/>
    <col min="11272" max="11273" width="12.7109375" style="34" customWidth="1"/>
    <col min="11274" max="11274" width="18.28515625" style="34" customWidth="1"/>
    <col min="11275" max="11275" width="56.140625" style="34" customWidth="1"/>
    <col min="11276" max="11276" width="15.5703125" style="34" customWidth="1"/>
    <col min="11277" max="11520" width="9.140625" style="34"/>
    <col min="11521" max="11521" width="10.7109375" style="34" customWidth="1"/>
    <col min="11522" max="11522" width="50.7109375" style="34" customWidth="1"/>
    <col min="11523" max="11523" width="15.5703125" style="34" customWidth="1"/>
    <col min="11524" max="11527" width="10.7109375" style="34" customWidth="1"/>
    <col min="11528" max="11529" width="12.7109375" style="34" customWidth="1"/>
    <col min="11530" max="11530" width="18.28515625" style="34" customWidth="1"/>
    <col min="11531" max="11531" width="56.140625" style="34" customWidth="1"/>
    <col min="11532" max="11532" width="15.5703125" style="34" customWidth="1"/>
    <col min="11533" max="11776" width="9.140625" style="34"/>
    <col min="11777" max="11777" width="10.7109375" style="34" customWidth="1"/>
    <col min="11778" max="11778" width="50.7109375" style="34" customWidth="1"/>
    <col min="11779" max="11779" width="15.5703125" style="34" customWidth="1"/>
    <col min="11780" max="11783" width="10.7109375" style="34" customWidth="1"/>
    <col min="11784" max="11785" width="12.7109375" style="34" customWidth="1"/>
    <col min="11786" max="11786" width="18.28515625" style="34" customWidth="1"/>
    <col min="11787" max="11787" width="56.140625" style="34" customWidth="1"/>
    <col min="11788" max="11788" width="15.5703125" style="34" customWidth="1"/>
    <col min="11789" max="12032" width="9.140625" style="34"/>
    <col min="12033" max="12033" width="10.7109375" style="34" customWidth="1"/>
    <col min="12034" max="12034" width="50.7109375" style="34" customWidth="1"/>
    <col min="12035" max="12035" width="15.5703125" style="34" customWidth="1"/>
    <col min="12036" max="12039" width="10.7109375" style="34" customWidth="1"/>
    <col min="12040" max="12041" width="12.7109375" style="34" customWidth="1"/>
    <col min="12042" max="12042" width="18.28515625" style="34" customWidth="1"/>
    <col min="12043" max="12043" width="56.140625" style="34" customWidth="1"/>
    <col min="12044" max="12044" width="15.5703125" style="34" customWidth="1"/>
    <col min="12045" max="12288" width="9.140625" style="34"/>
    <col min="12289" max="12289" width="10.7109375" style="34" customWidth="1"/>
    <col min="12290" max="12290" width="50.7109375" style="34" customWidth="1"/>
    <col min="12291" max="12291" width="15.5703125" style="34" customWidth="1"/>
    <col min="12292" max="12295" width="10.7109375" style="34" customWidth="1"/>
    <col min="12296" max="12297" width="12.7109375" style="34" customWidth="1"/>
    <col min="12298" max="12298" width="18.28515625" style="34" customWidth="1"/>
    <col min="12299" max="12299" width="56.140625" style="34" customWidth="1"/>
    <col min="12300" max="12300" width="15.5703125" style="34" customWidth="1"/>
    <col min="12301" max="12544" width="9.140625" style="34"/>
    <col min="12545" max="12545" width="10.7109375" style="34" customWidth="1"/>
    <col min="12546" max="12546" width="50.7109375" style="34" customWidth="1"/>
    <col min="12547" max="12547" width="15.5703125" style="34" customWidth="1"/>
    <col min="12548" max="12551" width="10.7109375" style="34" customWidth="1"/>
    <col min="12552" max="12553" width="12.7109375" style="34" customWidth="1"/>
    <col min="12554" max="12554" width="18.28515625" style="34" customWidth="1"/>
    <col min="12555" max="12555" width="56.140625" style="34" customWidth="1"/>
    <col min="12556" max="12556" width="15.5703125" style="34" customWidth="1"/>
    <col min="12557" max="12800" width="9.140625" style="34"/>
    <col min="12801" max="12801" width="10.7109375" style="34" customWidth="1"/>
    <col min="12802" max="12802" width="50.7109375" style="34" customWidth="1"/>
    <col min="12803" max="12803" width="15.5703125" style="34" customWidth="1"/>
    <col min="12804" max="12807" width="10.7109375" style="34" customWidth="1"/>
    <col min="12808" max="12809" width="12.7109375" style="34" customWidth="1"/>
    <col min="12810" max="12810" width="18.28515625" style="34" customWidth="1"/>
    <col min="12811" max="12811" width="56.140625" style="34" customWidth="1"/>
    <col min="12812" max="12812" width="15.5703125" style="34" customWidth="1"/>
    <col min="12813" max="13056" width="9.140625" style="34"/>
    <col min="13057" max="13057" width="10.7109375" style="34" customWidth="1"/>
    <col min="13058" max="13058" width="50.7109375" style="34" customWidth="1"/>
    <col min="13059" max="13059" width="15.5703125" style="34" customWidth="1"/>
    <col min="13060" max="13063" width="10.7109375" style="34" customWidth="1"/>
    <col min="13064" max="13065" width="12.7109375" style="34" customWidth="1"/>
    <col min="13066" max="13066" width="18.28515625" style="34" customWidth="1"/>
    <col min="13067" max="13067" width="56.140625" style="34" customWidth="1"/>
    <col min="13068" max="13068" width="15.5703125" style="34" customWidth="1"/>
    <col min="13069" max="13312" width="9.140625" style="34"/>
    <col min="13313" max="13313" width="10.7109375" style="34" customWidth="1"/>
    <col min="13314" max="13314" width="50.7109375" style="34" customWidth="1"/>
    <col min="13315" max="13315" width="15.5703125" style="34" customWidth="1"/>
    <col min="13316" max="13319" width="10.7109375" style="34" customWidth="1"/>
    <col min="13320" max="13321" width="12.7109375" style="34" customWidth="1"/>
    <col min="13322" max="13322" width="18.28515625" style="34" customWidth="1"/>
    <col min="13323" max="13323" width="56.140625" style="34" customWidth="1"/>
    <col min="13324" max="13324" width="15.5703125" style="34" customWidth="1"/>
    <col min="13325" max="13568" width="9.140625" style="34"/>
    <col min="13569" max="13569" width="10.7109375" style="34" customWidth="1"/>
    <col min="13570" max="13570" width="50.7109375" style="34" customWidth="1"/>
    <col min="13571" max="13571" width="15.5703125" style="34" customWidth="1"/>
    <col min="13572" max="13575" width="10.7109375" style="34" customWidth="1"/>
    <col min="13576" max="13577" width="12.7109375" style="34" customWidth="1"/>
    <col min="13578" max="13578" width="18.28515625" style="34" customWidth="1"/>
    <col min="13579" max="13579" width="56.140625" style="34" customWidth="1"/>
    <col min="13580" max="13580" width="15.5703125" style="34" customWidth="1"/>
    <col min="13581" max="13824" width="9.140625" style="34"/>
    <col min="13825" max="13825" width="10.7109375" style="34" customWidth="1"/>
    <col min="13826" max="13826" width="50.7109375" style="34" customWidth="1"/>
    <col min="13827" max="13827" width="15.5703125" style="34" customWidth="1"/>
    <col min="13828" max="13831" width="10.7109375" style="34" customWidth="1"/>
    <col min="13832" max="13833" width="12.7109375" style="34" customWidth="1"/>
    <col min="13834" max="13834" width="18.28515625" style="34" customWidth="1"/>
    <col min="13835" max="13835" width="56.140625" style="34" customWidth="1"/>
    <col min="13836" max="13836" width="15.5703125" style="34" customWidth="1"/>
    <col min="13837" max="14080" width="9.140625" style="34"/>
    <col min="14081" max="14081" width="10.7109375" style="34" customWidth="1"/>
    <col min="14082" max="14082" width="50.7109375" style="34" customWidth="1"/>
    <col min="14083" max="14083" width="15.5703125" style="34" customWidth="1"/>
    <col min="14084" max="14087" width="10.7109375" style="34" customWidth="1"/>
    <col min="14088" max="14089" width="12.7109375" style="34" customWidth="1"/>
    <col min="14090" max="14090" width="18.28515625" style="34" customWidth="1"/>
    <col min="14091" max="14091" width="56.140625" style="34" customWidth="1"/>
    <col min="14092" max="14092" width="15.5703125" style="34" customWidth="1"/>
    <col min="14093" max="14336" width="9.140625" style="34"/>
    <col min="14337" max="14337" width="10.7109375" style="34" customWidth="1"/>
    <col min="14338" max="14338" width="50.7109375" style="34" customWidth="1"/>
    <col min="14339" max="14339" width="15.5703125" style="34" customWidth="1"/>
    <col min="14340" max="14343" width="10.7109375" style="34" customWidth="1"/>
    <col min="14344" max="14345" width="12.7109375" style="34" customWidth="1"/>
    <col min="14346" max="14346" width="18.28515625" style="34" customWidth="1"/>
    <col min="14347" max="14347" width="56.140625" style="34" customWidth="1"/>
    <col min="14348" max="14348" width="15.5703125" style="34" customWidth="1"/>
    <col min="14349" max="14592" width="9.140625" style="34"/>
    <col min="14593" max="14593" width="10.7109375" style="34" customWidth="1"/>
    <col min="14594" max="14594" width="50.7109375" style="34" customWidth="1"/>
    <col min="14595" max="14595" width="15.5703125" style="34" customWidth="1"/>
    <col min="14596" max="14599" width="10.7109375" style="34" customWidth="1"/>
    <col min="14600" max="14601" width="12.7109375" style="34" customWidth="1"/>
    <col min="14602" max="14602" width="18.28515625" style="34" customWidth="1"/>
    <col min="14603" max="14603" width="56.140625" style="34" customWidth="1"/>
    <col min="14604" max="14604" width="15.5703125" style="34" customWidth="1"/>
    <col min="14605" max="14848" width="9.140625" style="34"/>
    <col min="14849" max="14849" width="10.7109375" style="34" customWidth="1"/>
    <col min="14850" max="14850" width="50.7109375" style="34" customWidth="1"/>
    <col min="14851" max="14851" width="15.5703125" style="34" customWidth="1"/>
    <col min="14852" max="14855" width="10.7109375" style="34" customWidth="1"/>
    <col min="14856" max="14857" width="12.7109375" style="34" customWidth="1"/>
    <col min="14858" max="14858" width="18.28515625" style="34" customWidth="1"/>
    <col min="14859" max="14859" width="56.140625" style="34" customWidth="1"/>
    <col min="14860" max="14860" width="15.5703125" style="34" customWidth="1"/>
    <col min="14861" max="15104" width="9.140625" style="34"/>
    <col min="15105" max="15105" width="10.7109375" style="34" customWidth="1"/>
    <col min="15106" max="15106" width="50.7109375" style="34" customWidth="1"/>
    <col min="15107" max="15107" width="15.5703125" style="34" customWidth="1"/>
    <col min="15108" max="15111" width="10.7109375" style="34" customWidth="1"/>
    <col min="15112" max="15113" width="12.7109375" style="34" customWidth="1"/>
    <col min="15114" max="15114" width="18.28515625" style="34" customWidth="1"/>
    <col min="15115" max="15115" width="56.140625" style="34" customWidth="1"/>
    <col min="15116" max="15116" width="15.5703125" style="34" customWidth="1"/>
    <col min="15117" max="15360" width="9.140625" style="34"/>
    <col min="15361" max="15361" width="10.7109375" style="34" customWidth="1"/>
    <col min="15362" max="15362" width="50.7109375" style="34" customWidth="1"/>
    <col min="15363" max="15363" width="15.5703125" style="34" customWidth="1"/>
    <col min="15364" max="15367" width="10.7109375" style="34" customWidth="1"/>
    <col min="15368" max="15369" width="12.7109375" style="34" customWidth="1"/>
    <col min="15370" max="15370" width="18.28515625" style="34" customWidth="1"/>
    <col min="15371" max="15371" width="56.140625" style="34" customWidth="1"/>
    <col min="15372" max="15372" width="15.5703125" style="34" customWidth="1"/>
    <col min="15373" max="15616" width="9.140625" style="34"/>
    <col min="15617" max="15617" width="10.7109375" style="34" customWidth="1"/>
    <col min="15618" max="15618" width="50.7109375" style="34" customWidth="1"/>
    <col min="15619" max="15619" width="15.5703125" style="34" customWidth="1"/>
    <col min="15620" max="15623" width="10.7109375" style="34" customWidth="1"/>
    <col min="15624" max="15625" width="12.7109375" style="34" customWidth="1"/>
    <col min="15626" max="15626" width="18.28515625" style="34" customWidth="1"/>
    <col min="15627" max="15627" width="56.140625" style="34" customWidth="1"/>
    <col min="15628" max="15628" width="15.5703125" style="34" customWidth="1"/>
    <col min="15629" max="15872" width="9.140625" style="34"/>
    <col min="15873" max="15873" width="10.7109375" style="34" customWidth="1"/>
    <col min="15874" max="15874" width="50.7109375" style="34" customWidth="1"/>
    <col min="15875" max="15875" width="15.5703125" style="34" customWidth="1"/>
    <col min="15876" max="15879" width="10.7109375" style="34" customWidth="1"/>
    <col min="15880" max="15881" width="12.7109375" style="34" customWidth="1"/>
    <col min="15882" max="15882" width="18.28515625" style="34" customWidth="1"/>
    <col min="15883" max="15883" width="56.140625" style="34" customWidth="1"/>
    <col min="15884" max="15884" width="15.5703125" style="34" customWidth="1"/>
    <col min="15885" max="16128" width="9.140625" style="34"/>
    <col min="16129" max="16129" width="10.7109375" style="34" customWidth="1"/>
    <col min="16130" max="16130" width="50.7109375" style="34" customWidth="1"/>
    <col min="16131" max="16131" width="15.5703125" style="34" customWidth="1"/>
    <col min="16132" max="16135" width="10.7109375" style="34" customWidth="1"/>
    <col min="16136" max="16137" width="12.7109375" style="34" customWidth="1"/>
    <col min="16138" max="16138" width="18.28515625" style="34" customWidth="1"/>
    <col min="16139" max="16139" width="56.140625" style="34" customWidth="1"/>
    <col min="16140" max="16140" width="15.5703125" style="34" customWidth="1"/>
    <col min="16141" max="16384" width="9.140625" style="34"/>
  </cols>
  <sheetData>
    <row r="1" spans="1:65" ht="69.95" customHeight="1" thickBot="1" x14ac:dyDescent="0.25">
      <c r="A1" s="966" t="s">
        <v>1025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118"/>
    </row>
    <row r="2" spans="1:65" s="540" customFormat="1" ht="15.95" customHeight="1" thickTop="1" x14ac:dyDescent="0.25">
      <c r="A2" s="436" t="s">
        <v>1019</v>
      </c>
      <c r="B2" s="437">
        <f>Resources!C17</f>
        <v>0</v>
      </c>
      <c r="C2" s="438" t="s">
        <v>776</v>
      </c>
      <c r="D2" s="439">
        <f ca="1">COUNTIF($J$9:$J$109,"Deliverable Still In Progress")</f>
        <v>16</v>
      </c>
      <c r="E2" s="440"/>
      <c r="F2" s="441"/>
      <c r="G2" s="441"/>
      <c r="H2" s="454"/>
      <c r="I2" s="490"/>
      <c r="J2" s="454"/>
      <c r="K2" s="491"/>
      <c r="L2" s="538"/>
      <c r="M2" s="539"/>
      <c r="N2" s="539"/>
      <c r="O2" s="539"/>
      <c r="P2" s="539"/>
      <c r="Q2" s="539"/>
      <c r="R2" s="539"/>
      <c r="S2" s="539"/>
      <c r="T2" s="539"/>
      <c r="U2" s="539"/>
      <c r="V2" s="539"/>
      <c r="W2" s="539"/>
      <c r="X2" s="539"/>
      <c r="Y2" s="539"/>
      <c r="Z2" s="539"/>
      <c r="AA2" s="539"/>
      <c r="AB2" s="539"/>
      <c r="AC2" s="539"/>
      <c r="AD2" s="539"/>
      <c r="AE2" s="539"/>
      <c r="AF2" s="539"/>
      <c r="AG2" s="539"/>
      <c r="AH2" s="539"/>
      <c r="AI2" s="539"/>
      <c r="AJ2" s="539"/>
      <c r="AK2" s="539"/>
      <c r="AL2" s="539"/>
      <c r="AM2" s="539"/>
      <c r="AN2" s="539"/>
      <c r="AO2" s="539"/>
      <c r="AP2" s="539"/>
      <c r="AQ2" s="539"/>
      <c r="AR2" s="539"/>
      <c r="AS2" s="539"/>
      <c r="AT2" s="539"/>
      <c r="AU2" s="539"/>
      <c r="AV2" s="539"/>
      <c r="AW2" s="539"/>
      <c r="AX2" s="539"/>
      <c r="AY2" s="539"/>
      <c r="AZ2" s="539"/>
      <c r="BA2" s="539"/>
      <c r="BB2" s="539"/>
      <c r="BC2" s="539"/>
      <c r="BD2" s="539"/>
      <c r="BE2" s="539"/>
      <c r="BF2" s="539"/>
      <c r="BG2" s="539"/>
      <c r="BH2" s="539"/>
      <c r="BI2" s="539"/>
      <c r="BJ2" s="539"/>
      <c r="BK2" s="539"/>
      <c r="BL2" s="539"/>
      <c r="BM2" s="539"/>
    </row>
    <row r="3" spans="1:65" s="540" customFormat="1" ht="15.95" customHeight="1" x14ac:dyDescent="0.25">
      <c r="A3" s="436" t="s">
        <v>1020</v>
      </c>
      <c r="B3" s="437">
        <f>Resources!E17</f>
        <v>0</v>
      </c>
      <c r="C3" s="438" t="s">
        <v>777</v>
      </c>
      <c r="D3" s="439">
        <f ca="1">COUNTIF($J$9:$J$109,"Deliverable Completed")</f>
        <v>0</v>
      </c>
      <c r="E3" s="449">
        <f ca="1">D3/D6</f>
        <v>0</v>
      </c>
      <c r="F3" s="441"/>
      <c r="G3" s="441"/>
      <c r="H3" s="454"/>
      <c r="I3" s="490"/>
      <c r="J3" s="454"/>
      <c r="K3" s="491"/>
      <c r="L3" s="538"/>
      <c r="M3" s="539"/>
      <c r="N3" s="539"/>
      <c r="O3" s="539"/>
      <c r="P3" s="539"/>
      <c r="Q3" s="539"/>
      <c r="R3" s="539"/>
      <c r="S3" s="539"/>
      <c r="T3" s="539"/>
      <c r="U3" s="539"/>
      <c r="V3" s="539"/>
      <c r="W3" s="539"/>
      <c r="X3" s="539"/>
      <c r="Y3" s="539"/>
      <c r="Z3" s="539"/>
      <c r="AA3" s="539"/>
      <c r="AB3" s="539"/>
      <c r="AC3" s="539"/>
      <c r="AD3" s="539"/>
      <c r="AE3" s="539"/>
      <c r="AF3" s="539"/>
      <c r="AG3" s="539"/>
      <c r="AH3" s="539"/>
      <c r="AI3" s="539"/>
      <c r="AJ3" s="539"/>
      <c r="AK3" s="539"/>
      <c r="AL3" s="539"/>
      <c r="AM3" s="539"/>
      <c r="AN3" s="539"/>
      <c r="AO3" s="539"/>
      <c r="AP3" s="539"/>
      <c r="AQ3" s="539"/>
      <c r="AR3" s="539"/>
      <c r="AS3" s="539"/>
      <c r="AT3" s="539"/>
      <c r="AU3" s="539"/>
      <c r="AV3" s="539"/>
      <c r="AW3" s="539"/>
      <c r="AX3" s="539"/>
      <c r="AY3" s="539"/>
      <c r="AZ3" s="539"/>
      <c r="BA3" s="539"/>
      <c r="BB3" s="539"/>
      <c r="BC3" s="539"/>
      <c r="BD3" s="539"/>
      <c r="BE3" s="539"/>
      <c r="BF3" s="539"/>
      <c r="BG3" s="539"/>
      <c r="BH3" s="539"/>
      <c r="BI3" s="539"/>
      <c r="BJ3" s="539"/>
      <c r="BK3" s="539"/>
      <c r="BL3" s="539"/>
      <c r="BM3" s="539"/>
    </row>
    <row r="4" spans="1:65" s="540" customFormat="1" ht="15.95" customHeight="1" x14ac:dyDescent="0.25">
      <c r="A4" s="436" t="s">
        <v>1021</v>
      </c>
      <c r="B4" s="450"/>
      <c r="C4" s="438" t="s">
        <v>778</v>
      </c>
      <c r="D4" s="439">
        <f ca="1">D7-COUNTIF($J$9:$J$109,"completed")</f>
        <v>85</v>
      </c>
      <c r="E4" s="440"/>
      <c r="F4" s="441"/>
      <c r="G4" s="441"/>
      <c r="H4" s="454"/>
      <c r="I4" s="490"/>
      <c r="J4" s="454"/>
      <c r="K4" s="491"/>
      <c r="L4" s="538"/>
      <c r="M4" s="539"/>
      <c r="N4" s="539"/>
      <c r="O4" s="539"/>
      <c r="P4" s="539"/>
      <c r="Q4" s="539"/>
      <c r="R4" s="539"/>
      <c r="S4" s="539"/>
      <c r="T4" s="539"/>
      <c r="U4" s="539"/>
      <c r="V4" s="539"/>
      <c r="W4" s="539"/>
      <c r="X4" s="539"/>
      <c r="Y4" s="539"/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39"/>
      <c r="AP4" s="539"/>
      <c r="AQ4" s="539"/>
      <c r="AR4" s="539"/>
      <c r="AS4" s="539"/>
      <c r="AT4" s="539"/>
      <c r="AU4" s="539"/>
      <c r="AV4" s="539"/>
      <c r="AW4" s="539"/>
      <c r="AX4" s="539"/>
      <c r="AY4" s="539"/>
      <c r="AZ4" s="539"/>
      <c r="BA4" s="539"/>
      <c r="BB4" s="539"/>
      <c r="BC4" s="539"/>
      <c r="BD4" s="539"/>
      <c r="BE4" s="539"/>
      <c r="BF4" s="539"/>
      <c r="BG4" s="539"/>
      <c r="BH4" s="539"/>
      <c r="BI4" s="539"/>
      <c r="BJ4" s="539"/>
      <c r="BK4" s="539"/>
      <c r="BL4" s="539"/>
      <c r="BM4" s="539"/>
    </row>
    <row r="5" spans="1:65" s="540" customFormat="1" ht="15.95" customHeight="1" x14ac:dyDescent="0.25">
      <c r="A5" s="451"/>
      <c r="B5" s="450"/>
      <c r="C5" s="452" t="s">
        <v>779</v>
      </c>
      <c r="D5" s="439">
        <f ca="1">D7-D4</f>
        <v>0</v>
      </c>
      <c r="E5" s="449">
        <f ca="1">D5/D7</f>
        <v>0</v>
      </c>
      <c r="F5" s="441"/>
      <c r="G5" s="441"/>
      <c r="H5" s="454"/>
      <c r="I5" s="490"/>
      <c r="J5" s="454"/>
      <c r="K5" s="491"/>
      <c r="L5" s="538"/>
      <c r="M5" s="539"/>
      <c r="N5" s="539"/>
      <c r="O5" s="539"/>
      <c r="P5" s="539"/>
      <c r="Q5" s="539"/>
      <c r="R5" s="539"/>
      <c r="S5" s="539"/>
      <c r="T5" s="539"/>
      <c r="U5" s="539"/>
      <c r="V5" s="539"/>
      <c r="W5" s="539"/>
      <c r="X5" s="539"/>
      <c r="Y5" s="539"/>
      <c r="Z5" s="539"/>
      <c r="AA5" s="539"/>
      <c r="AB5" s="539"/>
      <c r="AC5" s="539"/>
      <c r="AD5" s="539"/>
      <c r="AE5" s="539"/>
      <c r="AF5" s="539"/>
      <c r="AG5" s="539"/>
      <c r="AH5" s="539"/>
      <c r="AI5" s="539"/>
      <c r="AJ5" s="539"/>
      <c r="AK5" s="539"/>
      <c r="AL5" s="539"/>
      <c r="AM5" s="539"/>
      <c r="AN5" s="539"/>
      <c r="AO5" s="539"/>
      <c r="AP5" s="539"/>
      <c r="AQ5" s="539"/>
      <c r="AR5" s="539"/>
      <c r="AS5" s="539"/>
      <c r="AT5" s="539"/>
      <c r="AU5" s="539"/>
      <c r="AV5" s="539"/>
      <c r="AW5" s="539"/>
      <c r="AX5" s="539"/>
      <c r="AY5" s="539"/>
      <c r="AZ5" s="539"/>
      <c r="BA5" s="539"/>
      <c r="BB5" s="539"/>
      <c r="BC5" s="539"/>
      <c r="BD5" s="539"/>
      <c r="BE5" s="539"/>
      <c r="BF5" s="539"/>
      <c r="BG5" s="539"/>
      <c r="BH5" s="539"/>
      <c r="BI5" s="539"/>
      <c r="BJ5" s="539"/>
      <c r="BK5" s="539"/>
      <c r="BL5" s="539"/>
      <c r="BM5" s="539"/>
    </row>
    <row r="6" spans="1:65" s="540" customFormat="1" ht="15.95" customHeight="1" thickBot="1" x14ac:dyDescent="0.3">
      <c r="A6" s="451"/>
      <c r="B6" s="506"/>
      <c r="C6" s="452" t="s">
        <v>780</v>
      </c>
      <c r="D6" s="439">
        <f ca="1">D2+D3</f>
        <v>16</v>
      </c>
      <c r="E6" s="449"/>
      <c r="F6" s="441"/>
      <c r="G6" s="441"/>
      <c r="H6" s="454"/>
      <c r="I6" s="490"/>
      <c r="J6" s="454"/>
      <c r="K6" s="491"/>
      <c r="L6" s="538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</row>
    <row r="7" spans="1:65" s="540" customFormat="1" ht="15.95" customHeight="1" thickBot="1" x14ac:dyDescent="0.3">
      <c r="A7" s="451"/>
      <c r="B7" s="450"/>
      <c r="C7" s="452" t="s">
        <v>781</v>
      </c>
      <c r="D7" s="439">
        <f ca="1">COUNTA($B$9:$B$109)-D6</f>
        <v>85</v>
      </c>
      <c r="E7" s="449"/>
      <c r="F7" s="544" t="s">
        <v>1017</v>
      </c>
      <c r="G7" s="441"/>
      <c r="H7" s="454"/>
      <c r="I7" s="490"/>
      <c r="J7" s="544" t="s">
        <v>1017</v>
      </c>
      <c r="K7" s="491"/>
      <c r="L7" s="538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</row>
    <row r="8" spans="1:65" s="123" customFormat="1" ht="47.25" x14ac:dyDescent="0.25">
      <c r="A8" s="352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496" t="s">
        <v>53</v>
      </c>
      <c r="H8" s="496" t="s">
        <v>95</v>
      </c>
      <c r="I8" s="496" t="s">
        <v>54</v>
      </c>
      <c r="J8" s="528" t="s">
        <v>55</v>
      </c>
      <c r="K8" s="356" t="s">
        <v>56</v>
      </c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</row>
    <row r="9" spans="1:65" ht="15" x14ac:dyDescent="0.25">
      <c r="A9" s="499"/>
      <c r="B9" s="545" t="s">
        <v>305</v>
      </c>
      <c r="C9" s="145"/>
      <c r="D9" s="184"/>
      <c r="E9" s="184"/>
      <c r="F9" s="563">
        <f t="shared" ref="F9:F72" ca="1" si="0">IF(ISBLANK(G9),IF(ISERROR(DAYS360(TODAY(),E9))," ",(DAYS360(TODAY(),E9))),E9-G9)</f>
        <v>-43388</v>
      </c>
      <c r="G9" s="143"/>
      <c r="H9" s="546"/>
      <c r="I9" s="547"/>
      <c r="J9" s="173" t="str">
        <f ca="1">IF(AND(J10="completed",J11="completed",J12="completed",J13="completed",J14="completed",J15="completed",J16="completed"),"Deliverable Completed","DELIVERABLE STILL IN PROGRESS")</f>
        <v>DELIVERABLE STILL IN PROGRESS</v>
      </c>
      <c r="K9" s="198"/>
    </row>
    <row r="10" spans="1:65" x14ac:dyDescent="0.2">
      <c r="A10" s="499"/>
      <c r="B10" s="548" t="s">
        <v>306</v>
      </c>
      <c r="C10" s="187"/>
      <c r="D10" s="187"/>
      <c r="E10" s="187"/>
      <c r="F10" s="564">
        <f t="shared" ca="1" si="0"/>
        <v>-43388</v>
      </c>
      <c r="G10" s="556"/>
      <c r="H10" s="556"/>
      <c r="I10" s="556"/>
      <c r="J10" s="38" t="str">
        <f t="shared" ref="J10:J16" ca="1" si="1">IF(G10&gt;0,"COMPLETED",(IF(I10&gt;0,"ISSUE IDENTIFIED",(IF(TODAY()&gt;E10,"OVERDUE","In Progress")))))</f>
        <v>OVERDUE</v>
      </c>
      <c r="K10" s="557"/>
    </row>
    <row r="11" spans="1:65" ht="25.5" x14ac:dyDescent="0.2">
      <c r="A11" s="499"/>
      <c r="B11" s="548" t="s">
        <v>307</v>
      </c>
      <c r="C11" s="187"/>
      <c r="D11" s="187"/>
      <c r="E11" s="187"/>
      <c r="F11" s="564">
        <f t="shared" ca="1" si="0"/>
        <v>-43388</v>
      </c>
      <c r="G11" s="556"/>
      <c r="H11" s="556"/>
      <c r="I11" s="556"/>
      <c r="J11" s="38" t="str">
        <f t="shared" ca="1" si="1"/>
        <v>OVERDUE</v>
      </c>
      <c r="K11" s="557"/>
    </row>
    <row r="12" spans="1:65" s="120" customFormat="1" x14ac:dyDescent="0.2">
      <c r="A12" s="541"/>
      <c r="B12" s="549" t="s">
        <v>308</v>
      </c>
      <c r="C12" s="187"/>
      <c r="D12" s="187"/>
      <c r="E12" s="187"/>
      <c r="F12" s="564">
        <f t="shared" ca="1" si="0"/>
        <v>-43388</v>
      </c>
      <c r="G12" s="556"/>
      <c r="H12" s="556"/>
      <c r="I12" s="556"/>
      <c r="J12" s="38" t="str">
        <f t="shared" ca="1" si="1"/>
        <v>OVERDUE</v>
      </c>
      <c r="K12" s="557"/>
    </row>
    <row r="13" spans="1:65" s="120" customFormat="1" x14ac:dyDescent="0.2">
      <c r="A13" s="541"/>
      <c r="B13" s="548" t="s">
        <v>309</v>
      </c>
      <c r="C13" s="187"/>
      <c r="D13" s="187"/>
      <c r="E13" s="187"/>
      <c r="F13" s="564">
        <f t="shared" ca="1" si="0"/>
        <v>-43388</v>
      </c>
      <c r="G13" s="556"/>
      <c r="H13" s="556"/>
      <c r="I13" s="556"/>
      <c r="J13" s="38" t="str">
        <f t="shared" ca="1" si="1"/>
        <v>OVERDUE</v>
      </c>
      <c r="K13" s="557"/>
    </row>
    <row r="14" spans="1:65" s="120" customFormat="1" x14ac:dyDescent="0.2">
      <c r="A14" s="541"/>
      <c r="B14" s="549" t="s">
        <v>310</v>
      </c>
      <c r="C14" s="187"/>
      <c r="D14" s="187"/>
      <c r="E14" s="187"/>
      <c r="F14" s="564">
        <f t="shared" ca="1" si="0"/>
        <v>-43388</v>
      </c>
      <c r="G14" s="556"/>
      <c r="H14" s="556"/>
      <c r="I14" s="556"/>
      <c r="J14" s="38" t="str">
        <f t="shared" ca="1" si="1"/>
        <v>OVERDUE</v>
      </c>
      <c r="K14" s="557"/>
    </row>
    <row r="15" spans="1:65" s="120" customFormat="1" x14ac:dyDescent="0.2">
      <c r="A15" s="541"/>
      <c r="B15" s="549" t="s">
        <v>311</v>
      </c>
      <c r="C15" s="187"/>
      <c r="D15" s="187"/>
      <c r="E15" s="187"/>
      <c r="F15" s="564">
        <f t="shared" ca="1" si="0"/>
        <v>-43388</v>
      </c>
      <c r="G15" s="556"/>
      <c r="H15" s="556"/>
      <c r="I15" s="556"/>
      <c r="J15" s="38" t="str">
        <f t="shared" ca="1" si="1"/>
        <v>OVERDUE</v>
      </c>
      <c r="K15" s="557"/>
    </row>
    <row r="16" spans="1:65" ht="13.9" customHeight="1" x14ac:dyDescent="0.2">
      <c r="A16" s="500"/>
      <c r="B16" s="549" t="s">
        <v>312</v>
      </c>
      <c r="C16" s="187"/>
      <c r="D16" s="187"/>
      <c r="E16" s="187"/>
      <c r="F16" s="564">
        <f t="shared" ca="1" si="0"/>
        <v>-43388</v>
      </c>
      <c r="G16" s="556"/>
      <c r="H16" s="556"/>
      <c r="I16" s="556"/>
      <c r="J16" s="38" t="str">
        <f t="shared" ca="1" si="1"/>
        <v>OVERDUE</v>
      </c>
      <c r="K16" s="85"/>
    </row>
    <row r="17" spans="1:391" ht="13.9" customHeight="1" x14ac:dyDescent="0.25">
      <c r="A17" s="500"/>
      <c r="B17" s="550" t="s">
        <v>313</v>
      </c>
      <c r="C17" s="187"/>
      <c r="D17" s="551"/>
      <c r="E17" s="551"/>
      <c r="F17" s="564">
        <f t="shared" ca="1" si="0"/>
        <v>-43388</v>
      </c>
      <c r="G17" s="556"/>
      <c r="H17" s="556"/>
      <c r="I17" s="556"/>
      <c r="J17" s="38" t="str">
        <f ca="1">IF(AND(J18="completed",J19="completed",J20="completed",J21="completed",J22="completed",J23="completed",J24="completed",J25="completed",J26="completed",J27="completed"),"Deliverable Completed","DELIVERABLE STILL IN PROGRESS")</f>
        <v>DELIVERABLE STILL IN PROGRESS</v>
      </c>
      <c r="K17" s="85"/>
    </row>
    <row r="18" spans="1:391" ht="13.9" customHeight="1" x14ac:dyDescent="0.2">
      <c r="A18" s="500"/>
      <c r="B18" s="548" t="s">
        <v>314</v>
      </c>
      <c r="C18" s="187"/>
      <c r="D18" s="187"/>
      <c r="E18" s="187"/>
      <c r="F18" s="564">
        <f t="shared" ca="1" si="0"/>
        <v>-43388</v>
      </c>
      <c r="G18" s="556"/>
      <c r="H18" s="556"/>
      <c r="I18" s="556"/>
      <c r="J18" s="38" t="str">
        <f t="shared" ref="J18:J27" ca="1" si="2">IF(G18&gt;0,"COMPLETED",(IF(I18&gt;0,"ISSUE IDENTIFIED",(IF(TODAY()&gt;E18,"OVERDUE","In Progress")))))</f>
        <v>OVERDUE</v>
      </c>
      <c r="K18" s="557"/>
    </row>
    <row r="19" spans="1:391" ht="13.9" customHeight="1" x14ac:dyDescent="0.2">
      <c r="A19" s="500"/>
      <c r="B19" s="548" t="s">
        <v>315</v>
      </c>
      <c r="C19" s="187"/>
      <c r="D19" s="187"/>
      <c r="E19" s="187"/>
      <c r="F19" s="564">
        <f t="shared" ca="1" si="0"/>
        <v>-43388</v>
      </c>
      <c r="G19" s="556"/>
      <c r="H19" s="556"/>
      <c r="I19" s="556"/>
      <c r="J19" s="38" t="str">
        <f t="shared" ca="1" si="2"/>
        <v>OVERDUE</v>
      </c>
      <c r="K19" s="557"/>
    </row>
    <row r="20" spans="1:391" ht="13.9" customHeight="1" x14ac:dyDescent="0.2">
      <c r="A20" s="500"/>
      <c r="B20" s="549" t="s">
        <v>316</v>
      </c>
      <c r="C20" s="187"/>
      <c r="D20" s="187"/>
      <c r="E20" s="187"/>
      <c r="F20" s="564">
        <f t="shared" ca="1" si="0"/>
        <v>-43388</v>
      </c>
      <c r="G20" s="556"/>
      <c r="H20" s="556"/>
      <c r="I20" s="556"/>
      <c r="J20" s="38" t="str">
        <f t="shared" ca="1" si="2"/>
        <v>OVERDUE</v>
      </c>
      <c r="K20" s="557"/>
    </row>
    <row r="21" spans="1:391" ht="13.9" customHeight="1" x14ac:dyDescent="0.2">
      <c r="A21" s="500"/>
      <c r="B21" s="549" t="s">
        <v>317</v>
      </c>
      <c r="C21" s="187"/>
      <c r="D21" s="187"/>
      <c r="E21" s="187"/>
      <c r="F21" s="564">
        <f t="shared" ca="1" si="0"/>
        <v>-43388</v>
      </c>
      <c r="G21" s="556"/>
      <c r="H21" s="556"/>
      <c r="I21" s="556"/>
      <c r="J21" s="38" t="str">
        <f t="shared" ca="1" si="2"/>
        <v>OVERDUE</v>
      </c>
      <c r="K21" s="557"/>
    </row>
    <row r="22" spans="1:391" ht="13.9" customHeight="1" x14ac:dyDescent="0.2">
      <c r="A22" s="500"/>
      <c r="B22" s="549" t="s">
        <v>318</v>
      </c>
      <c r="C22" s="187"/>
      <c r="D22" s="187"/>
      <c r="E22" s="187"/>
      <c r="F22" s="564">
        <f t="shared" ca="1" si="0"/>
        <v>-43388</v>
      </c>
      <c r="G22" s="556"/>
      <c r="H22" s="556"/>
      <c r="I22" s="556"/>
      <c r="J22" s="38" t="str">
        <f t="shared" ca="1" si="2"/>
        <v>OVERDUE</v>
      </c>
      <c r="K22" s="557"/>
    </row>
    <row r="23" spans="1:391" ht="13.9" customHeight="1" x14ac:dyDescent="0.2">
      <c r="A23" s="500"/>
      <c r="B23" s="548" t="s">
        <v>319</v>
      </c>
      <c r="C23" s="187"/>
      <c r="D23" s="187"/>
      <c r="E23" s="187"/>
      <c r="F23" s="564">
        <f t="shared" ca="1" si="0"/>
        <v>-43388</v>
      </c>
      <c r="G23" s="556"/>
      <c r="H23" s="556"/>
      <c r="I23" s="556"/>
      <c r="J23" s="38" t="str">
        <f t="shared" ca="1" si="2"/>
        <v>OVERDUE</v>
      </c>
      <c r="K23" s="557"/>
    </row>
    <row r="24" spans="1:391" ht="13.9" customHeight="1" x14ac:dyDescent="0.2">
      <c r="A24" s="500"/>
      <c r="B24" s="548" t="s">
        <v>320</v>
      </c>
      <c r="C24" s="187"/>
      <c r="D24" s="187"/>
      <c r="E24" s="187"/>
      <c r="F24" s="564">
        <f t="shared" ca="1" si="0"/>
        <v>-43388</v>
      </c>
      <c r="G24" s="556"/>
      <c r="H24" s="556"/>
      <c r="I24" s="556"/>
      <c r="J24" s="38" t="str">
        <f t="shared" ca="1" si="2"/>
        <v>OVERDUE</v>
      </c>
      <c r="K24" s="557"/>
    </row>
    <row r="25" spans="1:391" ht="13.9" customHeight="1" x14ac:dyDescent="0.2">
      <c r="A25" s="500"/>
      <c r="B25" s="548" t="s">
        <v>321</v>
      </c>
      <c r="C25" s="187"/>
      <c r="D25" s="187"/>
      <c r="E25" s="187"/>
      <c r="F25" s="564">
        <f t="shared" ca="1" si="0"/>
        <v>-43388</v>
      </c>
      <c r="G25" s="556"/>
      <c r="H25" s="556"/>
      <c r="I25" s="556"/>
      <c r="J25" s="38" t="str">
        <f t="shared" ca="1" si="2"/>
        <v>OVERDUE</v>
      </c>
      <c r="K25" s="557"/>
    </row>
    <row r="26" spans="1:391" ht="13.9" customHeight="1" x14ac:dyDescent="0.2">
      <c r="A26" s="500"/>
      <c r="B26" s="548" t="s">
        <v>322</v>
      </c>
      <c r="C26" s="187"/>
      <c r="D26" s="187"/>
      <c r="E26" s="187"/>
      <c r="F26" s="564">
        <f t="shared" ca="1" si="0"/>
        <v>-43388</v>
      </c>
      <c r="G26" s="556"/>
      <c r="H26" s="556"/>
      <c r="I26" s="556"/>
      <c r="J26" s="38" t="str">
        <f t="shared" ca="1" si="2"/>
        <v>OVERDUE</v>
      </c>
      <c r="K26" s="557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J26" s="119"/>
      <c r="CK26" s="119"/>
      <c r="CL26" s="119"/>
      <c r="CM26" s="119"/>
      <c r="CN26" s="119"/>
      <c r="CO26" s="119"/>
      <c r="CP26" s="119"/>
      <c r="CQ26" s="119"/>
      <c r="CR26" s="119"/>
      <c r="CS26" s="119"/>
      <c r="CT26" s="119"/>
      <c r="CU26" s="119"/>
      <c r="CV26" s="119"/>
      <c r="CW26" s="119"/>
      <c r="CX26" s="119"/>
      <c r="CY26" s="119"/>
      <c r="CZ26" s="119"/>
      <c r="DA26" s="119"/>
      <c r="DB26" s="119"/>
      <c r="DC26" s="119"/>
      <c r="DD26" s="119"/>
      <c r="DE26" s="119"/>
      <c r="DF26" s="119"/>
      <c r="DG26" s="119"/>
      <c r="DH26" s="119"/>
      <c r="DI26" s="119"/>
      <c r="DJ26" s="119"/>
      <c r="DK26" s="119"/>
      <c r="DL26" s="119"/>
      <c r="DM26" s="119"/>
      <c r="DN26" s="119"/>
      <c r="DO26" s="119"/>
      <c r="DP26" s="119"/>
      <c r="DQ26" s="119"/>
      <c r="DR26" s="119"/>
      <c r="DS26" s="119"/>
      <c r="DT26" s="119"/>
      <c r="DU26" s="119"/>
      <c r="DV26" s="119"/>
      <c r="DW26" s="119"/>
      <c r="DX26" s="119"/>
      <c r="DY26" s="119"/>
      <c r="DZ26" s="119"/>
      <c r="EA26" s="119"/>
      <c r="EB26" s="119"/>
      <c r="EC26" s="119"/>
      <c r="ED26" s="119"/>
      <c r="EE26" s="119"/>
      <c r="EF26" s="119"/>
      <c r="EG26" s="119"/>
      <c r="EH26" s="119"/>
      <c r="EI26" s="119"/>
      <c r="EJ26" s="119"/>
      <c r="EK26" s="119"/>
      <c r="EL26" s="119"/>
      <c r="EM26" s="119"/>
      <c r="EN26" s="119"/>
      <c r="EO26" s="119"/>
      <c r="EP26" s="119"/>
      <c r="EQ26" s="119"/>
      <c r="ER26" s="119"/>
      <c r="ES26" s="119"/>
      <c r="ET26" s="119"/>
      <c r="EU26" s="119"/>
      <c r="EV26" s="119"/>
      <c r="EW26" s="119"/>
      <c r="EX26" s="119"/>
      <c r="EY26" s="119"/>
      <c r="EZ26" s="119"/>
      <c r="FA26" s="119"/>
      <c r="FB26" s="119"/>
      <c r="FC26" s="119"/>
      <c r="FD26" s="119"/>
      <c r="FE26" s="119"/>
      <c r="FF26" s="119"/>
      <c r="FG26" s="119"/>
      <c r="FH26" s="119"/>
      <c r="FI26" s="119"/>
      <c r="FJ26" s="119"/>
      <c r="FK26" s="119"/>
      <c r="FL26" s="119"/>
      <c r="FM26" s="119"/>
      <c r="FN26" s="119"/>
      <c r="FO26" s="119"/>
      <c r="FP26" s="119"/>
      <c r="FQ26" s="119"/>
      <c r="FR26" s="119"/>
      <c r="FS26" s="119"/>
      <c r="FT26" s="119"/>
      <c r="FU26" s="119"/>
      <c r="FV26" s="119"/>
      <c r="FW26" s="119"/>
      <c r="FX26" s="119"/>
      <c r="FY26" s="119"/>
      <c r="FZ26" s="119"/>
      <c r="GA26" s="119"/>
      <c r="GB26" s="119"/>
      <c r="GC26" s="119"/>
      <c r="GD26" s="119"/>
      <c r="GE26" s="119"/>
      <c r="GF26" s="119"/>
      <c r="GG26" s="119"/>
      <c r="GH26" s="119"/>
      <c r="GI26" s="119"/>
      <c r="GJ26" s="119"/>
      <c r="GK26" s="119"/>
      <c r="GL26" s="119"/>
      <c r="GM26" s="119"/>
      <c r="GN26" s="119"/>
      <c r="GO26" s="119"/>
      <c r="GP26" s="119"/>
      <c r="GQ26" s="119"/>
      <c r="GR26" s="119"/>
      <c r="GS26" s="119"/>
      <c r="GT26" s="119"/>
      <c r="GU26" s="119"/>
      <c r="GV26" s="119"/>
      <c r="GW26" s="119"/>
      <c r="GX26" s="119"/>
      <c r="GY26" s="119"/>
      <c r="GZ26" s="119"/>
      <c r="HA26" s="119"/>
      <c r="HB26" s="119"/>
      <c r="HC26" s="119"/>
      <c r="HD26" s="119"/>
      <c r="HE26" s="119"/>
      <c r="HF26" s="119"/>
      <c r="HG26" s="119"/>
      <c r="HH26" s="119"/>
      <c r="HI26" s="119"/>
      <c r="HJ26" s="119"/>
      <c r="HK26" s="119"/>
      <c r="HL26" s="119"/>
      <c r="HM26" s="119"/>
      <c r="HN26" s="119"/>
      <c r="HO26" s="119"/>
      <c r="HP26" s="119"/>
      <c r="HQ26" s="119"/>
      <c r="HR26" s="119"/>
      <c r="HS26" s="119"/>
      <c r="HT26" s="119"/>
      <c r="HU26" s="119"/>
      <c r="HV26" s="119"/>
      <c r="HW26" s="119"/>
      <c r="HX26" s="119"/>
      <c r="HY26" s="119"/>
      <c r="HZ26" s="119"/>
      <c r="IA26" s="119"/>
      <c r="IB26" s="119"/>
      <c r="IC26" s="119"/>
      <c r="ID26" s="119"/>
      <c r="IE26" s="119"/>
      <c r="IF26" s="119"/>
      <c r="IG26" s="119"/>
      <c r="IH26" s="119"/>
      <c r="II26" s="119"/>
      <c r="IJ26" s="119"/>
      <c r="IK26" s="119"/>
      <c r="IL26" s="119"/>
      <c r="IM26" s="119"/>
      <c r="IN26" s="119"/>
      <c r="IO26" s="119"/>
      <c r="IP26" s="119"/>
      <c r="IQ26" s="119"/>
      <c r="IR26" s="119"/>
      <c r="IS26" s="119"/>
      <c r="IT26" s="119"/>
      <c r="IU26" s="119"/>
      <c r="IV26" s="119"/>
      <c r="IW26" s="119"/>
      <c r="IX26" s="119"/>
      <c r="IY26" s="119"/>
      <c r="IZ26" s="119"/>
      <c r="JA26" s="119"/>
      <c r="JB26" s="119"/>
      <c r="JC26" s="119"/>
      <c r="JD26" s="119"/>
      <c r="JE26" s="119"/>
      <c r="JF26" s="119"/>
      <c r="JG26" s="119"/>
      <c r="JH26" s="119"/>
      <c r="JI26" s="119"/>
      <c r="JJ26" s="119"/>
      <c r="JK26" s="119"/>
      <c r="JL26" s="119"/>
      <c r="JM26" s="119"/>
      <c r="JN26" s="119"/>
      <c r="JO26" s="119"/>
      <c r="JP26" s="119"/>
      <c r="JQ26" s="119"/>
      <c r="JR26" s="119"/>
      <c r="JS26" s="119"/>
      <c r="JT26" s="119"/>
      <c r="JU26" s="119"/>
      <c r="JV26" s="119"/>
      <c r="JW26" s="119"/>
      <c r="JX26" s="119"/>
      <c r="JY26" s="119"/>
      <c r="JZ26" s="119"/>
      <c r="KA26" s="119"/>
      <c r="KB26" s="119"/>
      <c r="KC26" s="119"/>
      <c r="KD26" s="119"/>
      <c r="KE26" s="119"/>
      <c r="KF26" s="119"/>
      <c r="KG26" s="119"/>
      <c r="KH26" s="119"/>
      <c r="KI26" s="119"/>
      <c r="KJ26" s="119"/>
      <c r="KK26" s="119"/>
      <c r="KL26" s="119"/>
      <c r="KM26" s="119"/>
      <c r="KN26" s="119"/>
      <c r="KO26" s="119"/>
      <c r="KP26" s="119"/>
      <c r="KQ26" s="119"/>
      <c r="KR26" s="119"/>
      <c r="KS26" s="119"/>
      <c r="KT26" s="119"/>
      <c r="KU26" s="119"/>
      <c r="KV26" s="119"/>
      <c r="KW26" s="119"/>
      <c r="KX26" s="119"/>
      <c r="KY26" s="119"/>
      <c r="KZ26" s="119"/>
      <c r="LA26" s="119"/>
      <c r="LB26" s="119"/>
      <c r="LC26" s="119"/>
      <c r="LD26" s="119"/>
      <c r="LE26" s="119"/>
      <c r="LF26" s="119"/>
      <c r="LG26" s="119"/>
      <c r="LH26" s="119"/>
      <c r="LI26" s="119"/>
      <c r="LJ26" s="119"/>
      <c r="LK26" s="119"/>
      <c r="LL26" s="119"/>
      <c r="LM26" s="119"/>
      <c r="LN26" s="119"/>
      <c r="LO26" s="119"/>
      <c r="LP26" s="119"/>
      <c r="LQ26" s="119"/>
      <c r="LR26" s="119"/>
      <c r="LS26" s="119"/>
      <c r="LT26" s="119"/>
      <c r="LU26" s="119"/>
      <c r="LV26" s="119"/>
      <c r="LW26" s="119"/>
      <c r="LX26" s="119"/>
      <c r="LY26" s="119"/>
      <c r="LZ26" s="119"/>
      <c r="MA26" s="119"/>
      <c r="MB26" s="119"/>
      <c r="MC26" s="119"/>
      <c r="MD26" s="119"/>
      <c r="ME26" s="119"/>
      <c r="MF26" s="119"/>
      <c r="MG26" s="119"/>
      <c r="MH26" s="119"/>
      <c r="MI26" s="119"/>
      <c r="MJ26" s="119"/>
      <c r="MK26" s="119"/>
      <c r="ML26" s="119"/>
      <c r="MM26" s="119"/>
      <c r="MN26" s="119"/>
      <c r="MO26" s="119"/>
      <c r="MP26" s="119"/>
      <c r="MQ26" s="119"/>
      <c r="MR26" s="119"/>
      <c r="MS26" s="119"/>
      <c r="MT26" s="119"/>
      <c r="MU26" s="119"/>
      <c r="MV26" s="119"/>
      <c r="MW26" s="119"/>
      <c r="MX26" s="119"/>
      <c r="MY26" s="119"/>
      <c r="MZ26" s="119"/>
      <c r="NA26" s="119"/>
      <c r="NB26" s="119"/>
      <c r="NC26" s="119"/>
      <c r="ND26" s="119"/>
      <c r="NE26" s="119"/>
      <c r="NF26" s="119"/>
      <c r="NG26" s="119"/>
      <c r="NH26" s="119"/>
      <c r="NI26" s="119"/>
      <c r="NJ26" s="119"/>
      <c r="NK26" s="119"/>
      <c r="NL26" s="119"/>
      <c r="NM26" s="119"/>
      <c r="NN26" s="119"/>
      <c r="NO26" s="119"/>
      <c r="NP26" s="119"/>
      <c r="NQ26" s="119"/>
      <c r="NR26" s="119"/>
      <c r="NS26" s="119"/>
      <c r="NT26" s="119"/>
      <c r="NU26" s="119"/>
      <c r="NV26" s="119"/>
      <c r="NW26" s="119"/>
      <c r="NX26" s="119"/>
      <c r="NY26" s="119"/>
      <c r="NZ26" s="119"/>
      <c r="OA26" s="119"/>
    </row>
    <row r="27" spans="1:391" ht="13.9" customHeight="1" x14ac:dyDescent="0.2">
      <c r="A27" s="500"/>
      <c r="B27" s="548" t="s">
        <v>323</v>
      </c>
      <c r="C27" s="187"/>
      <c r="D27" s="187"/>
      <c r="E27" s="185"/>
      <c r="F27" s="564">
        <f t="shared" ca="1" si="0"/>
        <v>-43388</v>
      </c>
      <c r="G27" s="556"/>
      <c r="H27" s="556"/>
      <c r="I27" s="556"/>
      <c r="J27" s="38" t="str">
        <f t="shared" ca="1" si="2"/>
        <v>OVERDUE</v>
      </c>
      <c r="K27" s="552"/>
      <c r="BN27" s="119"/>
      <c r="BO27" s="119"/>
      <c r="BP27" s="119"/>
      <c r="BQ27" s="119"/>
      <c r="BR27" s="119"/>
      <c r="BS27" s="119"/>
      <c r="BT27" s="119"/>
      <c r="BU27" s="119"/>
      <c r="BV27" s="119"/>
      <c r="BW27" s="119"/>
      <c r="BX27" s="119"/>
      <c r="BY27" s="119"/>
      <c r="BZ27" s="119"/>
      <c r="CA27" s="119"/>
      <c r="CB27" s="119"/>
      <c r="CC27" s="119"/>
      <c r="CD27" s="119"/>
      <c r="CE27" s="119"/>
      <c r="CF27" s="119"/>
      <c r="CG27" s="119"/>
      <c r="CH27" s="119"/>
      <c r="CI27" s="119"/>
      <c r="CJ27" s="119"/>
      <c r="CK27" s="119"/>
      <c r="CL27" s="119"/>
      <c r="CM27" s="119"/>
      <c r="CN27" s="119"/>
      <c r="CO27" s="119"/>
      <c r="CP27" s="119"/>
      <c r="CQ27" s="119"/>
      <c r="CR27" s="119"/>
      <c r="CS27" s="119"/>
      <c r="CT27" s="119"/>
      <c r="CU27" s="119"/>
      <c r="CV27" s="119"/>
      <c r="CW27" s="119"/>
      <c r="CX27" s="119"/>
      <c r="CY27" s="119"/>
      <c r="CZ27" s="119"/>
      <c r="DA27" s="119"/>
      <c r="DB27" s="119"/>
      <c r="DC27" s="119"/>
      <c r="DD27" s="119"/>
      <c r="DE27" s="119"/>
      <c r="DF27" s="119"/>
      <c r="DG27" s="119"/>
      <c r="DH27" s="119"/>
      <c r="DI27" s="119"/>
      <c r="DJ27" s="119"/>
      <c r="DK27" s="119"/>
      <c r="DL27" s="119"/>
      <c r="DM27" s="119"/>
      <c r="DN27" s="119"/>
      <c r="DO27" s="119"/>
      <c r="DP27" s="119"/>
      <c r="DQ27" s="119"/>
      <c r="DR27" s="119"/>
      <c r="DS27" s="119"/>
      <c r="DT27" s="119"/>
      <c r="DU27" s="119"/>
      <c r="DV27" s="119"/>
      <c r="DW27" s="119"/>
      <c r="DX27" s="119"/>
      <c r="DY27" s="119"/>
      <c r="DZ27" s="119"/>
      <c r="EA27" s="119"/>
      <c r="EB27" s="119"/>
      <c r="EC27" s="119"/>
      <c r="ED27" s="119"/>
      <c r="EE27" s="119"/>
      <c r="EF27" s="119"/>
      <c r="EG27" s="119"/>
      <c r="EH27" s="119"/>
      <c r="EI27" s="119"/>
      <c r="EJ27" s="119"/>
      <c r="EK27" s="119"/>
      <c r="EL27" s="119"/>
      <c r="EM27" s="119"/>
      <c r="EN27" s="119"/>
      <c r="EO27" s="119"/>
      <c r="EP27" s="119"/>
      <c r="EQ27" s="119"/>
      <c r="ER27" s="119"/>
      <c r="ES27" s="119"/>
      <c r="ET27" s="119"/>
      <c r="EU27" s="119"/>
      <c r="EV27" s="119"/>
      <c r="EW27" s="119"/>
      <c r="EX27" s="119"/>
      <c r="EY27" s="119"/>
      <c r="EZ27" s="119"/>
      <c r="FA27" s="119"/>
      <c r="FB27" s="119"/>
      <c r="FC27" s="119"/>
      <c r="FD27" s="119"/>
      <c r="FE27" s="119"/>
      <c r="FF27" s="119"/>
      <c r="FG27" s="119"/>
      <c r="FH27" s="119"/>
      <c r="FI27" s="119"/>
      <c r="FJ27" s="119"/>
      <c r="FK27" s="119"/>
      <c r="FL27" s="119"/>
      <c r="FM27" s="119"/>
      <c r="FN27" s="119"/>
      <c r="FO27" s="119"/>
      <c r="FP27" s="119"/>
      <c r="FQ27" s="119"/>
      <c r="FR27" s="119"/>
      <c r="FS27" s="119"/>
      <c r="FT27" s="119"/>
      <c r="FU27" s="119"/>
      <c r="FV27" s="119"/>
      <c r="FW27" s="119"/>
      <c r="FX27" s="119"/>
      <c r="FY27" s="119"/>
      <c r="FZ27" s="119"/>
      <c r="GA27" s="119"/>
      <c r="GB27" s="119"/>
      <c r="GC27" s="119"/>
      <c r="GD27" s="119"/>
      <c r="GE27" s="119"/>
      <c r="GF27" s="119"/>
      <c r="GG27" s="119"/>
      <c r="GH27" s="119"/>
      <c r="GI27" s="119"/>
      <c r="GJ27" s="119"/>
      <c r="GK27" s="119"/>
      <c r="GL27" s="119"/>
      <c r="GM27" s="119"/>
      <c r="GN27" s="119"/>
      <c r="GO27" s="119"/>
      <c r="GP27" s="119"/>
      <c r="GQ27" s="119"/>
      <c r="GR27" s="119"/>
      <c r="GS27" s="119"/>
      <c r="GT27" s="119"/>
      <c r="GU27" s="119"/>
      <c r="GV27" s="119"/>
      <c r="GW27" s="119"/>
      <c r="GX27" s="119"/>
      <c r="GY27" s="119"/>
      <c r="GZ27" s="119"/>
      <c r="HA27" s="119"/>
      <c r="HB27" s="119"/>
      <c r="HC27" s="119"/>
      <c r="HD27" s="119"/>
      <c r="HE27" s="119"/>
      <c r="HF27" s="119"/>
      <c r="HG27" s="119"/>
      <c r="HH27" s="119"/>
      <c r="HI27" s="119"/>
      <c r="HJ27" s="119"/>
      <c r="HK27" s="119"/>
      <c r="HL27" s="119"/>
      <c r="HM27" s="119"/>
      <c r="HN27" s="119"/>
      <c r="HO27" s="119"/>
      <c r="HP27" s="119"/>
      <c r="HQ27" s="119"/>
      <c r="HR27" s="119"/>
      <c r="HS27" s="119"/>
      <c r="HT27" s="119"/>
      <c r="HU27" s="119"/>
      <c r="HV27" s="119"/>
      <c r="HW27" s="119"/>
      <c r="HX27" s="119"/>
      <c r="HY27" s="119"/>
      <c r="HZ27" s="119"/>
      <c r="IA27" s="119"/>
      <c r="IB27" s="119"/>
      <c r="IC27" s="119"/>
      <c r="ID27" s="119"/>
      <c r="IE27" s="119"/>
      <c r="IF27" s="119"/>
      <c r="IG27" s="119"/>
      <c r="IH27" s="119"/>
      <c r="II27" s="119"/>
      <c r="IJ27" s="119"/>
      <c r="IK27" s="119"/>
      <c r="IL27" s="119"/>
      <c r="IM27" s="119"/>
      <c r="IN27" s="119"/>
      <c r="IO27" s="119"/>
      <c r="IP27" s="119"/>
      <c r="IQ27" s="119"/>
      <c r="IR27" s="119"/>
      <c r="IS27" s="119"/>
      <c r="IT27" s="119"/>
      <c r="IU27" s="119"/>
      <c r="IV27" s="119"/>
      <c r="IW27" s="119"/>
      <c r="IX27" s="119"/>
      <c r="IY27" s="119"/>
      <c r="IZ27" s="119"/>
      <c r="JA27" s="119"/>
      <c r="JB27" s="119"/>
      <c r="JC27" s="119"/>
      <c r="JD27" s="119"/>
      <c r="JE27" s="119"/>
      <c r="JF27" s="119"/>
      <c r="JG27" s="119"/>
      <c r="JH27" s="119"/>
      <c r="JI27" s="119"/>
      <c r="JJ27" s="119"/>
      <c r="JK27" s="119"/>
      <c r="JL27" s="119"/>
      <c r="JM27" s="119"/>
      <c r="JN27" s="119"/>
      <c r="JO27" s="119"/>
      <c r="JP27" s="119"/>
      <c r="JQ27" s="119"/>
      <c r="JR27" s="119"/>
      <c r="JS27" s="119"/>
      <c r="JT27" s="119"/>
      <c r="JU27" s="119"/>
      <c r="JV27" s="119"/>
      <c r="JW27" s="119"/>
      <c r="JX27" s="119"/>
      <c r="JY27" s="119"/>
      <c r="JZ27" s="119"/>
      <c r="KA27" s="119"/>
      <c r="KB27" s="119"/>
      <c r="KC27" s="119"/>
      <c r="KD27" s="119"/>
      <c r="KE27" s="119"/>
      <c r="KF27" s="119"/>
      <c r="KG27" s="119"/>
      <c r="KH27" s="119"/>
      <c r="KI27" s="119"/>
      <c r="KJ27" s="119"/>
      <c r="KK27" s="119"/>
      <c r="KL27" s="119"/>
      <c r="KM27" s="119"/>
      <c r="KN27" s="119"/>
      <c r="KO27" s="119"/>
      <c r="KP27" s="119"/>
      <c r="KQ27" s="119"/>
      <c r="KR27" s="119"/>
      <c r="KS27" s="119"/>
      <c r="KT27" s="119"/>
      <c r="KU27" s="119"/>
      <c r="KV27" s="119"/>
      <c r="KW27" s="119"/>
      <c r="KX27" s="119"/>
      <c r="KY27" s="119"/>
      <c r="KZ27" s="119"/>
      <c r="LA27" s="119"/>
      <c r="LB27" s="119"/>
      <c r="LC27" s="119"/>
      <c r="LD27" s="119"/>
      <c r="LE27" s="119"/>
      <c r="LF27" s="119"/>
      <c r="LG27" s="119"/>
      <c r="LH27" s="119"/>
      <c r="LI27" s="119"/>
      <c r="LJ27" s="119"/>
      <c r="LK27" s="119"/>
      <c r="LL27" s="119"/>
      <c r="LM27" s="119"/>
      <c r="LN27" s="119"/>
      <c r="LO27" s="119"/>
      <c r="LP27" s="119"/>
      <c r="LQ27" s="119"/>
      <c r="LR27" s="119"/>
      <c r="LS27" s="119"/>
      <c r="LT27" s="119"/>
      <c r="LU27" s="119"/>
      <c r="LV27" s="119"/>
      <c r="LW27" s="119"/>
      <c r="LX27" s="119"/>
      <c r="LY27" s="119"/>
      <c r="LZ27" s="119"/>
      <c r="MA27" s="119"/>
      <c r="MB27" s="119"/>
      <c r="MC27" s="119"/>
      <c r="MD27" s="119"/>
      <c r="ME27" s="119"/>
      <c r="MF27" s="119"/>
      <c r="MG27" s="119"/>
      <c r="MH27" s="119"/>
      <c r="MI27" s="119"/>
      <c r="MJ27" s="119"/>
      <c r="MK27" s="119"/>
      <c r="ML27" s="119"/>
      <c r="MM27" s="119"/>
      <c r="MN27" s="119"/>
      <c r="MO27" s="119"/>
      <c r="MP27" s="119"/>
      <c r="MQ27" s="119"/>
      <c r="MR27" s="119"/>
      <c r="MS27" s="119"/>
      <c r="MT27" s="119"/>
      <c r="MU27" s="119"/>
      <c r="MV27" s="119"/>
      <c r="MW27" s="119"/>
      <c r="MX27" s="119"/>
      <c r="MY27" s="119"/>
      <c r="MZ27" s="119"/>
      <c r="NA27" s="119"/>
      <c r="NB27" s="119"/>
      <c r="NC27" s="119"/>
      <c r="ND27" s="119"/>
      <c r="NE27" s="119"/>
      <c r="NF27" s="119"/>
      <c r="NG27" s="119"/>
      <c r="NH27" s="119"/>
      <c r="NI27" s="119"/>
      <c r="NJ27" s="119"/>
      <c r="NK27" s="119"/>
      <c r="NL27" s="119"/>
      <c r="NM27" s="119"/>
      <c r="NN27" s="119"/>
      <c r="NO27" s="119"/>
      <c r="NP27" s="119"/>
      <c r="NQ27" s="119"/>
      <c r="NR27" s="119"/>
      <c r="NS27" s="119"/>
      <c r="NT27" s="119"/>
      <c r="NU27" s="119"/>
      <c r="NV27" s="119"/>
      <c r="NW27" s="119"/>
      <c r="NX27" s="119"/>
      <c r="NY27" s="119"/>
      <c r="NZ27" s="119"/>
      <c r="OA27" s="119"/>
    </row>
    <row r="28" spans="1:391" ht="18.75" customHeight="1" x14ac:dyDescent="0.25">
      <c r="A28" s="500"/>
      <c r="B28" s="550" t="s">
        <v>324</v>
      </c>
      <c r="C28" s="187"/>
      <c r="D28" s="551"/>
      <c r="E28" s="551"/>
      <c r="F28" s="564">
        <f t="shared" ca="1" si="0"/>
        <v>-43388</v>
      </c>
      <c r="G28" s="556"/>
      <c r="H28" s="556"/>
      <c r="I28" s="556"/>
      <c r="J28" s="38" t="str">
        <f ca="1">IF(AND(J29="completed",J30="completed",J31="completed",J32="completed",J33="completed"),"Deliverable Completed","DELIVERABLE STILL IN PROGRESS")</f>
        <v>DELIVERABLE STILL IN PROGRESS</v>
      </c>
      <c r="K28" s="557"/>
      <c r="BN28" s="119"/>
      <c r="BO28" s="119"/>
      <c r="BP28" s="119"/>
      <c r="BQ28" s="119"/>
      <c r="BR28" s="119"/>
      <c r="BS28" s="119"/>
      <c r="BT28" s="119"/>
      <c r="BU28" s="119"/>
      <c r="BV28" s="119"/>
      <c r="BW28" s="119"/>
      <c r="BX28" s="119"/>
      <c r="BY28" s="119"/>
      <c r="BZ28" s="119"/>
      <c r="CA28" s="119"/>
      <c r="CB28" s="119"/>
      <c r="CC28" s="119"/>
      <c r="CD28" s="119"/>
      <c r="CE28" s="119"/>
      <c r="CF28" s="119"/>
      <c r="CG28" s="119"/>
      <c r="CH28" s="119"/>
      <c r="CI28" s="119"/>
      <c r="CJ28" s="119"/>
      <c r="CK28" s="119"/>
      <c r="CL28" s="119"/>
      <c r="CM28" s="119"/>
      <c r="CN28" s="119"/>
      <c r="CO28" s="119"/>
      <c r="CP28" s="119"/>
      <c r="CQ28" s="119"/>
      <c r="CR28" s="119"/>
      <c r="CS28" s="119"/>
      <c r="CT28" s="119"/>
      <c r="CU28" s="119"/>
      <c r="CV28" s="119"/>
      <c r="CW28" s="119"/>
      <c r="CX28" s="119"/>
      <c r="CY28" s="119"/>
      <c r="CZ28" s="119"/>
      <c r="DA28" s="119"/>
      <c r="DB28" s="119"/>
      <c r="DC28" s="119"/>
      <c r="DD28" s="119"/>
      <c r="DE28" s="119"/>
      <c r="DF28" s="119"/>
      <c r="DG28" s="119"/>
      <c r="DH28" s="119"/>
      <c r="DI28" s="119"/>
      <c r="DJ28" s="119"/>
      <c r="DK28" s="119"/>
      <c r="DL28" s="119"/>
      <c r="DM28" s="119"/>
      <c r="DN28" s="119"/>
      <c r="DO28" s="119"/>
      <c r="DP28" s="119"/>
      <c r="DQ28" s="119"/>
      <c r="DR28" s="119"/>
      <c r="DS28" s="119"/>
      <c r="DT28" s="119"/>
      <c r="DU28" s="119"/>
      <c r="DV28" s="119"/>
      <c r="DW28" s="119"/>
      <c r="DX28" s="119"/>
      <c r="DY28" s="119"/>
      <c r="DZ28" s="119"/>
      <c r="EA28" s="119"/>
      <c r="EB28" s="119"/>
      <c r="EC28" s="119"/>
      <c r="ED28" s="119"/>
      <c r="EE28" s="119"/>
      <c r="EF28" s="119"/>
      <c r="EG28" s="119"/>
      <c r="EH28" s="119"/>
      <c r="EI28" s="119"/>
      <c r="EJ28" s="119"/>
      <c r="EK28" s="119"/>
      <c r="EL28" s="119"/>
      <c r="EM28" s="119"/>
      <c r="EN28" s="119"/>
      <c r="EO28" s="119"/>
      <c r="EP28" s="119"/>
      <c r="EQ28" s="119"/>
      <c r="ER28" s="119"/>
      <c r="ES28" s="119"/>
      <c r="ET28" s="119"/>
      <c r="EU28" s="119"/>
      <c r="EV28" s="119"/>
      <c r="EW28" s="119"/>
      <c r="EX28" s="119"/>
      <c r="EY28" s="119"/>
      <c r="EZ28" s="119"/>
      <c r="FA28" s="119"/>
      <c r="FB28" s="119"/>
      <c r="FC28" s="119"/>
      <c r="FD28" s="119"/>
      <c r="FE28" s="119"/>
      <c r="FF28" s="119"/>
      <c r="FG28" s="119"/>
      <c r="FH28" s="119"/>
      <c r="FI28" s="119"/>
      <c r="FJ28" s="119"/>
      <c r="FK28" s="119"/>
      <c r="FL28" s="119"/>
      <c r="FM28" s="119"/>
      <c r="FN28" s="119"/>
      <c r="FO28" s="119"/>
      <c r="FP28" s="119"/>
      <c r="FQ28" s="119"/>
      <c r="FR28" s="119"/>
      <c r="FS28" s="119"/>
      <c r="FT28" s="119"/>
      <c r="FU28" s="119"/>
      <c r="FV28" s="119"/>
      <c r="FW28" s="119"/>
      <c r="FX28" s="119"/>
      <c r="FY28" s="119"/>
      <c r="FZ28" s="119"/>
      <c r="GA28" s="119"/>
      <c r="GB28" s="119"/>
      <c r="GC28" s="119"/>
      <c r="GD28" s="119"/>
      <c r="GE28" s="119"/>
      <c r="GF28" s="119"/>
      <c r="GG28" s="119"/>
      <c r="GH28" s="119"/>
      <c r="GI28" s="119"/>
      <c r="GJ28" s="119"/>
      <c r="GK28" s="119"/>
      <c r="GL28" s="119"/>
      <c r="GM28" s="119"/>
      <c r="GN28" s="119"/>
      <c r="GO28" s="119"/>
      <c r="GP28" s="119"/>
      <c r="GQ28" s="119"/>
      <c r="GR28" s="119"/>
      <c r="GS28" s="119"/>
      <c r="GT28" s="119"/>
      <c r="GU28" s="119"/>
      <c r="GV28" s="119"/>
      <c r="GW28" s="119"/>
      <c r="GX28" s="119"/>
      <c r="GY28" s="119"/>
      <c r="GZ28" s="119"/>
      <c r="HA28" s="119"/>
      <c r="HB28" s="119"/>
      <c r="HC28" s="119"/>
      <c r="HD28" s="119"/>
      <c r="HE28" s="119"/>
      <c r="HF28" s="119"/>
      <c r="HG28" s="119"/>
      <c r="HH28" s="119"/>
      <c r="HI28" s="119"/>
      <c r="HJ28" s="119"/>
      <c r="HK28" s="119"/>
      <c r="HL28" s="119"/>
      <c r="HM28" s="119"/>
      <c r="HN28" s="119"/>
      <c r="HO28" s="119"/>
      <c r="HP28" s="119"/>
      <c r="HQ28" s="119"/>
      <c r="HR28" s="119"/>
      <c r="HS28" s="119"/>
      <c r="HT28" s="119"/>
      <c r="HU28" s="119"/>
      <c r="HV28" s="119"/>
      <c r="HW28" s="119"/>
      <c r="HX28" s="119"/>
      <c r="HY28" s="119"/>
      <c r="HZ28" s="119"/>
      <c r="IA28" s="119"/>
      <c r="IB28" s="119"/>
      <c r="IC28" s="119"/>
      <c r="ID28" s="119"/>
      <c r="IE28" s="119"/>
      <c r="IF28" s="119"/>
      <c r="IG28" s="119"/>
      <c r="IH28" s="119"/>
      <c r="II28" s="119"/>
      <c r="IJ28" s="119"/>
      <c r="IK28" s="119"/>
      <c r="IL28" s="119"/>
      <c r="IM28" s="119"/>
      <c r="IN28" s="119"/>
      <c r="IO28" s="119"/>
      <c r="IP28" s="119"/>
      <c r="IQ28" s="119"/>
      <c r="IR28" s="119"/>
      <c r="IS28" s="119"/>
      <c r="IT28" s="119"/>
      <c r="IU28" s="119"/>
      <c r="IV28" s="119"/>
      <c r="IW28" s="119"/>
      <c r="IX28" s="119"/>
      <c r="IY28" s="119"/>
      <c r="IZ28" s="119"/>
      <c r="JA28" s="119"/>
      <c r="JB28" s="119"/>
      <c r="JC28" s="119"/>
      <c r="JD28" s="119"/>
      <c r="JE28" s="119"/>
      <c r="JF28" s="119"/>
      <c r="JG28" s="119"/>
      <c r="JH28" s="119"/>
      <c r="JI28" s="119"/>
      <c r="JJ28" s="119"/>
      <c r="JK28" s="119"/>
      <c r="JL28" s="119"/>
      <c r="JM28" s="119"/>
      <c r="JN28" s="119"/>
      <c r="JO28" s="119"/>
      <c r="JP28" s="119"/>
      <c r="JQ28" s="119"/>
      <c r="JR28" s="119"/>
      <c r="JS28" s="119"/>
      <c r="JT28" s="119"/>
      <c r="JU28" s="119"/>
      <c r="JV28" s="119"/>
      <c r="JW28" s="119"/>
      <c r="JX28" s="119"/>
      <c r="JY28" s="119"/>
      <c r="JZ28" s="119"/>
      <c r="KA28" s="119"/>
      <c r="KB28" s="119"/>
      <c r="KC28" s="119"/>
      <c r="KD28" s="119"/>
      <c r="KE28" s="119"/>
      <c r="KF28" s="119"/>
      <c r="KG28" s="119"/>
      <c r="KH28" s="119"/>
      <c r="KI28" s="119"/>
      <c r="KJ28" s="119"/>
      <c r="KK28" s="119"/>
      <c r="KL28" s="119"/>
      <c r="KM28" s="119"/>
      <c r="KN28" s="119"/>
      <c r="KO28" s="119"/>
      <c r="KP28" s="119"/>
      <c r="KQ28" s="119"/>
      <c r="KR28" s="119"/>
      <c r="KS28" s="119"/>
      <c r="KT28" s="119"/>
      <c r="KU28" s="119"/>
      <c r="KV28" s="119"/>
      <c r="KW28" s="119"/>
      <c r="KX28" s="119"/>
      <c r="KY28" s="119"/>
      <c r="KZ28" s="119"/>
      <c r="LA28" s="119"/>
      <c r="LB28" s="119"/>
      <c r="LC28" s="119"/>
      <c r="LD28" s="119"/>
      <c r="LE28" s="119"/>
      <c r="LF28" s="119"/>
      <c r="LG28" s="119"/>
      <c r="LH28" s="119"/>
      <c r="LI28" s="119"/>
      <c r="LJ28" s="119"/>
      <c r="LK28" s="119"/>
      <c r="LL28" s="119"/>
      <c r="LM28" s="119"/>
      <c r="LN28" s="119"/>
      <c r="LO28" s="119"/>
      <c r="LP28" s="119"/>
      <c r="LQ28" s="119"/>
      <c r="LR28" s="119"/>
      <c r="LS28" s="119"/>
      <c r="LT28" s="119"/>
      <c r="LU28" s="119"/>
      <c r="LV28" s="119"/>
      <c r="LW28" s="119"/>
      <c r="LX28" s="119"/>
      <c r="LY28" s="119"/>
      <c r="LZ28" s="119"/>
      <c r="MA28" s="119"/>
      <c r="MB28" s="119"/>
      <c r="MC28" s="119"/>
      <c r="MD28" s="119"/>
      <c r="ME28" s="119"/>
      <c r="MF28" s="119"/>
      <c r="MG28" s="119"/>
      <c r="MH28" s="119"/>
      <c r="MI28" s="119"/>
      <c r="MJ28" s="119"/>
      <c r="MK28" s="119"/>
      <c r="ML28" s="119"/>
      <c r="MM28" s="119"/>
      <c r="MN28" s="119"/>
      <c r="MO28" s="119"/>
      <c r="MP28" s="119"/>
      <c r="MQ28" s="119"/>
      <c r="MR28" s="119"/>
      <c r="MS28" s="119"/>
      <c r="MT28" s="119"/>
      <c r="MU28" s="119"/>
      <c r="MV28" s="119"/>
      <c r="MW28" s="119"/>
      <c r="MX28" s="119"/>
      <c r="MY28" s="119"/>
      <c r="MZ28" s="119"/>
      <c r="NA28" s="119"/>
      <c r="NB28" s="119"/>
      <c r="NC28" s="119"/>
      <c r="ND28" s="119"/>
      <c r="NE28" s="119"/>
      <c r="NF28" s="119"/>
      <c r="NG28" s="119"/>
      <c r="NH28" s="119"/>
      <c r="NI28" s="119"/>
      <c r="NJ28" s="119"/>
      <c r="NK28" s="119"/>
      <c r="NL28" s="119"/>
      <c r="NM28" s="119"/>
      <c r="NN28" s="119"/>
      <c r="NO28" s="119"/>
      <c r="NP28" s="119"/>
      <c r="NQ28" s="119"/>
      <c r="NR28" s="119"/>
      <c r="NS28" s="119"/>
      <c r="NT28" s="119"/>
      <c r="NU28" s="119"/>
      <c r="NV28" s="119"/>
      <c r="NW28" s="119"/>
      <c r="NX28" s="119"/>
      <c r="NY28" s="119"/>
      <c r="NZ28" s="119"/>
      <c r="OA28" s="119"/>
    </row>
    <row r="29" spans="1:391" s="119" customFormat="1" ht="13.9" customHeight="1" x14ac:dyDescent="0.2">
      <c r="A29" s="500"/>
      <c r="B29" s="548" t="s">
        <v>325</v>
      </c>
      <c r="C29" s="187"/>
      <c r="D29" s="187"/>
      <c r="E29" s="187"/>
      <c r="F29" s="564">
        <f t="shared" ca="1" si="0"/>
        <v>-43388</v>
      </c>
      <c r="G29" s="556"/>
      <c r="H29" s="556"/>
      <c r="I29" s="556"/>
      <c r="J29" s="38" t="str">
        <f ca="1">IF(G29&gt;0,"COMPLETED",(IF(I29&gt;0,"ISSUE IDENTIFIED",(IF(TODAY()&gt;E29,"OVERDUE","In Progress")))))</f>
        <v>OVERDUE</v>
      </c>
      <c r="K29" s="557"/>
    </row>
    <row r="30" spans="1:391" ht="13.9" customHeight="1" x14ac:dyDescent="0.2">
      <c r="A30" s="500"/>
      <c r="B30" s="549" t="s">
        <v>326</v>
      </c>
      <c r="C30" s="187"/>
      <c r="D30" s="187"/>
      <c r="E30" s="187"/>
      <c r="F30" s="564">
        <f t="shared" ca="1" si="0"/>
        <v>-43388</v>
      </c>
      <c r="G30" s="556"/>
      <c r="H30" s="556"/>
      <c r="I30" s="556"/>
      <c r="J30" s="38" t="str">
        <f ca="1">IF(G30&gt;0,"COMPLETED",(IF(I30&gt;0,"ISSUE IDENTIFIED",(IF(TODAY()&gt;E30,"OVERDUE","In Progress")))))</f>
        <v>OVERDUE</v>
      </c>
      <c r="K30" s="557"/>
      <c r="BN30" s="119"/>
      <c r="BO30" s="119"/>
      <c r="BP30" s="119"/>
      <c r="BQ30" s="119"/>
      <c r="BR30" s="119"/>
      <c r="BS30" s="119"/>
      <c r="BT30" s="119"/>
      <c r="BU30" s="119"/>
      <c r="BV30" s="119"/>
      <c r="BW30" s="119"/>
      <c r="BX30" s="119"/>
      <c r="BY30" s="119"/>
      <c r="BZ30" s="119"/>
      <c r="CA30" s="119"/>
      <c r="CB30" s="119"/>
      <c r="CC30" s="119"/>
      <c r="CD30" s="119"/>
      <c r="CE30" s="119"/>
      <c r="CF30" s="119"/>
      <c r="CG30" s="119"/>
      <c r="CH30" s="119"/>
      <c r="CI30" s="119"/>
      <c r="CJ30" s="119"/>
      <c r="CK30" s="119"/>
      <c r="CL30" s="119"/>
      <c r="CM30" s="119"/>
      <c r="CN30" s="119"/>
      <c r="CO30" s="119"/>
      <c r="CP30" s="119"/>
      <c r="CQ30" s="119"/>
      <c r="CR30" s="119"/>
      <c r="CS30" s="119"/>
      <c r="CT30" s="119"/>
      <c r="CU30" s="119"/>
      <c r="CV30" s="119"/>
      <c r="CW30" s="119"/>
      <c r="CX30" s="119"/>
      <c r="CY30" s="119"/>
      <c r="CZ30" s="119"/>
      <c r="DA30" s="119"/>
      <c r="DB30" s="119"/>
      <c r="DC30" s="119"/>
      <c r="DD30" s="119"/>
      <c r="DE30" s="119"/>
      <c r="DF30" s="119"/>
      <c r="DG30" s="119"/>
      <c r="DH30" s="119"/>
      <c r="DI30" s="119"/>
      <c r="DJ30" s="119"/>
      <c r="DK30" s="119"/>
      <c r="DL30" s="119"/>
      <c r="DM30" s="119"/>
      <c r="DN30" s="119"/>
      <c r="DO30" s="119"/>
      <c r="DP30" s="119"/>
      <c r="DQ30" s="119"/>
      <c r="DR30" s="119"/>
      <c r="DS30" s="119"/>
      <c r="DT30" s="119"/>
      <c r="DU30" s="119"/>
      <c r="DV30" s="119"/>
      <c r="DW30" s="119"/>
      <c r="DX30" s="119"/>
      <c r="DY30" s="119"/>
      <c r="DZ30" s="119"/>
      <c r="EA30" s="119"/>
      <c r="EB30" s="119"/>
      <c r="EC30" s="119"/>
      <c r="ED30" s="119"/>
      <c r="EE30" s="119"/>
      <c r="EF30" s="119"/>
      <c r="EG30" s="119"/>
      <c r="EH30" s="119"/>
      <c r="EI30" s="119"/>
      <c r="EJ30" s="119"/>
      <c r="EK30" s="119"/>
      <c r="EL30" s="119"/>
      <c r="EM30" s="119"/>
      <c r="EN30" s="119"/>
      <c r="EO30" s="119"/>
      <c r="EP30" s="119"/>
      <c r="EQ30" s="119"/>
      <c r="ER30" s="119"/>
      <c r="ES30" s="119"/>
      <c r="ET30" s="119"/>
      <c r="EU30" s="119"/>
      <c r="EV30" s="119"/>
      <c r="EW30" s="119"/>
      <c r="EX30" s="119"/>
      <c r="EY30" s="119"/>
      <c r="EZ30" s="119"/>
      <c r="FA30" s="119"/>
      <c r="FB30" s="119"/>
      <c r="FC30" s="119"/>
      <c r="FD30" s="119"/>
      <c r="FE30" s="119"/>
      <c r="FF30" s="119"/>
      <c r="FG30" s="119"/>
      <c r="FH30" s="119"/>
      <c r="FI30" s="119"/>
      <c r="FJ30" s="119"/>
      <c r="FK30" s="119"/>
      <c r="FL30" s="119"/>
      <c r="FM30" s="119"/>
      <c r="FN30" s="119"/>
      <c r="FO30" s="119"/>
      <c r="FP30" s="119"/>
      <c r="FQ30" s="119"/>
      <c r="FR30" s="119"/>
      <c r="FS30" s="119"/>
      <c r="FT30" s="119"/>
      <c r="FU30" s="119"/>
      <c r="FV30" s="119"/>
      <c r="FW30" s="119"/>
      <c r="FX30" s="119"/>
      <c r="FY30" s="119"/>
      <c r="FZ30" s="119"/>
      <c r="GA30" s="119"/>
      <c r="GB30" s="119"/>
      <c r="GC30" s="119"/>
      <c r="GD30" s="119"/>
      <c r="GE30" s="119"/>
      <c r="GF30" s="119"/>
      <c r="GG30" s="119"/>
      <c r="GH30" s="119"/>
      <c r="GI30" s="119"/>
      <c r="GJ30" s="119"/>
      <c r="GK30" s="119"/>
      <c r="GL30" s="119"/>
      <c r="GM30" s="119"/>
      <c r="GN30" s="119"/>
      <c r="GO30" s="119"/>
      <c r="GP30" s="119"/>
      <c r="GQ30" s="119"/>
      <c r="GR30" s="119"/>
      <c r="GS30" s="119"/>
      <c r="GT30" s="119"/>
      <c r="GU30" s="119"/>
      <c r="GV30" s="119"/>
      <c r="GW30" s="119"/>
      <c r="GX30" s="119"/>
      <c r="GY30" s="119"/>
      <c r="GZ30" s="119"/>
      <c r="HA30" s="119"/>
      <c r="HB30" s="119"/>
      <c r="HC30" s="119"/>
      <c r="HD30" s="119"/>
      <c r="HE30" s="119"/>
      <c r="HF30" s="119"/>
      <c r="HG30" s="119"/>
      <c r="HH30" s="119"/>
      <c r="HI30" s="119"/>
      <c r="HJ30" s="119"/>
      <c r="HK30" s="119"/>
      <c r="HL30" s="119"/>
      <c r="HM30" s="119"/>
      <c r="HN30" s="119"/>
      <c r="HO30" s="119"/>
      <c r="HP30" s="119"/>
      <c r="HQ30" s="119"/>
      <c r="HR30" s="119"/>
      <c r="HS30" s="119"/>
      <c r="HT30" s="119"/>
      <c r="HU30" s="119"/>
      <c r="HV30" s="119"/>
      <c r="HW30" s="119"/>
      <c r="HX30" s="119"/>
      <c r="HY30" s="119"/>
      <c r="HZ30" s="119"/>
      <c r="IA30" s="119"/>
      <c r="IB30" s="119"/>
      <c r="IC30" s="119"/>
      <c r="ID30" s="119"/>
      <c r="IE30" s="119"/>
      <c r="IF30" s="119"/>
      <c r="IG30" s="119"/>
      <c r="IH30" s="119"/>
      <c r="II30" s="119"/>
      <c r="IJ30" s="119"/>
      <c r="IK30" s="119"/>
      <c r="IL30" s="119"/>
      <c r="IM30" s="119"/>
      <c r="IN30" s="119"/>
      <c r="IO30" s="119"/>
      <c r="IP30" s="119"/>
      <c r="IQ30" s="119"/>
      <c r="IR30" s="119"/>
      <c r="IS30" s="119"/>
      <c r="IT30" s="119"/>
      <c r="IU30" s="119"/>
      <c r="IV30" s="119"/>
      <c r="IW30" s="119"/>
      <c r="IX30" s="119"/>
      <c r="IY30" s="119"/>
      <c r="IZ30" s="119"/>
      <c r="JA30" s="119"/>
      <c r="JB30" s="119"/>
      <c r="JC30" s="119"/>
      <c r="JD30" s="119"/>
      <c r="JE30" s="119"/>
      <c r="JF30" s="119"/>
      <c r="JG30" s="119"/>
      <c r="JH30" s="119"/>
      <c r="JI30" s="119"/>
      <c r="JJ30" s="119"/>
      <c r="JK30" s="119"/>
      <c r="JL30" s="119"/>
      <c r="JM30" s="119"/>
      <c r="JN30" s="119"/>
      <c r="JO30" s="119"/>
      <c r="JP30" s="119"/>
      <c r="JQ30" s="119"/>
      <c r="JR30" s="119"/>
      <c r="JS30" s="119"/>
      <c r="JT30" s="119"/>
      <c r="JU30" s="119"/>
      <c r="JV30" s="119"/>
      <c r="JW30" s="119"/>
      <c r="JX30" s="119"/>
      <c r="JY30" s="119"/>
      <c r="JZ30" s="119"/>
      <c r="KA30" s="119"/>
      <c r="KB30" s="119"/>
      <c r="KC30" s="119"/>
      <c r="KD30" s="119"/>
      <c r="KE30" s="119"/>
      <c r="KF30" s="119"/>
      <c r="KG30" s="119"/>
      <c r="KH30" s="119"/>
      <c r="KI30" s="119"/>
      <c r="KJ30" s="119"/>
      <c r="KK30" s="119"/>
      <c r="KL30" s="119"/>
      <c r="KM30" s="119"/>
      <c r="KN30" s="119"/>
      <c r="KO30" s="119"/>
      <c r="KP30" s="119"/>
      <c r="KQ30" s="119"/>
      <c r="KR30" s="119"/>
      <c r="KS30" s="119"/>
      <c r="KT30" s="119"/>
      <c r="KU30" s="119"/>
      <c r="KV30" s="119"/>
      <c r="KW30" s="119"/>
      <c r="KX30" s="119"/>
      <c r="KY30" s="119"/>
      <c r="KZ30" s="119"/>
      <c r="LA30" s="119"/>
      <c r="LB30" s="119"/>
      <c r="LC30" s="119"/>
      <c r="LD30" s="119"/>
      <c r="LE30" s="119"/>
      <c r="LF30" s="119"/>
      <c r="LG30" s="119"/>
      <c r="LH30" s="119"/>
      <c r="LI30" s="119"/>
      <c r="LJ30" s="119"/>
      <c r="LK30" s="119"/>
      <c r="LL30" s="119"/>
      <c r="LM30" s="119"/>
      <c r="LN30" s="119"/>
      <c r="LO30" s="119"/>
      <c r="LP30" s="119"/>
      <c r="LQ30" s="119"/>
      <c r="LR30" s="119"/>
      <c r="LS30" s="119"/>
      <c r="LT30" s="119"/>
      <c r="LU30" s="119"/>
      <c r="LV30" s="119"/>
      <c r="LW30" s="119"/>
      <c r="LX30" s="119"/>
      <c r="LY30" s="119"/>
      <c r="LZ30" s="119"/>
      <c r="MA30" s="119"/>
      <c r="MB30" s="119"/>
      <c r="MC30" s="119"/>
      <c r="MD30" s="119"/>
      <c r="ME30" s="119"/>
      <c r="MF30" s="119"/>
      <c r="MG30" s="119"/>
      <c r="MH30" s="119"/>
      <c r="MI30" s="119"/>
      <c r="MJ30" s="119"/>
      <c r="MK30" s="119"/>
      <c r="ML30" s="119"/>
      <c r="MM30" s="119"/>
      <c r="MN30" s="119"/>
      <c r="MO30" s="119"/>
      <c r="MP30" s="119"/>
      <c r="MQ30" s="119"/>
      <c r="MR30" s="119"/>
      <c r="MS30" s="119"/>
      <c r="MT30" s="119"/>
      <c r="MU30" s="119"/>
      <c r="MV30" s="119"/>
      <c r="MW30" s="119"/>
      <c r="MX30" s="119"/>
      <c r="MY30" s="119"/>
      <c r="MZ30" s="119"/>
      <c r="NA30" s="119"/>
      <c r="NB30" s="119"/>
      <c r="NC30" s="119"/>
      <c r="ND30" s="119"/>
      <c r="NE30" s="119"/>
      <c r="NF30" s="119"/>
      <c r="NG30" s="119"/>
      <c r="NH30" s="119"/>
      <c r="NI30" s="119"/>
      <c r="NJ30" s="119"/>
      <c r="NK30" s="119"/>
      <c r="NL30" s="119"/>
      <c r="NM30" s="119"/>
      <c r="NN30" s="119"/>
      <c r="NO30" s="119"/>
      <c r="NP30" s="119"/>
      <c r="NQ30" s="119"/>
      <c r="NR30" s="119"/>
      <c r="NS30" s="119"/>
      <c r="NT30" s="119"/>
      <c r="NU30" s="119"/>
      <c r="NV30" s="119"/>
      <c r="NW30" s="119"/>
      <c r="NX30" s="119"/>
      <c r="NY30" s="119"/>
      <c r="NZ30" s="119"/>
      <c r="OA30" s="119"/>
    </row>
    <row r="31" spans="1:391" ht="13.9" customHeight="1" x14ac:dyDescent="0.2">
      <c r="A31" s="500"/>
      <c r="B31" s="553" t="s">
        <v>327</v>
      </c>
      <c r="C31" s="187"/>
      <c r="D31" s="187"/>
      <c r="E31" s="187"/>
      <c r="F31" s="564">
        <f t="shared" ca="1" si="0"/>
        <v>-43388</v>
      </c>
      <c r="G31" s="556"/>
      <c r="H31" s="556"/>
      <c r="I31" s="556"/>
      <c r="J31" s="38" t="str">
        <f ca="1">IF(G31&gt;0,"COMPLETED",(IF(I31&gt;0,"ISSUE IDENTIFIED",(IF(TODAY()&gt;E31,"OVERDUE","In Progress")))))</f>
        <v>OVERDUE</v>
      </c>
      <c r="K31" s="557"/>
      <c r="BN31" s="119"/>
      <c r="BO31" s="119"/>
      <c r="BP31" s="119"/>
      <c r="BQ31" s="119"/>
      <c r="BR31" s="119"/>
      <c r="BS31" s="119"/>
      <c r="BT31" s="119"/>
      <c r="BU31" s="119"/>
      <c r="BV31" s="119"/>
      <c r="BW31" s="119"/>
      <c r="BX31" s="119"/>
      <c r="BY31" s="119"/>
      <c r="BZ31" s="119"/>
      <c r="CA31" s="119"/>
      <c r="CB31" s="119"/>
      <c r="CC31" s="119"/>
      <c r="CD31" s="119"/>
      <c r="CE31" s="119"/>
      <c r="CF31" s="119"/>
      <c r="CG31" s="119"/>
      <c r="CH31" s="119"/>
      <c r="CI31" s="119"/>
      <c r="CJ31" s="119"/>
      <c r="CK31" s="119"/>
      <c r="CL31" s="119"/>
      <c r="CM31" s="119"/>
      <c r="CN31" s="119"/>
      <c r="CO31" s="119"/>
      <c r="CP31" s="119"/>
      <c r="CQ31" s="119"/>
      <c r="CR31" s="119"/>
      <c r="CS31" s="119"/>
      <c r="CT31" s="119"/>
      <c r="CU31" s="119"/>
      <c r="CV31" s="119"/>
      <c r="CW31" s="119"/>
      <c r="CX31" s="119"/>
      <c r="CY31" s="119"/>
      <c r="CZ31" s="119"/>
      <c r="DA31" s="119"/>
      <c r="DB31" s="119"/>
      <c r="DC31" s="119"/>
      <c r="DD31" s="119"/>
      <c r="DE31" s="119"/>
      <c r="DF31" s="119"/>
      <c r="DG31" s="119"/>
      <c r="DH31" s="119"/>
      <c r="DI31" s="119"/>
      <c r="DJ31" s="119"/>
      <c r="DK31" s="119"/>
      <c r="DL31" s="119"/>
      <c r="DM31" s="119"/>
      <c r="DN31" s="119"/>
      <c r="DO31" s="119"/>
      <c r="DP31" s="119"/>
      <c r="DQ31" s="119"/>
      <c r="DR31" s="119"/>
      <c r="DS31" s="119"/>
      <c r="DT31" s="119"/>
      <c r="DU31" s="119"/>
      <c r="DV31" s="119"/>
      <c r="DW31" s="119"/>
      <c r="DX31" s="119"/>
      <c r="DY31" s="119"/>
      <c r="DZ31" s="119"/>
      <c r="EA31" s="119"/>
      <c r="EB31" s="119"/>
      <c r="EC31" s="119"/>
      <c r="ED31" s="119"/>
      <c r="EE31" s="119"/>
      <c r="EF31" s="119"/>
      <c r="EG31" s="119"/>
      <c r="EH31" s="119"/>
      <c r="EI31" s="119"/>
      <c r="EJ31" s="119"/>
      <c r="EK31" s="119"/>
      <c r="EL31" s="119"/>
      <c r="EM31" s="119"/>
      <c r="EN31" s="119"/>
      <c r="EO31" s="119"/>
      <c r="EP31" s="119"/>
      <c r="EQ31" s="119"/>
      <c r="ER31" s="119"/>
      <c r="ES31" s="119"/>
      <c r="ET31" s="119"/>
      <c r="EU31" s="119"/>
      <c r="EV31" s="119"/>
      <c r="EW31" s="119"/>
      <c r="EX31" s="119"/>
      <c r="EY31" s="119"/>
      <c r="EZ31" s="119"/>
      <c r="FA31" s="119"/>
      <c r="FB31" s="119"/>
      <c r="FC31" s="119"/>
      <c r="FD31" s="119"/>
      <c r="FE31" s="119"/>
      <c r="FF31" s="119"/>
      <c r="FG31" s="119"/>
      <c r="FH31" s="119"/>
      <c r="FI31" s="119"/>
      <c r="FJ31" s="119"/>
      <c r="FK31" s="119"/>
      <c r="FL31" s="119"/>
      <c r="FM31" s="119"/>
      <c r="FN31" s="119"/>
      <c r="FO31" s="119"/>
      <c r="FP31" s="119"/>
      <c r="FQ31" s="119"/>
      <c r="FR31" s="119"/>
      <c r="FS31" s="119"/>
      <c r="FT31" s="119"/>
      <c r="FU31" s="119"/>
      <c r="FV31" s="119"/>
      <c r="FW31" s="119"/>
      <c r="FX31" s="119"/>
      <c r="FY31" s="119"/>
      <c r="FZ31" s="119"/>
      <c r="GA31" s="119"/>
      <c r="GB31" s="119"/>
      <c r="GC31" s="119"/>
      <c r="GD31" s="119"/>
      <c r="GE31" s="119"/>
      <c r="GF31" s="119"/>
      <c r="GG31" s="119"/>
      <c r="GH31" s="119"/>
      <c r="GI31" s="119"/>
      <c r="GJ31" s="119"/>
      <c r="GK31" s="119"/>
      <c r="GL31" s="119"/>
      <c r="GM31" s="119"/>
      <c r="GN31" s="119"/>
      <c r="GO31" s="119"/>
      <c r="GP31" s="119"/>
      <c r="GQ31" s="119"/>
      <c r="GR31" s="119"/>
      <c r="GS31" s="119"/>
      <c r="GT31" s="119"/>
      <c r="GU31" s="119"/>
      <c r="GV31" s="119"/>
      <c r="GW31" s="119"/>
      <c r="GX31" s="119"/>
      <c r="GY31" s="119"/>
      <c r="GZ31" s="119"/>
      <c r="HA31" s="119"/>
      <c r="HB31" s="119"/>
      <c r="HC31" s="119"/>
      <c r="HD31" s="119"/>
      <c r="HE31" s="119"/>
      <c r="HF31" s="119"/>
      <c r="HG31" s="119"/>
      <c r="HH31" s="119"/>
      <c r="HI31" s="119"/>
      <c r="HJ31" s="119"/>
      <c r="HK31" s="119"/>
      <c r="HL31" s="119"/>
      <c r="HM31" s="119"/>
      <c r="HN31" s="119"/>
      <c r="HO31" s="119"/>
      <c r="HP31" s="119"/>
      <c r="HQ31" s="119"/>
      <c r="HR31" s="119"/>
      <c r="HS31" s="119"/>
      <c r="HT31" s="119"/>
      <c r="HU31" s="119"/>
      <c r="HV31" s="119"/>
      <c r="HW31" s="119"/>
      <c r="HX31" s="119"/>
      <c r="HY31" s="119"/>
      <c r="HZ31" s="119"/>
      <c r="IA31" s="119"/>
      <c r="IB31" s="119"/>
      <c r="IC31" s="119"/>
      <c r="ID31" s="119"/>
      <c r="IE31" s="119"/>
      <c r="IF31" s="119"/>
      <c r="IG31" s="119"/>
      <c r="IH31" s="119"/>
      <c r="II31" s="119"/>
      <c r="IJ31" s="119"/>
      <c r="IK31" s="119"/>
      <c r="IL31" s="119"/>
      <c r="IM31" s="119"/>
      <c r="IN31" s="119"/>
      <c r="IO31" s="119"/>
      <c r="IP31" s="119"/>
      <c r="IQ31" s="119"/>
      <c r="IR31" s="119"/>
      <c r="IS31" s="119"/>
      <c r="IT31" s="119"/>
      <c r="IU31" s="119"/>
      <c r="IV31" s="119"/>
      <c r="IW31" s="119"/>
      <c r="IX31" s="119"/>
      <c r="IY31" s="119"/>
      <c r="IZ31" s="119"/>
      <c r="JA31" s="119"/>
      <c r="JB31" s="119"/>
      <c r="JC31" s="119"/>
      <c r="JD31" s="119"/>
      <c r="JE31" s="119"/>
      <c r="JF31" s="119"/>
      <c r="JG31" s="119"/>
      <c r="JH31" s="119"/>
      <c r="JI31" s="119"/>
      <c r="JJ31" s="119"/>
      <c r="JK31" s="119"/>
      <c r="JL31" s="119"/>
      <c r="JM31" s="119"/>
      <c r="JN31" s="119"/>
      <c r="JO31" s="119"/>
      <c r="JP31" s="119"/>
      <c r="JQ31" s="119"/>
      <c r="JR31" s="119"/>
      <c r="JS31" s="119"/>
      <c r="JT31" s="119"/>
      <c r="JU31" s="119"/>
      <c r="JV31" s="119"/>
      <c r="JW31" s="119"/>
      <c r="JX31" s="119"/>
      <c r="JY31" s="119"/>
      <c r="JZ31" s="119"/>
      <c r="KA31" s="119"/>
      <c r="KB31" s="119"/>
      <c r="KC31" s="119"/>
      <c r="KD31" s="119"/>
      <c r="KE31" s="119"/>
      <c r="KF31" s="119"/>
      <c r="KG31" s="119"/>
      <c r="KH31" s="119"/>
      <c r="KI31" s="119"/>
      <c r="KJ31" s="119"/>
      <c r="KK31" s="119"/>
      <c r="KL31" s="119"/>
      <c r="KM31" s="119"/>
      <c r="KN31" s="119"/>
      <c r="KO31" s="119"/>
      <c r="KP31" s="119"/>
      <c r="KQ31" s="119"/>
      <c r="KR31" s="119"/>
      <c r="KS31" s="119"/>
      <c r="KT31" s="119"/>
      <c r="KU31" s="119"/>
      <c r="KV31" s="119"/>
      <c r="KW31" s="119"/>
      <c r="KX31" s="119"/>
      <c r="KY31" s="119"/>
      <c r="KZ31" s="119"/>
      <c r="LA31" s="119"/>
      <c r="LB31" s="119"/>
      <c r="LC31" s="119"/>
      <c r="LD31" s="119"/>
      <c r="LE31" s="119"/>
      <c r="LF31" s="119"/>
      <c r="LG31" s="119"/>
      <c r="LH31" s="119"/>
      <c r="LI31" s="119"/>
      <c r="LJ31" s="119"/>
      <c r="LK31" s="119"/>
      <c r="LL31" s="119"/>
      <c r="LM31" s="119"/>
      <c r="LN31" s="119"/>
      <c r="LO31" s="119"/>
      <c r="LP31" s="119"/>
      <c r="LQ31" s="119"/>
      <c r="LR31" s="119"/>
      <c r="LS31" s="119"/>
      <c r="LT31" s="119"/>
      <c r="LU31" s="119"/>
      <c r="LV31" s="119"/>
      <c r="LW31" s="119"/>
      <c r="LX31" s="119"/>
      <c r="LY31" s="119"/>
      <c r="LZ31" s="119"/>
      <c r="MA31" s="119"/>
      <c r="MB31" s="119"/>
      <c r="MC31" s="119"/>
      <c r="MD31" s="119"/>
      <c r="ME31" s="119"/>
      <c r="MF31" s="119"/>
      <c r="MG31" s="119"/>
      <c r="MH31" s="119"/>
      <c r="MI31" s="119"/>
      <c r="MJ31" s="119"/>
      <c r="MK31" s="119"/>
      <c r="ML31" s="119"/>
      <c r="MM31" s="119"/>
      <c r="MN31" s="119"/>
      <c r="MO31" s="119"/>
      <c r="MP31" s="119"/>
      <c r="MQ31" s="119"/>
      <c r="MR31" s="119"/>
      <c r="MS31" s="119"/>
      <c r="MT31" s="119"/>
      <c r="MU31" s="119"/>
      <c r="MV31" s="119"/>
      <c r="MW31" s="119"/>
      <c r="MX31" s="119"/>
      <c r="MY31" s="119"/>
      <c r="MZ31" s="119"/>
      <c r="NA31" s="119"/>
      <c r="NB31" s="119"/>
      <c r="NC31" s="119"/>
      <c r="ND31" s="119"/>
      <c r="NE31" s="119"/>
      <c r="NF31" s="119"/>
      <c r="NG31" s="119"/>
      <c r="NH31" s="119"/>
      <c r="NI31" s="119"/>
      <c r="NJ31" s="119"/>
      <c r="NK31" s="119"/>
      <c r="NL31" s="119"/>
      <c r="NM31" s="119"/>
      <c r="NN31" s="119"/>
      <c r="NO31" s="119"/>
      <c r="NP31" s="119"/>
      <c r="NQ31" s="119"/>
      <c r="NR31" s="119"/>
      <c r="NS31" s="119"/>
      <c r="NT31" s="119"/>
      <c r="NU31" s="119"/>
      <c r="NV31" s="119"/>
      <c r="NW31" s="119"/>
      <c r="NX31" s="119"/>
      <c r="NY31" s="119"/>
      <c r="NZ31" s="119"/>
      <c r="OA31" s="119"/>
    </row>
    <row r="32" spans="1:391" ht="13.9" customHeight="1" x14ac:dyDescent="0.2">
      <c r="A32" s="499"/>
      <c r="B32" s="549" t="s">
        <v>328</v>
      </c>
      <c r="C32" s="187"/>
      <c r="D32" s="187"/>
      <c r="E32" s="187"/>
      <c r="F32" s="564">
        <f t="shared" ca="1" si="0"/>
        <v>-43388</v>
      </c>
      <c r="G32" s="556"/>
      <c r="H32" s="556"/>
      <c r="I32" s="556"/>
      <c r="J32" s="38" t="str">
        <f ca="1">IF(G32&gt;0,"COMPLETED",(IF(I32&gt;0,"ISSUE IDENTIFIED",(IF(TODAY()&gt;E32,"OVERDUE","In Progress")))))</f>
        <v>OVERDUE</v>
      </c>
      <c r="K32" s="557"/>
      <c r="BN32" s="119"/>
      <c r="BO32" s="119"/>
      <c r="BP32" s="119"/>
      <c r="BQ32" s="119"/>
      <c r="BR32" s="119"/>
      <c r="BS32" s="119"/>
      <c r="BT32" s="119"/>
      <c r="BU32" s="119"/>
      <c r="BV32" s="119"/>
      <c r="BW32" s="119"/>
      <c r="BX32" s="119"/>
      <c r="BY32" s="119"/>
      <c r="BZ32" s="119"/>
      <c r="CA32" s="119"/>
      <c r="CB32" s="119"/>
      <c r="CC32" s="119"/>
      <c r="CD32" s="119"/>
      <c r="CE32" s="119"/>
      <c r="CF32" s="119"/>
      <c r="CG32" s="119"/>
      <c r="CH32" s="119"/>
      <c r="CI32" s="119"/>
      <c r="CJ32" s="119"/>
      <c r="CK32" s="119"/>
      <c r="CL32" s="119"/>
      <c r="CM32" s="119"/>
      <c r="CN32" s="119"/>
      <c r="CO32" s="119"/>
      <c r="CP32" s="119"/>
      <c r="CQ32" s="119"/>
      <c r="CR32" s="119"/>
      <c r="CS32" s="119"/>
      <c r="CT32" s="119"/>
      <c r="CU32" s="119"/>
      <c r="CV32" s="119"/>
      <c r="CW32" s="119"/>
      <c r="CX32" s="119"/>
      <c r="CY32" s="119"/>
      <c r="CZ32" s="119"/>
      <c r="DA32" s="119"/>
      <c r="DB32" s="119"/>
      <c r="DC32" s="119"/>
      <c r="DD32" s="119"/>
      <c r="DE32" s="119"/>
      <c r="DF32" s="119"/>
      <c r="DG32" s="119"/>
      <c r="DH32" s="119"/>
      <c r="DI32" s="119"/>
      <c r="DJ32" s="119"/>
      <c r="DK32" s="119"/>
      <c r="DL32" s="119"/>
      <c r="DM32" s="119"/>
      <c r="DN32" s="119"/>
      <c r="DO32" s="119"/>
      <c r="DP32" s="119"/>
      <c r="DQ32" s="119"/>
      <c r="DR32" s="119"/>
      <c r="DS32" s="119"/>
      <c r="DT32" s="119"/>
      <c r="DU32" s="119"/>
      <c r="DV32" s="119"/>
      <c r="DW32" s="119"/>
      <c r="DX32" s="119"/>
      <c r="DY32" s="119"/>
      <c r="DZ32" s="119"/>
      <c r="EA32" s="119"/>
      <c r="EB32" s="119"/>
      <c r="EC32" s="119"/>
      <c r="ED32" s="119"/>
      <c r="EE32" s="119"/>
      <c r="EF32" s="119"/>
      <c r="EG32" s="119"/>
      <c r="EH32" s="119"/>
      <c r="EI32" s="119"/>
      <c r="EJ32" s="119"/>
      <c r="EK32" s="119"/>
      <c r="EL32" s="119"/>
      <c r="EM32" s="119"/>
      <c r="EN32" s="119"/>
      <c r="EO32" s="119"/>
      <c r="EP32" s="119"/>
      <c r="EQ32" s="119"/>
      <c r="ER32" s="119"/>
      <c r="ES32" s="119"/>
      <c r="ET32" s="119"/>
      <c r="EU32" s="119"/>
      <c r="EV32" s="119"/>
      <c r="EW32" s="119"/>
      <c r="EX32" s="119"/>
      <c r="EY32" s="119"/>
      <c r="EZ32" s="119"/>
      <c r="FA32" s="119"/>
      <c r="FB32" s="119"/>
      <c r="FC32" s="119"/>
      <c r="FD32" s="119"/>
      <c r="FE32" s="119"/>
      <c r="FF32" s="119"/>
      <c r="FG32" s="119"/>
      <c r="FH32" s="119"/>
      <c r="FI32" s="119"/>
      <c r="FJ32" s="119"/>
      <c r="FK32" s="119"/>
      <c r="FL32" s="119"/>
      <c r="FM32" s="119"/>
      <c r="FN32" s="119"/>
      <c r="FO32" s="119"/>
      <c r="FP32" s="119"/>
      <c r="FQ32" s="119"/>
      <c r="FR32" s="119"/>
      <c r="FS32" s="119"/>
      <c r="FT32" s="119"/>
      <c r="FU32" s="119"/>
      <c r="FV32" s="119"/>
      <c r="FW32" s="119"/>
      <c r="FX32" s="119"/>
      <c r="FY32" s="119"/>
      <c r="FZ32" s="119"/>
      <c r="GA32" s="119"/>
      <c r="GB32" s="119"/>
      <c r="GC32" s="119"/>
      <c r="GD32" s="119"/>
      <c r="GE32" s="119"/>
      <c r="GF32" s="119"/>
      <c r="GG32" s="119"/>
      <c r="GH32" s="119"/>
      <c r="GI32" s="119"/>
      <c r="GJ32" s="119"/>
      <c r="GK32" s="119"/>
      <c r="GL32" s="119"/>
      <c r="GM32" s="119"/>
      <c r="GN32" s="119"/>
      <c r="GO32" s="119"/>
      <c r="GP32" s="119"/>
      <c r="GQ32" s="119"/>
      <c r="GR32" s="119"/>
      <c r="GS32" s="119"/>
      <c r="GT32" s="119"/>
      <c r="GU32" s="119"/>
      <c r="GV32" s="119"/>
      <c r="GW32" s="119"/>
      <c r="GX32" s="119"/>
      <c r="GY32" s="119"/>
      <c r="GZ32" s="119"/>
      <c r="HA32" s="119"/>
      <c r="HB32" s="119"/>
      <c r="HC32" s="119"/>
      <c r="HD32" s="119"/>
      <c r="HE32" s="119"/>
      <c r="HF32" s="119"/>
      <c r="HG32" s="119"/>
      <c r="HH32" s="119"/>
      <c r="HI32" s="119"/>
      <c r="HJ32" s="119"/>
      <c r="HK32" s="119"/>
      <c r="HL32" s="119"/>
      <c r="HM32" s="119"/>
      <c r="HN32" s="119"/>
      <c r="HO32" s="119"/>
      <c r="HP32" s="119"/>
      <c r="HQ32" s="119"/>
      <c r="HR32" s="119"/>
      <c r="HS32" s="119"/>
      <c r="HT32" s="119"/>
      <c r="HU32" s="119"/>
      <c r="HV32" s="119"/>
      <c r="HW32" s="119"/>
      <c r="HX32" s="119"/>
      <c r="HY32" s="119"/>
      <c r="HZ32" s="119"/>
      <c r="IA32" s="119"/>
      <c r="IB32" s="119"/>
      <c r="IC32" s="119"/>
      <c r="ID32" s="119"/>
      <c r="IE32" s="119"/>
      <c r="IF32" s="119"/>
      <c r="IG32" s="119"/>
      <c r="IH32" s="119"/>
      <c r="II32" s="119"/>
      <c r="IJ32" s="119"/>
      <c r="IK32" s="119"/>
      <c r="IL32" s="119"/>
      <c r="IM32" s="119"/>
      <c r="IN32" s="119"/>
      <c r="IO32" s="119"/>
      <c r="IP32" s="119"/>
      <c r="IQ32" s="119"/>
      <c r="IR32" s="119"/>
      <c r="IS32" s="119"/>
      <c r="IT32" s="119"/>
      <c r="IU32" s="119"/>
      <c r="IV32" s="119"/>
      <c r="IW32" s="119"/>
      <c r="IX32" s="119"/>
      <c r="IY32" s="119"/>
      <c r="IZ32" s="119"/>
      <c r="JA32" s="119"/>
      <c r="JB32" s="119"/>
      <c r="JC32" s="119"/>
      <c r="JD32" s="119"/>
      <c r="JE32" s="119"/>
      <c r="JF32" s="119"/>
      <c r="JG32" s="119"/>
      <c r="JH32" s="119"/>
      <c r="JI32" s="119"/>
      <c r="JJ32" s="119"/>
      <c r="JK32" s="119"/>
      <c r="JL32" s="119"/>
      <c r="JM32" s="119"/>
      <c r="JN32" s="119"/>
      <c r="JO32" s="119"/>
      <c r="JP32" s="119"/>
      <c r="JQ32" s="119"/>
      <c r="JR32" s="119"/>
      <c r="JS32" s="119"/>
      <c r="JT32" s="119"/>
      <c r="JU32" s="119"/>
      <c r="JV32" s="119"/>
      <c r="JW32" s="119"/>
      <c r="JX32" s="119"/>
      <c r="JY32" s="119"/>
      <c r="JZ32" s="119"/>
      <c r="KA32" s="119"/>
      <c r="KB32" s="119"/>
      <c r="KC32" s="119"/>
      <c r="KD32" s="119"/>
      <c r="KE32" s="119"/>
      <c r="KF32" s="119"/>
      <c r="KG32" s="119"/>
      <c r="KH32" s="119"/>
      <c r="KI32" s="119"/>
      <c r="KJ32" s="119"/>
      <c r="KK32" s="119"/>
      <c r="KL32" s="119"/>
      <c r="KM32" s="119"/>
      <c r="KN32" s="119"/>
      <c r="KO32" s="119"/>
      <c r="KP32" s="119"/>
      <c r="KQ32" s="119"/>
      <c r="KR32" s="119"/>
      <c r="KS32" s="119"/>
      <c r="KT32" s="119"/>
      <c r="KU32" s="119"/>
      <c r="KV32" s="119"/>
      <c r="KW32" s="119"/>
      <c r="KX32" s="119"/>
      <c r="KY32" s="119"/>
      <c r="KZ32" s="119"/>
      <c r="LA32" s="119"/>
      <c r="LB32" s="119"/>
      <c r="LC32" s="119"/>
      <c r="LD32" s="119"/>
      <c r="LE32" s="119"/>
      <c r="LF32" s="119"/>
      <c r="LG32" s="119"/>
      <c r="LH32" s="119"/>
      <c r="LI32" s="119"/>
      <c r="LJ32" s="119"/>
      <c r="LK32" s="119"/>
      <c r="LL32" s="119"/>
      <c r="LM32" s="119"/>
      <c r="LN32" s="119"/>
      <c r="LO32" s="119"/>
      <c r="LP32" s="119"/>
      <c r="LQ32" s="119"/>
      <c r="LR32" s="119"/>
      <c r="LS32" s="119"/>
      <c r="LT32" s="119"/>
      <c r="LU32" s="119"/>
      <c r="LV32" s="119"/>
      <c r="LW32" s="119"/>
      <c r="LX32" s="119"/>
      <c r="LY32" s="119"/>
      <c r="LZ32" s="119"/>
      <c r="MA32" s="119"/>
      <c r="MB32" s="119"/>
      <c r="MC32" s="119"/>
      <c r="MD32" s="119"/>
      <c r="ME32" s="119"/>
      <c r="MF32" s="119"/>
      <c r="MG32" s="119"/>
      <c r="MH32" s="119"/>
      <c r="MI32" s="119"/>
      <c r="MJ32" s="119"/>
      <c r="MK32" s="119"/>
      <c r="ML32" s="119"/>
      <c r="MM32" s="119"/>
      <c r="MN32" s="119"/>
      <c r="MO32" s="119"/>
      <c r="MP32" s="119"/>
      <c r="MQ32" s="119"/>
      <c r="MR32" s="119"/>
      <c r="MS32" s="119"/>
      <c r="MT32" s="119"/>
      <c r="MU32" s="119"/>
      <c r="MV32" s="119"/>
      <c r="MW32" s="119"/>
      <c r="MX32" s="119"/>
      <c r="MY32" s="119"/>
      <c r="MZ32" s="119"/>
      <c r="NA32" s="119"/>
      <c r="NB32" s="119"/>
      <c r="NC32" s="119"/>
      <c r="ND32" s="119"/>
      <c r="NE32" s="119"/>
      <c r="NF32" s="119"/>
      <c r="NG32" s="119"/>
      <c r="NH32" s="119"/>
      <c r="NI32" s="119"/>
      <c r="NJ32" s="119"/>
      <c r="NK32" s="119"/>
      <c r="NL32" s="119"/>
      <c r="NM32" s="119"/>
      <c r="NN32" s="119"/>
      <c r="NO32" s="119"/>
      <c r="NP32" s="119"/>
      <c r="NQ32" s="119"/>
      <c r="NR32" s="119"/>
      <c r="NS32" s="119"/>
      <c r="NT32" s="119"/>
      <c r="NU32" s="119"/>
      <c r="NV32" s="119"/>
      <c r="NW32" s="119"/>
      <c r="NX32" s="119"/>
      <c r="NY32" s="119"/>
      <c r="NZ32" s="119"/>
      <c r="OA32" s="119"/>
    </row>
    <row r="33" spans="1:391" ht="13.9" customHeight="1" x14ac:dyDescent="0.2">
      <c r="A33" s="499"/>
      <c r="B33" s="553" t="s">
        <v>329</v>
      </c>
      <c r="C33" s="187"/>
      <c r="D33" s="187"/>
      <c r="E33" s="185"/>
      <c r="F33" s="564">
        <f t="shared" ca="1" si="0"/>
        <v>-43388</v>
      </c>
      <c r="G33" s="556"/>
      <c r="H33" s="556"/>
      <c r="I33" s="556"/>
      <c r="J33" s="38" t="str">
        <f ca="1">IF(G33&gt;0,"COMPLETED",(IF(I33&gt;0,"ISSUE IDENTIFIED",(IF(TODAY()&gt;E33,"OVERDUE","In Progress")))))</f>
        <v>OVERDUE</v>
      </c>
      <c r="K33" s="557"/>
      <c r="BN33" s="119"/>
      <c r="BO33" s="119"/>
      <c r="BP33" s="119"/>
      <c r="BQ33" s="119"/>
      <c r="BR33" s="119"/>
      <c r="BS33" s="119"/>
      <c r="BT33" s="119"/>
      <c r="BU33" s="119"/>
      <c r="BV33" s="119"/>
      <c r="BW33" s="119"/>
      <c r="BX33" s="119"/>
      <c r="BY33" s="119"/>
      <c r="BZ33" s="119"/>
      <c r="CA33" s="119"/>
      <c r="CB33" s="119"/>
      <c r="CC33" s="119"/>
      <c r="CD33" s="119"/>
      <c r="CE33" s="119"/>
      <c r="CF33" s="119"/>
      <c r="CG33" s="119"/>
      <c r="CH33" s="119"/>
      <c r="CI33" s="119"/>
      <c r="CJ33" s="119"/>
      <c r="CK33" s="119"/>
      <c r="CL33" s="119"/>
      <c r="CM33" s="119"/>
      <c r="CN33" s="119"/>
      <c r="CO33" s="119"/>
      <c r="CP33" s="119"/>
      <c r="CQ33" s="119"/>
      <c r="CR33" s="119"/>
      <c r="CS33" s="119"/>
      <c r="CT33" s="119"/>
      <c r="CU33" s="119"/>
      <c r="CV33" s="119"/>
      <c r="CW33" s="119"/>
      <c r="CX33" s="119"/>
      <c r="CY33" s="119"/>
      <c r="CZ33" s="119"/>
      <c r="DA33" s="119"/>
      <c r="DB33" s="119"/>
      <c r="DC33" s="119"/>
      <c r="DD33" s="119"/>
      <c r="DE33" s="119"/>
      <c r="DF33" s="119"/>
      <c r="DG33" s="119"/>
      <c r="DH33" s="119"/>
      <c r="DI33" s="119"/>
      <c r="DJ33" s="119"/>
      <c r="DK33" s="119"/>
      <c r="DL33" s="119"/>
      <c r="DM33" s="119"/>
      <c r="DN33" s="119"/>
      <c r="DO33" s="119"/>
      <c r="DP33" s="119"/>
      <c r="DQ33" s="119"/>
      <c r="DR33" s="119"/>
      <c r="DS33" s="119"/>
      <c r="DT33" s="119"/>
      <c r="DU33" s="119"/>
      <c r="DV33" s="119"/>
      <c r="DW33" s="119"/>
      <c r="DX33" s="119"/>
      <c r="DY33" s="119"/>
      <c r="DZ33" s="119"/>
      <c r="EA33" s="119"/>
      <c r="EB33" s="119"/>
      <c r="EC33" s="119"/>
      <c r="ED33" s="119"/>
      <c r="EE33" s="119"/>
      <c r="EF33" s="119"/>
      <c r="EG33" s="119"/>
      <c r="EH33" s="119"/>
      <c r="EI33" s="119"/>
      <c r="EJ33" s="119"/>
      <c r="EK33" s="119"/>
      <c r="EL33" s="119"/>
      <c r="EM33" s="119"/>
      <c r="EN33" s="119"/>
      <c r="EO33" s="119"/>
      <c r="EP33" s="119"/>
      <c r="EQ33" s="119"/>
      <c r="ER33" s="119"/>
      <c r="ES33" s="119"/>
      <c r="ET33" s="119"/>
      <c r="EU33" s="119"/>
      <c r="EV33" s="119"/>
      <c r="EW33" s="119"/>
      <c r="EX33" s="119"/>
      <c r="EY33" s="119"/>
      <c r="EZ33" s="119"/>
      <c r="FA33" s="119"/>
      <c r="FB33" s="119"/>
      <c r="FC33" s="119"/>
      <c r="FD33" s="119"/>
      <c r="FE33" s="119"/>
      <c r="FF33" s="119"/>
      <c r="FG33" s="119"/>
      <c r="FH33" s="119"/>
      <c r="FI33" s="119"/>
      <c r="FJ33" s="119"/>
      <c r="FK33" s="119"/>
      <c r="FL33" s="119"/>
      <c r="FM33" s="119"/>
      <c r="FN33" s="119"/>
      <c r="FO33" s="119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9"/>
      <c r="GO33" s="119"/>
      <c r="GP33" s="119"/>
      <c r="GQ33" s="119"/>
      <c r="GR33" s="119"/>
      <c r="GS33" s="119"/>
      <c r="GT33" s="119"/>
      <c r="GU33" s="119"/>
      <c r="GV33" s="119"/>
      <c r="GW33" s="119"/>
      <c r="GX33" s="119"/>
      <c r="GY33" s="119"/>
      <c r="GZ33" s="119"/>
      <c r="HA33" s="119"/>
      <c r="HB33" s="119"/>
      <c r="HC33" s="119"/>
      <c r="HD33" s="119"/>
      <c r="HE33" s="119"/>
      <c r="HF33" s="119"/>
      <c r="HG33" s="119"/>
      <c r="HH33" s="119"/>
      <c r="HI33" s="119"/>
      <c r="HJ33" s="119"/>
      <c r="HK33" s="119"/>
      <c r="HL33" s="119"/>
      <c r="HM33" s="119"/>
      <c r="HN33" s="119"/>
      <c r="HO33" s="119"/>
      <c r="HP33" s="119"/>
      <c r="HQ33" s="119"/>
      <c r="HR33" s="119"/>
      <c r="HS33" s="119"/>
      <c r="HT33" s="119"/>
      <c r="HU33" s="119"/>
      <c r="HV33" s="119"/>
      <c r="HW33" s="119"/>
      <c r="HX33" s="119"/>
      <c r="HY33" s="119"/>
      <c r="HZ33" s="119"/>
      <c r="IA33" s="119"/>
      <c r="IB33" s="119"/>
      <c r="IC33" s="119"/>
      <c r="ID33" s="119"/>
      <c r="IE33" s="119"/>
      <c r="IF33" s="119"/>
      <c r="IG33" s="119"/>
      <c r="IH33" s="119"/>
      <c r="II33" s="119"/>
      <c r="IJ33" s="119"/>
      <c r="IK33" s="119"/>
      <c r="IL33" s="119"/>
      <c r="IM33" s="119"/>
      <c r="IN33" s="119"/>
      <c r="IO33" s="119"/>
      <c r="IP33" s="119"/>
      <c r="IQ33" s="119"/>
      <c r="IR33" s="119"/>
      <c r="IS33" s="119"/>
      <c r="IT33" s="119"/>
      <c r="IU33" s="119"/>
      <c r="IV33" s="119"/>
      <c r="IW33" s="119"/>
      <c r="IX33" s="119"/>
      <c r="IY33" s="119"/>
      <c r="IZ33" s="119"/>
      <c r="JA33" s="119"/>
      <c r="JB33" s="119"/>
      <c r="JC33" s="119"/>
      <c r="JD33" s="119"/>
      <c r="JE33" s="119"/>
      <c r="JF33" s="119"/>
      <c r="JG33" s="119"/>
      <c r="JH33" s="119"/>
      <c r="JI33" s="119"/>
      <c r="JJ33" s="119"/>
      <c r="JK33" s="119"/>
      <c r="JL33" s="119"/>
      <c r="JM33" s="119"/>
      <c r="JN33" s="119"/>
      <c r="JO33" s="119"/>
      <c r="JP33" s="119"/>
      <c r="JQ33" s="119"/>
      <c r="JR33" s="119"/>
      <c r="JS33" s="119"/>
      <c r="JT33" s="119"/>
      <c r="JU33" s="119"/>
      <c r="JV33" s="119"/>
      <c r="JW33" s="119"/>
      <c r="JX33" s="119"/>
      <c r="JY33" s="119"/>
      <c r="JZ33" s="119"/>
      <c r="KA33" s="119"/>
      <c r="KB33" s="119"/>
      <c r="KC33" s="119"/>
      <c r="KD33" s="119"/>
      <c r="KE33" s="119"/>
      <c r="KF33" s="119"/>
      <c r="KG33" s="119"/>
      <c r="KH33" s="119"/>
      <c r="KI33" s="119"/>
      <c r="KJ33" s="119"/>
      <c r="KK33" s="119"/>
      <c r="KL33" s="119"/>
      <c r="KM33" s="119"/>
      <c r="KN33" s="119"/>
      <c r="KO33" s="119"/>
      <c r="KP33" s="119"/>
      <c r="KQ33" s="119"/>
      <c r="KR33" s="119"/>
      <c r="KS33" s="119"/>
      <c r="KT33" s="119"/>
      <c r="KU33" s="119"/>
      <c r="KV33" s="119"/>
      <c r="KW33" s="119"/>
      <c r="KX33" s="119"/>
      <c r="KY33" s="119"/>
      <c r="KZ33" s="119"/>
      <c r="LA33" s="119"/>
      <c r="LB33" s="119"/>
      <c r="LC33" s="119"/>
      <c r="LD33" s="119"/>
      <c r="LE33" s="119"/>
      <c r="LF33" s="119"/>
      <c r="LG33" s="119"/>
      <c r="LH33" s="119"/>
      <c r="LI33" s="119"/>
      <c r="LJ33" s="119"/>
      <c r="LK33" s="119"/>
      <c r="LL33" s="119"/>
      <c r="LM33" s="119"/>
      <c r="LN33" s="119"/>
      <c r="LO33" s="119"/>
      <c r="LP33" s="119"/>
      <c r="LQ33" s="119"/>
      <c r="LR33" s="119"/>
      <c r="LS33" s="119"/>
      <c r="LT33" s="119"/>
      <c r="LU33" s="119"/>
      <c r="LV33" s="119"/>
      <c r="LW33" s="119"/>
      <c r="LX33" s="119"/>
      <c r="LY33" s="119"/>
      <c r="LZ33" s="119"/>
      <c r="MA33" s="119"/>
      <c r="MB33" s="119"/>
      <c r="MC33" s="119"/>
      <c r="MD33" s="119"/>
      <c r="ME33" s="119"/>
      <c r="MF33" s="119"/>
      <c r="MG33" s="119"/>
      <c r="MH33" s="119"/>
      <c r="MI33" s="119"/>
      <c r="MJ33" s="119"/>
      <c r="MK33" s="119"/>
      <c r="ML33" s="119"/>
      <c r="MM33" s="119"/>
      <c r="MN33" s="119"/>
      <c r="MO33" s="119"/>
      <c r="MP33" s="119"/>
      <c r="MQ33" s="119"/>
      <c r="MR33" s="119"/>
      <c r="MS33" s="119"/>
      <c r="MT33" s="119"/>
      <c r="MU33" s="119"/>
      <c r="MV33" s="119"/>
      <c r="MW33" s="119"/>
      <c r="MX33" s="119"/>
      <c r="MY33" s="119"/>
      <c r="MZ33" s="119"/>
      <c r="NA33" s="119"/>
      <c r="NB33" s="119"/>
      <c r="NC33" s="119"/>
      <c r="ND33" s="119"/>
      <c r="NE33" s="119"/>
      <c r="NF33" s="119"/>
      <c r="NG33" s="119"/>
      <c r="NH33" s="119"/>
      <c r="NI33" s="119"/>
      <c r="NJ33" s="119"/>
      <c r="NK33" s="119"/>
      <c r="NL33" s="119"/>
      <c r="NM33" s="119"/>
      <c r="NN33" s="119"/>
      <c r="NO33" s="119"/>
      <c r="NP33" s="119"/>
      <c r="NQ33" s="119"/>
      <c r="NR33" s="119"/>
      <c r="NS33" s="119"/>
      <c r="NT33" s="119"/>
      <c r="NU33" s="119"/>
      <c r="NV33" s="119"/>
      <c r="NW33" s="119"/>
      <c r="NX33" s="119"/>
      <c r="NY33" s="119"/>
      <c r="NZ33" s="119"/>
      <c r="OA33" s="119"/>
    </row>
    <row r="34" spans="1:391" ht="13.9" customHeight="1" x14ac:dyDescent="0.25">
      <c r="A34" s="499"/>
      <c r="B34" s="550" t="s">
        <v>330</v>
      </c>
      <c r="C34" s="187"/>
      <c r="D34" s="551"/>
      <c r="E34" s="551"/>
      <c r="F34" s="564">
        <f t="shared" ca="1" si="0"/>
        <v>-43388</v>
      </c>
      <c r="G34" s="556"/>
      <c r="H34" s="556"/>
      <c r="I34" s="556"/>
      <c r="J34" s="38" t="str">
        <f ca="1">IF(AND(J35="completed",J36="completed",J37="completed",J38="completed",J39="completed",J40="completed",J41="completed"),"Deliverable Completed","DELIVERABLE STILL IN PROGRESS")</f>
        <v>DELIVERABLE STILL IN PROGRESS</v>
      </c>
      <c r="K34" s="557"/>
      <c r="BN34" s="119"/>
      <c r="BO34" s="119"/>
      <c r="BP34" s="119"/>
      <c r="BQ34" s="119"/>
      <c r="BR34" s="119"/>
      <c r="BS34" s="119"/>
      <c r="BT34" s="119"/>
      <c r="BU34" s="119"/>
      <c r="BV34" s="119"/>
      <c r="BW34" s="119"/>
      <c r="BX34" s="119"/>
      <c r="BY34" s="119"/>
      <c r="BZ34" s="119"/>
      <c r="CA34" s="119"/>
      <c r="CB34" s="119"/>
      <c r="CC34" s="119"/>
      <c r="CD34" s="119"/>
      <c r="CE34" s="119"/>
      <c r="CF34" s="119"/>
      <c r="CG34" s="119"/>
      <c r="CH34" s="119"/>
      <c r="CI34" s="119"/>
      <c r="CJ34" s="119"/>
      <c r="CK34" s="119"/>
      <c r="CL34" s="119"/>
      <c r="CM34" s="119"/>
      <c r="CN34" s="119"/>
      <c r="CO34" s="119"/>
      <c r="CP34" s="119"/>
      <c r="CQ34" s="119"/>
      <c r="CR34" s="119"/>
      <c r="CS34" s="119"/>
      <c r="CT34" s="119"/>
      <c r="CU34" s="119"/>
      <c r="CV34" s="119"/>
      <c r="CW34" s="119"/>
      <c r="CX34" s="119"/>
      <c r="CY34" s="119"/>
      <c r="CZ34" s="119"/>
      <c r="DA34" s="119"/>
      <c r="DB34" s="119"/>
      <c r="DC34" s="119"/>
      <c r="DD34" s="119"/>
      <c r="DE34" s="119"/>
      <c r="DF34" s="119"/>
      <c r="DG34" s="119"/>
      <c r="DH34" s="119"/>
      <c r="DI34" s="119"/>
      <c r="DJ34" s="119"/>
      <c r="DK34" s="119"/>
      <c r="DL34" s="119"/>
      <c r="DM34" s="119"/>
      <c r="DN34" s="119"/>
      <c r="DO34" s="119"/>
      <c r="DP34" s="119"/>
      <c r="DQ34" s="119"/>
      <c r="DR34" s="119"/>
      <c r="DS34" s="119"/>
      <c r="DT34" s="119"/>
      <c r="DU34" s="119"/>
      <c r="DV34" s="119"/>
      <c r="DW34" s="119"/>
      <c r="DX34" s="119"/>
      <c r="DY34" s="119"/>
      <c r="DZ34" s="119"/>
      <c r="EA34" s="119"/>
      <c r="EB34" s="119"/>
      <c r="EC34" s="119"/>
      <c r="ED34" s="119"/>
      <c r="EE34" s="119"/>
      <c r="EF34" s="119"/>
      <c r="EG34" s="119"/>
      <c r="EH34" s="119"/>
      <c r="EI34" s="119"/>
      <c r="EJ34" s="119"/>
      <c r="EK34" s="119"/>
      <c r="EL34" s="119"/>
      <c r="EM34" s="119"/>
      <c r="EN34" s="119"/>
      <c r="EO34" s="119"/>
      <c r="EP34" s="119"/>
      <c r="EQ34" s="119"/>
      <c r="ER34" s="119"/>
      <c r="ES34" s="119"/>
      <c r="ET34" s="119"/>
      <c r="EU34" s="119"/>
      <c r="EV34" s="119"/>
      <c r="EW34" s="119"/>
      <c r="EX34" s="119"/>
      <c r="EY34" s="119"/>
      <c r="EZ34" s="119"/>
      <c r="FA34" s="119"/>
      <c r="FB34" s="119"/>
      <c r="FC34" s="119"/>
      <c r="FD34" s="119"/>
      <c r="FE34" s="119"/>
      <c r="FF34" s="119"/>
      <c r="FG34" s="119"/>
      <c r="FH34" s="119"/>
      <c r="FI34" s="119"/>
      <c r="FJ34" s="119"/>
      <c r="FK34" s="119"/>
      <c r="FL34" s="119"/>
      <c r="FM34" s="119"/>
      <c r="FN34" s="119"/>
      <c r="FO34" s="119"/>
      <c r="FP34" s="119"/>
      <c r="FQ34" s="119"/>
      <c r="FR34" s="119"/>
      <c r="FS34" s="119"/>
      <c r="FT34" s="119"/>
      <c r="FU34" s="119"/>
      <c r="FV34" s="119"/>
      <c r="FW34" s="119"/>
      <c r="FX34" s="119"/>
      <c r="FY34" s="119"/>
      <c r="FZ34" s="119"/>
      <c r="GA34" s="119"/>
      <c r="GB34" s="119"/>
      <c r="GC34" s="119"/>
      <c r="GD34" s="119"/>
      <c r="GE34" s="119"/>
      <c r="GF34" s="119"/>
      <c r="GG34" s="119"/>
      <c r="GH34" s="119"/>
      <c r="GI34" s="119"/>
      <c r="GJ34" s="119"/>
      <c r="GK34" s="119"/>
      <c r="GL34" s="119"/>
      <c r="GM34" s="119"/>
      <c r="GN34" s="119"/>
      <c r="GO34" s="119"/>
      <c r="GP34" s="119"/>
      <c r="GQ34" s="119"/>
      <c r="GR34" s="119"/>
      <c r="GS34" s="119"/>
      <c r="GT34" s="119"/>
      <c r="GU34" s="119"/>
      <c r="GV34" s="119"/>
      <c r="GW34" s="119"/>
      <c r="GX34" s="119"/>
      <c r="GY34" s="119"/>
      <c r="GZ34" s="119"/>
      <c r="HA34" s="119"/>
      <c r="HB34" s="119"/>
      <c r="HC34" s="119"/>
      <c r="HD34" s="119"/>
      <c r="HE34" s="119"/>
      <c r="HF34" s="119"/>
      <c r="HG34" s="119"/>
      <c r="HH34" s="119"/>
      <c r="HI34" s="119"/>
      <c r="HJ34" s="119"/>
      <c r="HK34" s="119"/>
      <c r="HL34" s="119"/>
      <c r="HM34" s="119"/>
      <c r="HN34" s="119"/>
      <c r="HO34" s="119"/>
      <c r="HP34" s="119"/>
      <c r="HQ34" s="119"/>
      <c r="HR34" s="119"/>
      <c r="HS34" s="119"/>
      <c r="HT34" s="119"/>
      <c r="HU34" s="119"/>
      <c r="HV34" s="119"/>
      <c r="HW34" s="119"/>
      <c r="HX34" s="119"/>
      <c r="HY34" s="119"/>
      <c r="HZ34" s="119"/>
      <c r="IA34" s="119"/>
      <c r="IB34" s="119"/>
      <c r="IC34" s="119"/>
      <c r="ID34" s="119"/>
      <c r="IE34" s="119"/>
      <c r="IF34" s="119"/>
      <c r="IG34" s="119"/>
      <c r="IH34" s="119"/>
      <c r="II34" s="119"/>
      <c r="IJ34" s="119"/>
      <c r="IK34" s="119"/>
      <c r="IL34" s="119"/>
      <c r="IM34" s="119"/>
      <c r="IN34" s="119"/>
      <c r="IO34" s="119"/>
      <c r="IP34" s="119"/>
      <c r="IQ34" s="119"/>
      <c r="IR34" s="119"/>
      <c r="IS34" s="119"/>
      <c r="IT34" s="119"/>
      <c r="IU34" s="119"/>
      <c r="IV34" s="119"/>
      <c r="IW34" s="119"/>
      <c r="IX34" s="119"/>
      <c r="IY34" s="119"/>
      <c r="IZ34" s="119"/>
      <c r="JA34" s="119"/>
      <c r="JB34" s="119"/>
      <c r="JC34" s="119"/>
      <c r="JD34" s="119"/>
      <c r="JE34" s="119"/>
      <c r="JF34" s="119"/>
      <c r="JG34" s="119"/>
      <c r="JH34" s="119"/>
      <c r="JI34" s="119"/>
      <c r="JJ34" s="119"/>
      <c r="JK34" s="119"/>
      <c r="JL34" s="119"/>
      <c r="JM34" s="119"/>
      <c r="JN34" s="119"/>
      <c r="JO34" s="119"/>
      <c r="JP34" s="119"/>
      <c r="JQ34" s="119"/>
      <c r="JR34" s="119"/>
      <c r="JS34" s="119"/>
      <c r="JT34" s="119"/>
      <c r="JU34" s="119"/>
      <c r="JV34" s="119"/>
      <c r="JW34" s="119"/>
      <c r="JX34" s="119"/>
      <c r="JY34" s="119"/>
      <c r="JZ34" s="119"/>
      <c r="KA34" s="119"/>
      <c r="KB34" s="119"/>
      <c r="KC34" s="119"/>
      <c r="KD34" s="119"/>
      <c r="KE34" s="119"/>
      <c r="KF34" s="119"/>
      <c r="KG34" s="119"/>
      <c r="KH34" s="119"/>
      <c r="KI34" s="119"/>
      <c r="KJ34" s="119"/>
      <c r="KK34" s="119"/>
      <c r="KL34" s="119"/>
      <c r="KM34" s="119"/>
      <c r="KN34" s="119"/>
      <c r="KO34" s="119"/>
      <c r="KP34" s="119"/>
      <c r="KQ34" s="119"/>
      <c r="KR34" s="119"/>
      <c r="KS34" s="119"/>
      <c r="KT34" s="119"/>
      <c r="KU34" s="119"/>
      <c r="KV34" s="119"/>
      <c r="KW34" s="119"/>
      <c r="KX34" s="119"/>
      <c r="KY34" s="119"/>
      <c r="KZ34" s="119"/>
      <c r="LA34" s="119"/>
      <c r="LB34" s="119"/>
      <c r="LC34" s="119"/>
      <c r="LD34" s="119"/>
      <c r="LE34" s="119"/>
      <c r="LF34" s="119"/>
      <c r="LG34" s="119"/>
      <c r="LH34" s="119"/>
      <c r="LI34" s="119"/>
      <c r="LJ34" s="119"/>
      <c r="LK34" s="119"/>
      <c r="LL34" s="119"/>
      <c r="LM34" s="119"/>
      <c r="LN34" s="119"/>
      <c r="LO34" s="119"/>
      <c r="LP34" s="119"/>
      <c r="LQ34" s="119"/>
      <c r="LR34" s="119"/>
      <c r="LS34" s="119"/>
      <c r="LT34" s="119"/>
      <c r="LU34" s="119"/>
      <c r="LV34" s="119"/>
      <c r="LW34" s="119"/>
      <c r="LX34" s="119"/>
      <c r="LY34" s="119"/>
      <c r="LZ34" s="119"/>
      <c r="MA34" s="119"/>
      <c r="MB34" s="119"/>
      <c r="MC34" s="119"/>
      <c r="MD34" s="119"/>
      <c r="ME34" s="119"/>
      <c r="MF34" s="119"/>
      <c r="MG34" s="119"/>
      <c r="MH34" s="119"/>
      <c r="MI34" s="119"/>
      <c r="MJ34" s="119"/>
      <c r="MK34" s="119"/>
      <c r="ML34" s="119"/>
      <c r="MM34" s="119"/>
      <c r="MN34" s="119"/>
      <c r="MO34" s="119"/>
      <c r="MP34" s="119"/>
      <c r="MQ34" s="119"/>
      <c r="MR34" s="119"/>
      <c r="MS34" s="119"/>
      <c r="MT34" s="119"/>
      <c r="MU34" s="119"/>
      <c r="MV34" s="119"/>
      <c r="MW34" s="119"/>
      <c r="MX34" s="119"/>
      <c r="MY34" s="119"/>
      <c r="MZ34" s="119"/>
      <c r="NA34" s="119"/>
      <c r="NB34" s="119"/>
      <c r="NC34" s="119"/>
      <c r="ND34" s="119"/>
      <c r="NE34" s="119"/>
      <c r="NF34" s="119"/>
      <c r="NG34" s="119"/>
      <c r="NH34" s="119"/>
      <c r="NI34" s="119"/>
      <c r="NJ34" s="119"/>
      <c r="NK34" s="119"/>
      <c r="NL34" s="119"/>
      <c r="NM34" s="119"/>
      <c r="NN34" s="119"/>
      <c r="NO34" s="119"/>
      <c r="NP34" s="119"/>
      <c r="NQ34" s="119"/>
      <c r="NR34" s="119"/>
      <c r="NS34" s="119"/>
      <c r="NT34" s="119"/>
      <c r="NU34" s="119"/>
      <c r="NV34" s="119"/>
      <c r="NW34" s="119"/>
      <c r="NX34" s="119"/>
      <c r="NY34" s="119"/>
      <c r="NZ34" s="119"/>
      <c r="OA34" s="119"/>
    </row>
    <row r="35" spans="1:391" ht="13.9" customHeight="1" x14ac:dyDescent="0.2">
      <c r="A35" s="499"/>
      <c r="B35" s="548" t="s">
        <v>331</v>
      </c>
      <c r="C35" s="187"/>
      <c r="D35" s="187"/>
      <c r="E35" s="187"/>
      <c r="F35" s="564">
        <f t="shared" ca="1" si="0"/>
        <v>-43388</v>
      </c>
      <c r="G35" s="556"/>
      <c r="H35" s="556"/>
      <c r="I35" s="556"/>
      <c r="J35" s="38" t="str">
        <f t="shared" ref="J35:J41" ca="1" si="3">IF(G35&gt;0,"COMPLETED",(IF(I35&gt;0,"ISSUE IDENTIFIED",(IF(TODAY()&gt;E35,"OVERDUE","In Progress")))))</f>
        <v>OVERDUE</v>
      </c>
      <c r="K35" s="557"/>
      <c r="BN35" s="119"/>
      <c r="BO35" s="119"/>
      <c r="BP35" s="119"/>
      <c r="BQ35" s="119"/>
      <c r="BR35" s="119"/>
      <c r="BS35" s="119"/>
      <c r="BT35" s="119"/>
      <c r="BU35" s="119"/>
      <c r="BV35" s="119"/>
      <c r="BW35" s="119"/>
      <c r="BX35" s="119"/>
      <c r="BY35" s="119"/>
      <c r="BZ35" s="119"/>
      <c r="CA35" s="119"/>
      <c r="CB35" s="119"/>
      <c r="CC35" s="119"/>
      <c r="CD35" s="119"/>
      <c r="CE35" s="119"/>
      <c r="CF35" s="119"/>
      <c r="CG35" s="119"/>
      <c r="CH35" s="119"/>
      <c r="CI35" s="119"/>
      <c r="CJ35" s="119"/>
      <c r="CK35" s="119"/>
      <c r="CL35" s="119"/>
      <c r="CM35" s="119"/>
      <c r="CN35" s="119"/>
      <c r="CO35" s="119"/>
      <c r="CP35" s="119"/>
      <c r="CQ35" s="119"/>
      <c r="CR35" s="119"/>
      <c r="CS35" s="119"/>
      <c r="CT35" s="119"/>
      <c r="CU35" s="119"/>
      <c r="CV35" s="119"/>
      <c r="CW35" s="119"/>
      <c r="CX35" s="119"/>
      <c r="CY35" s="119"/>
      <c r="CZ35" s="119"/>
      <c r="DA35" s="119"/>
      <c r="DB35" s="119"/>
      <c r="DC35" s="119"/>
      <c r="DD35" s="119"/>
      <c r="DE35" s="119"/>
      <c r="DF35" s="119"/>
      <c r="DG35" s="119"/>
      <c r="DH35" s="119"/>
      <c r="DI35" s="119"/>
      <c r="DJ35" s="119"/>
      <c r="DK35" s="119"/>
      <c r="DL35" s="119"/>
      <c r="DM35" s="119"/>
      <c r="DN35" s="119"/>
      <c r="DO35" s="119"/>
      <c r="DP35" s="119"/>
      <c r="DQ35" s="119"/>
      <c r="DR35" s="119"/>
      <c r="DS35" s="119"/>
      <c r="DT35" s="119"/>
      <c r="DU35" s="119"/>
      <c r="DV35" s="119"/>
      <c r="DW35" s="119"/>
      <c r="DX35" s="119"/>
      <c r="DY35" s="119"/>
      <c r="DZ35" s="119"/>
      <c r="EA35" s="119"/>
      <c r="EB35" s="119"/>
      <c r="EC35" s="119"/>
      <c r="ED35" s="119"/>
      <c r="EE35" s="119"/>
      <c r="EF35" s="119"/>
      <c r="EG35" s="119"/>
      <c r="EH35" s="119"/>
      <c r="EI35" s="119"/>
      <c r="EJ35" s="119"/>
      <c r="EK35" s="119"/>
      <c r="EL35" s="119"/>
      <c r="EM35" s="119"/>
      <c r="EN35" s="119"/>
      <c r="EO35" s="119"/>
      <c r="EP35" s="119"/>
      <c r="EQ35" s="119"/>
      <c r="ER35" s="119"/>
      <c r="ES35" s="119"/>
      <c r="ET35" s="119"/>
      <c r="EU35" s="119"/>
      <c r="EV35" s="119"/>
      <c r="EW35" s="119"/>
      <c r="EX35" s="119"/>
      <c r="EY35" s="119"/>
      <c r="EZ35" s="119"/>
      <c r="FA35" s="119"/>
      <c r="FB35" s="119"/>
      <c r="FC35" s="119"/>
      <c r="FD35" s="119"/>
      <c r="FE35" s="119"/>
      <c r="FF35" s="119"/>
      <c r="FG35" s="119"/>
      <c r="FH35" s="119"/>
      <c r="FI35" s="119"/>
      <c r="FJ35" s="119"/>
      <c r="FK35" s="119"/>
      <c r="FL35" s="119"/>
      <c r="FM35" s="119"/>
      <c r="FN35" s="119"/>
      <c r="FO35" s="119"/>
      <c r="FP35" s="119"/>
      <c r="FQ35" s="119"/>
      <c r="FR35" s="119"/>
      <c r="FS35" s="119"/>
      <c r="FT35" s="119"/>
      <c r="FU35" s="119"/>
      <c r="FV35" s="119"/>
      <c r="FW35" s="119"/>
      <c r="FX35" s="119"/>
      <c r="FY35" s="119"/>
      <c r="FZ35" s="119"/>
      <c r="GA35" s="119"/>
      <c r="GB35" s="119"/>
      <c r="GC35" s="119"/>
      <c r="GD35" s="119"/>
      <c r="GE35" s="119"/>
      <c r="GF35" s="119"/>
      <c r="GG35" s="119"/>
      <c r="GH35" s="119"/>
      <c r="GI35" s="119"/>
      <c r="GJ35" s="119"/>
      <c r="GK35" s="119"/>
      <c r="GL35" s="119"/>
      <c r="GM35" s="119"/>
      <c r="GN35" s="119"/>
      <c r="GO35" s="119"/>
      <c r="GP35" s="119"/>
      <c r="GQ35" s="119"/>
      <c r="GR35" s="119"/>
      <c r="GS35" s="119"/>
      <c r="GT35" s="119"/>
      <c r="GU35" s="119"/>
      <c r="GV35" s="119"/>
      <c r="GW35" s="119"/>
      <c r="GX35" s="119"/>
      <c r="GY35" s="119"/>
      <c r="GZ35" s="119"/>
      <c r="HA35" s="119"/>
      <c r="HB35" s="119"/>
      <c r="HC35" s="119"/>
      <c r="HD35" s="119"/>
      <c r="HE35" s="119"/>
      <c r="HF35" s="119"/>
      <c r="HG35" s="119"/>
      <c r="HH35" s="119"/>
      <c r="HI35" s="119"/>
      <c r="HJ35" s="119"/>
      <c r="HK35" s="119"/>
      <c r="HL35" s="119"/>
      <c r="HM35" s="119"/>
      <c r="HN35" s="119"/>
      <c r="HO35" s="119"/>
      <c r="HP35" s="119"/>
      <c r="HQ35" s="119"/>
      <c r="HR35" s="119"/>
      <c r="HS35" s="119"/>
      <c r="HT35" s="119"/>
      <c r="HU35" s="119"/>
      <c r="HV35" s="119"/>
      <c r="HW35" s="119"/>
      <c r="HX35" s="119"/>
      <c r="HY35" s="119"/>
      <c r="HZ35" s="119"/>
      <c r="IA35" s="119"/>
      <c r="IB35" s="119"/>
      <c r="IC35" s="119"/>
      <c r="ID35" s="119"/>
      <c r="IE35" s="119"/>
      <c r="IF35" s="119"/>
      <c r="IG35" s="119"/>
      <c r="IH35" s="119"/>
      <c r="II35" s="119"/>
      <c r="IJ35" s="119"/>
      <c r="IK35" s="119"/>
      <c r="IL35" s="119"/>
      <c r="IM35" s="119"/>
      <c r="IN35" s="119"/>
      <c r="IO35" s="119"/>
      <c r="IP35" s="119"/>
      <c r="IQ35" s="119"/>
      <c r="IR35" s="119"/>
      <c r="IS35" s="119"/>
      <c r="IT35" s="119"/>
      <c r="IU35" s="119"/>
      <c r="IV35" s="119"/>
      <c r="IW35" s="119"/>
      <c r="IX35" s="119"/>
      <c r="IY35" s="119"/>
      <c r="IZ35" s="119"/>
      <c r="JA35" s="119"/>
      <c r="JB35" s="119"/>
      <c r="JC35" s="119"/>
      <c r="JD35" s="119"/>
      <c r="JE35" s="119"/>
      <c r="JF35" s="119"/>
      <c r="JG35" s="119"/>
      <c r="JH35" s="119"/>
      <c r="JI35" s="119"/>
      <c r="JJ35" s="119"/>
      <c r="JK35" s="119"/>
      <c r="JL35" s="119"/>
      <c r="JM35" s="119"/>
      <c r="JN35" s="119"/>
      <c r="JO35" s="119"/>
      <c r="JP35" s="119"/>
      <c r="JQ35" s="119"/>
      <c r="JR35" s="119"/>
      <c r="JS35" s="119"/>
      <c r="JT35" s="119"/>
      <c r="JU35" s="119"/>
      <c r="JV35" s="119"/>
      <c r="JW35" s="119"/>
      <c r="JX35" s="119"/>
      <c r="JY35" s="119"/>
      <c r="JZ35" s="119"/>
      <c r="KA35" s="119"/>
      <c r="KB35" s="119"/>
      <c r="KC35" s="119"/>
      <c r="KD35" s="119"/>
      <c r="KE35" s="119"/>
      <c r="KF35" s="119"/>
      <c r="KG35" s="119"/>
      <c r="KH35" s="119"/>
      <c r="KI35" s="119"/>
      <c r="KJ35" s="119"/>
      <c r="KK35" s="119"/>
      <c r="KL35" s="119"/>
      <c r="KM35" s="119"/>
      <c r="KN35" s="119"/>
      <c r="KO35" s="119"/>
      <c r="KP35" s="119"/>
      <c r="KQ35" s="119"/>
      <c r="KR35" s="119"/>
      <c r="KS35" s="119"/>
      <c r="KT35" s="119"/>
      <c r="KU35" s="119"/>
      <c r="KV35" s="119"/>
      <c r="KW35" s="119"/>
      <c r="KX35" s="119"/>
      <c r="KY35" s="119"/>
      <c r="KZ35" s="119"/>
      <c r="LA35" s="119"/>
      <c r="LB35" s="119"/>
      <c r="LC35" s="119"/>
      <c r="LD35" s="119"/>
      <c r="LE35" s="119"/>
      <c r="LF35" s="119"/>
      <c r="LG35" s="119"/>
      <c r="LH35" s="119"/>
      <c r="LI35" s="119"/>
      <c r="LJ35" s="119"/>
      <c r="LK35" s="119"/>
      <c r="LL35" s="119"/>
      <c r="LM35" s="119"/>
      <c r="LN35" s="119"/>
      <c r="LO35" s="119"/>
      <c r="LP35" s="119"/>
      <c r="LQ35" s="119"/>
      <c r="LR35" s="119"/>
      <c r="LS35" s="119"/>
      <c r="LT35" s="119"/>
      <c r="LU35" s="119"/>
      <c r="LV35" s="119"/>
      <c r="LW35" s="119"/>
      <c r="LX35" s="119"/>
      <c r="LY35" s="119"/>
      <c r="LZ35" s="119"/>
      <c r="MA35" s="119"/>
      <c r="MB35" s="119"/>
      <c r="MC35" s="119"/>
      <c r="MD35" s="119"/>
      <c r="ME35" s="119"/>
      <c r="MF35" s="119"/>
      <c r="MG35" s="119"/>
      <c r="MH35" s="119"/>
      <c r="MI35" s="119"/>
      <c r="MJ35" s="119"/>
      <c r="MK35" s="119"/>
      <c r="ML35" s="119"/>
      <c r="MM35" s="119"/>
      <c r="MN35" s="119"/>
      <c r="MO35" s="119"/>
      <c r="MP35" s="119"/>
      <c r="MQ35" s="119"/>
      <c r="MR35" s="119"/>
      <c r="MS35" s="119"/>
      <c r="MT35" s="119"/>
      <c r="MU35" s="119"/>
      <c r="MV35" s="119"/>
      <c r="MW35" s="119"/>
      <c r="MX35" s="119"/>
      <c r="MY35" s="119"/>
      <c r="MZ35" s="119"/>
      <c r="NA35" s="119"/>
      <c r="NB35" s="119"/>
      <c r="NC35" s="119"/>
      <c r="ND35" s="119"/>
      <c r="NE35" s="119"/>
      <c r="NF35" s="119"/>
      <c r="NG35" s="119"/>
      <c r="NH35" s="119"/>
      <c r="NI35" s="119"/>
      <c r="NJ35" s="119"/>
      <c r="NK35" s="119"/>
      <c r="NL35" s="119"/>
      <c r="NM35" s="119"/>
      <c r="NN35" s="119"/>
      <c r="NO35" s="119"/>
      <c r="NP35" s="119"/>
      <c r="NQ35" s="119"/>
      <c r="NR35" s="119"/>
      <c r="NS35" s="119"/>
      <c r="NT35" s="119"/>
      <c r="NU35" s="119"/>
      <c r="NV35" s="119"/>
      <c r="NW35" s="119"/>
      <c r="NX35" s="119"/>
      <c r="NY35" s="119"/>
      <c r="NZ35" s="119"/>
      <c r="OA35" s="119"/>
    </row>
    <row r="36" spans="1:391" ht="13.9" customHeight="1" x14ac:dyDescent="0.2">
      <c r="A36" s="499"/>
      <c r="B36" s="549" t="s">
        <v>326</v>
      </c>
      <c r="C36" s="187"/>
      <c r="D36" s="187"/>
      <c r="E36" s="187"/>
      <c r="F36" s="564">
        <f t="shared" ca="1" si="0"/>
        <v>-43388</v>
      </c>
      <c r="G36" s="556"/>
      <c r="H36" s="556"/>
      <c r="I36" s="556"/>
      <c r="J36" s="38" t="str">
        <f t="shared" ca="1" si="3"/>
        <v>OVERDUE</v>
      </c>
      <c r="K36" s="557"/>
      <c r="BN36" s="119"/>
      <c r="BO36" s="119"/>
      <c r="BP36" s="119"/>
      <c r="BQ36" s="119"/>
      <c r="BR36" s="119"/>
      <c r="BS36" s="119"/>
      <c r="BT36" s="119"/>
      <c r="BU36" s="119"/>
      <c r="BV36" s="119"/>
      <c r="BW36" s="119"/>
      <c r="BX36" s="119"/>
      <c r="BY36" s="119"/>
      <c r="BZ36" s="119"/>
      <c r="CA36" s="119"/>
      <c r="CB36" s="119"/>
      <c r="CC36" s="119"/>
      <c r="CD36" s="119"/>
      <c r="CE36" s="119"/>
      <c r="CF36" s="119"/>
      <c r="CG36" s="119"/>
      <c r="CH36" s="119"/>
      <c r="CI36" s="119"/>
      <c r="CJ36" s="119"/>
      <c r="CK36" s="119"/>
      <c r="CL36" s="119"/>
      <c r="CM36" s="119"/>
      <c r="CN36" s="119"/>
      <c r="CO36" s="119"/>
      <c r="CP36" s="119"/>
      <c r="CQ36" s="119"/>
      <c r="CR36" s="119"/>
      <c r="CS36" s="119"/>
      <c r="CT36" s="119"/>
      <c r="CU36" s="119"/>
      <c r="CV36" s="119"/>
      <c r="CW36" s="119"/>
      <c r="CX36" s="119"/>
      <c r="CY36" s="119"/>
      <c r="CZ36" s="119"/>
      <c r="DA36" s="119"/>
      <c r="DB36" s="119"/>
      <c r="DC36" s="119"/>
      <c r="DD36" s="119"/>
      <c r="DE36" s="119"/>
      <c r="DF36" s="119"/>
      <c r="DG36" s="119"/>
      <c r="DH36" s="119"/>
      <c r="DI36" s="119"/>
      <c r="DJ36" s="119"/>
      <c r="DK36" s="119"/>
      <c r="DL36" s="119"/>
      <c r="DM36" s="119"/>
      <c r="DN36" s="119"/>
      <c r="DO36" s="119"/>
      <c r="DP36" s="119"/>
      <c r="DQ36" s="119"/>
      <c r="DR36" s="119"/>
      <c r="DS36" s="119"/>
      <c r="DT36" s="119"/>
      <c r="DU36" s="119"/>
      <c r="DV36" s="119"/>
      <c r="DW36" s="119"/>
      <c r="DX36" s="119"/>
      <c r="DY36" s="119"/>
      <c r="DZ36" s="119"/>
      <c r="EA36" s="119"/>
      <c r="EB36" s="119"/>
      <c r="EC36" s="119"/>
      <c r="ED36" s="119"/>
      <c r="EE36" s="119"/>
      <c r="EF36" s="119"/>
      <c r="EG36" s="119"/>
      <c r="EH36" s="119"/>
      <c r="EI36" s="119"/>
      <c r="EJ36" s="119"/>
      <c r="EK36" s="119"/>
      <c r="EL36" s="119"/>
      <c r="EM36" s="119"/>
      <c r="EN36" s="119"/>
      <c r="EO36" s="119"/>
      <c r="EP36" s="119"/>
      <c r="EQ36" s="119"/>
      <c r="ER36" s="119"/>
      <c r="ES36" s="119"/>
      <c r="ET36" s="119"/>
      <c r="EU36" s="119"/>
      <c r="EV36" s="119"/>
      <c r="EW36" s="119"/>
      <c r="EX36" s="119"/>
      <c r="EY36" s="119"/>
      <c r="EZ36" s="119"/>
      <c r="FA36" s="119"/>
      <c r="FB36" s="119"/>
      <c r="FC36" s="119"/>
      <c r="FD36" s="119"/>
      <c r="FE36" s="119"/>
      <c r="FF36" s="119"/>
      <c r="FG36" s="119"/>
      <c r="FH36" s="119"/>
      <c r="FI36" s="119"/>
      <c r="FJ36" s="119"/>
      <c r="FK36" s="119"/>
      <c r="FL36" s="119"/>
      <c r="FM36" s="119"/>
      <c r="FN36" s="119"/>
      <c r="FO36" s="119"/>
      <c r="FP36" s="119"/>
      <c r="FQ36" s="119"/>
      <c r="FR36" s="119"/>
      <c r="FS36" s="119"/>
      <c r="FT36" s="119"/>
      <c r="FU36" s="119"/>
      <c r="FV36" s="119"/>
      <c r="FW36" s="119"/>
      <c r="FX36" s="119"/>
      <c r="FY36" s="119"/>
      <c r="FZ36" s="119"/>
      <c r="GA36" s="119"/>
      <c r="GB36" s="119"/>
      <c r="GC36" s="119"/>
      <c r="GD36" s="119"/>
      <c r="GE36" s="119"/>
      <c r="GF36" s="119"/>
      <c r="GG36" s="119"/>
      <c r="GH36" s="119"/>
      <c r="GI36" s="119"/>
      <c r="GJ36" s="119"/>
      <c r="GK36" s="119"/>
      <c r="GL36" s="119"/>
      <c r="GM36" s="119"/>
      <c r="GN36" s="119"/>
      <c r="GO36" s="119"/>
      <c r="GP36" s="119"/>
      <c r="GQ36" s="119"/>
      <c r="GR36" s="119"/>
      <c r="GS36" s="119"/>
      <c r="GT36" s="119"/>
      <c r="GU36" s="119"/>
      <c r="GV36" s="119"/>
      <c r="GW36" s="119"/>
      <c r="GX36" s="119"/>
      <c r="GY36" s="119"/>
      <c r="GZ36" s="119"/>
      <c r="HA36" s="119"/>
      <c r="HB36" s="119"/>
      <c r="HC36" s="119"/>
      <c r="HD36" s="119"/>
      <c r="HE36" s="119"/>
      <c r="HF36" s="119"/>
      <c r="HG36" s="119"/>
      <c r="HH36" s="119"/>
      <c r="HI36" s="119"/>
      <c r="HJ36" s="119"/>
      <c r="HK36" s="119"/>
      <c r="HL36" s="119"/>
      <c r="HM36" s="119"/>
      <c r="HN36" s="119"/>
      <c r="HO36" s="119"/>
      <c r="HP36" s="119"/>
      <c r="HQ36" s="119"/>
      <c r="HR36" s="119"/>
      <c r="HS36" s="119"/>
      <c r="HT36" s="119"/>
      <c r="HU36" s="119"/>
      <c r="HV36" s="119"/>
      <c r="HW36" s="119"/>
      <c r="HX36" s="119"/>
      <c r="HY36" s="119"/>
      <c r="HZ36" s="119"/>
      <c r="IA36" s="119"/>
      <c r="IB36" s="119"/>
      <c r="IC36" s="119"/>
      <c r="ID36" s="119"/>
      <c r="IE36" s="119"/>
      <c r="IF36" s="119"/>
      <c r="IG36" s="119"/>
      <c r="IH36" s="119"/>
      <c r="II36" s="119"/>
      <c r="IJ36" s="119"/>
      <c r="IK36" s="119"/>
      <c r="IL36" s="119"/>
      <c r="IM36" s="119"/>
      <c r="IN36" s="119"/>
      <c r="IO36" s="119"/>
      <c r="IP36" s="119"/>
      <c r="IQ36" s="119"/>
      <c r="IR36" s="119"/>
      <c r="IS36" s="119"/>
      <c r="IT36" s="119"/>
      <c r="IU36" s="119"/>
      <c r="IV36" s="119"/>
      <c r="IW36" s="119"/>
      <c r="IX36" s="119"/>
      <c r="IY36" s="119"/>
      <c r="IZ36" s="119"/>
      <c r="JA36" s="119"/>
      <c r="JB36" s="119"/>
      <c r="JC36" s="119"/>
      <c r="JD36" s="119"/>
      <c r="JE36" s="119"/>
      <c r="JF36" s="119"/>
      <c r="JG36" s="119"/>
      <c r="JH36" s="119"/>
      <c r="JI36" s="119"/>
      <c r="JJ36" s="119"/>
      <c r="JK36" s="119"/>
      <c r="JL36" s="119"/>
      <c r="JM36" s="119"/>
      <c r="JN36" s="119"/>
      <c r="JO36" s="119"/>
      <c r="JP36" s="119"/>
      <c r="JQ36" s="119"/>
      <c r="JR36" s="119"/>
      <c r="JS36" s="119"/>
      <c r="JT36" s="119"/>
      <c r="JU36" s="119"/>
      <c r="JV36" s="119"/>
      <c r="JW36" s="119"/>
      <c r="JX36" s="119"/>
      <c r="JY36" s="119"/>
      <c r="JZ36" s="119"/>
      <c r="KA36" s="119"/>
      <c r="KB36" s="119"/>
      <c r="KC36" s="119"/>
      <c r="KD36" s="119"/>
      <c r="KE36" s="119"/>
      <c r="KF36" s="119"/>
      <c r="KG36" s="119"/>
      <c r="KH36" s="119"/>
      <c r="KI36" s="119"/>
      <c r="KJ36" s="119"/>
      <c r="KK36" s="119"/>
      <c r="KL36" s="119"/>
      <c r="KM36" s="119"/>
      <c r="KN36" s="119"/>
      <c r="KO36" s="119"/>
      <c r="KP36" s="119"/>
      <c r="KQ36" s="119"/>
      <c r="KR36" s="119"/>
      <c r="KS36" s="119"/>
      <c r="KT36" s="119"/>
      <c r="KU36" s="119"/>
      <c r="KV36" s="119"/>
      <c r="KW36" s="119"/>
      <c r="KX36" s="119"/>
      <c r="KY36" s="119"/>
      <c r="KZ36" s="119"/>
      <c r="LA36" s="119"/>
      <c r="LB36" s="119"/>
      <c r="LC36" s="119"/>
      <c r="LD36" s="119"/>
      <c r="LE36" s="119"/>
      <c r="LF36" s="119"/>
      <c r="LG36" s="119"/>
      <c r="LH36" s="119"/>
      <c r="LI36" s="119"/>
      <c r="LJ36" s="119"/>
      <c r="LK36" s="119"/>
      <c r="LL36" s="119"/>
      <c r="LM36" s="119"/>
      <c r="LN36" s="119"/>
      <c r="LO36" s="119"/>
      <c r="LP36" s="119"/>
      <c r="LQ36" s="119"/>
      <c r="LR36" s="119"/>
      <c r="LS36" s="119"/>
      <c r="LT36" s="119"/>
      <c r="LU36" s="119"/>
      <c r="LV36" s="119"/>
      <c r="LW36" s="119"/>
      <c r="LX36" s="119"/>
      <c r="LY36" s="119"/>
      <c r="LZ36" s="119"/>
      <c r="MA36" s="119"/>
      <c r="MB36" s="119"/>
      <c r="MC36" s="119"/>
      <c r="MD36" s="119"/>
      <c r="ME36" s="119"/>
      <c r="MF36" s="119"/>
      <c r="MG36" s="119"/>
      <c r="MH36" s="119"/>
      <c r="MI36" s="119"/>
      <c r="MJ36" s="119"/>
      <c r="MK36" s="119"/>
      <c r="ML36" s="119"/>
      <c r="MM36" s="119"/>
      <c r="MN36" s="119"/>
      <c r="MO36" s="119"/>
      <c r="MP36" s="119"/>
      <c r="MQ36" s="119"/>
      <c r="MR36" s="119"/>
      <c r="MS36" s="119"/>
      <c r="MT36" s="119"/>
      <c r="MU36" s="119"/>
      <c r="MV36" s="119"/>
      <c r="MW36" s="119"/>
      <c r="MX36" s="119"/>
      <c r="MY36" s="119"/>
      <c r="MZ36" s="119"/>
      <c r="NA36" s="119"/>
      <c r="NB36" s="119"/>
      <c r="NC36" s="119"/>
      <c r="ND36" s="119"/>
      <c r="NE36" s="119"/>
      <c r="NF36" s="119"/>
      <c r="NG36" s="119"/>
      <c r="NH36" s="119"/>
      <c r="NI36" s="119"/>
      <c r="NJ36" s="119"/>
      <c r="NK36" s="119"/>
      <c r="NL36" s="119"/>
      <c r="NM36" s="119"/>
      <c r="NN36" s="119"/>
      <c r="NO36" s="119"/>
      <c r="NP36" s="119"/>
      <c r="NQ36" s="119"/>
      <c r="NR36" s="119"/>
      <c r="NS36" s="119"/>
      <c r="NT36" s="119"/>
      <c r="NU36" s="119"/>
      <c r="NV36" s="119"/>
      <c r="NW36" s="119"/>
      <c r="NX36" s="119"/>
      <c r="NY36" s="119"/>
      <c r="NZ36" s="119"/>
      <c r="OA36" s="119"/>
    </row>
    <row r="37" spans="1:391" ht="13.9" customHeight="1" x14ac:dyDescent="0.2">
      <c r="A37" s="499"/>
      <c r="B37" s="553" t="s">
        <v>332</v>
      </c>
      <c r="C37" s="187"/>
      <c r="D37" s="187"/>
      <c r="E37" s="187"/>
      <c r="F37" s="564">
        <f t="shared" ca="1" si="0"/>
        <v>-43388</v>
      </c>
      <c r="G37" s="556"/>
      <c r="H37" s="556"/>
      <c r="I37" s="556"/>
      <c r="J37" s="38" t="str">
        <f t="shared" ca="1" si="3"/>
        <v>OVERDUE</v>
      </c>
      <c r="K37" s="557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19"/>
      <c r="CA37" s="119"/>
      <c r="CB37" s="119"/>
      <c r="CC37" s="119"/>
      <c r="CD37" s="119"/>
      <c r="CE37" s="119"/>
      <c r="CF37" s="119"/>
      <c r="CG37" s="119"/>
      <c r="CH37" s="119"/>
      <c r="CI37" s="119"/>
      <c r="CJ37" s="119"/>
      <c r="CK37" s="119"/>
      <c r="CL37" s="119"/>
      <c r="CM37" s="119"/>
      <c r="CN37" s="119"/>
      <c r="CO37" s="119"/>
      <c r="CP37" s="119"/>
      <c r="CQ37" s="119"/>
      <c r="CR37" s="119"/>
      <c r="CS37" s="119"/>
      <c r="CT37" s="119"/>
      <c r="CU37" s="119"/>
      <c r="CV37" s="119"/>
      <c r="CW37" s="119"/>
      <c r="CX37" s="119"/>
      <c r="CY37" s="119"/>
      <c r="CZ37" s="119"/>
      <c r="DA37" s="119"/>
      <c r="DB37" s="119"/>
      <c r="DC37" s="119"/>
      <c r="DD37" s="119"/>
      <c r="DE37" s="119"/>
      <c r="DF37" s="119"/>
      <c r="DG37" s="119"/>
      <c r="DH37" s="119"/>
      <c r="DI37" s="119"/>
      <c r="DJ37" s="119"/>
      <c r="DK37" s="119"/>
      <c r="DL37" s="119"/>
      <c r="DM37" s="119"/>
      <c r="DN37" s="119"/>
      <c r="DO37" s="119"/>
      <c r="DP37" s="119"/>
      <c r="DQ37" s="119"/>
      <c r="DR37" s="119"/>
      <c r="DS37" s="119"/>
      <c r="DT37" s="119"/>
      <c r="DU37" s="119"/>
      <c r="DV37" s="119"/>
      <c r="DW37" s="119"/>
      <c r="DX37" s="119"/>
      <c r="DY37" s="119"/>
      <c r="DZ37" s="119"/>
      <c r="EA37" s="119"/>
      <c r="EB37" s="119"/>
      <c r="EC37" s="119"/>
      <c r="ED37" s="119"/>
      <c r="EE37" s="119"/>
      <c r="EF37" s="119"/>
      <c r="EG37" s="119"/>
      <c r="EH37" s="119"/>
      <c r="EI37" s="119"/>
      <c r="EJ37" s="119"/>
      <c r="EK37" s="119"/>
      <c r="EL37" s="119"/>
      <c r="EM37" s="119"/>
      <c r="EN37" s="119"/>
      <c r="EO37" s="119"/>
      <c r="EP37" s="119"/>
      <c r="EQ37" s="119"/>
      <c r="ER37" s="119"/>
      <c r="ES37" s="119"/>
      <c r="ET37" s="119"/>
      <c r="EU37" s="119"/>
      <c r="EV37" s="119"/>
      <c r="EW37" s="119"/>
      <c r="EX37" s="119"/>
      <c r="EY37" s="119"/>
      <c r="EZ37" s="119"/>
      <c r="FA37" s="119"/>
      <c r="FB37" s="119"/>
      <c r="FC37" s="119"/>
      <c r="FD37" s="119"/>
      <c r="FE37" s="119"/>
      <c r="FF37" s="119"/>
      <c r="FG37" s="119"/>
      <c r="FH37" s="119"/>
      <c r="FI37" s="119"/>
      <c r="FJ37" s="119"/>
      <c r="FK37" s="119"/>
      <c r="FL37" s="119"/>
      <c r="FM37" s="119"/>
      <c r="FN37" s="119"/>
      <c r="FO37" s="119"/>
      <c r="FP37" s="119"/>
      <c r="FQ37" s="119"/>
      <c r="FR37" s="119"/>
      <c r="FS37" s="119"/>
      <c r="FT37" s="119"/>
      <c r="FU37" s="119"/>
      <c r="FV37" s="119"/>
      <c r="FW37" s="119"/>
      <c r="FX37" s="119"/>
      <c r="FY37" s="119"/>
      <c r="FZ37" s="119"/>
      <c r="GA37" s="119"/>
      <c r="GB37" s="119"/>
      <c r="GC37" s="119"/>
      <c r="GD37" s="119"/>
      <c r="GE37" s="119"/>
      <c r="GF37" s="119"/>
      <c r="GG37" s="119"/>
      <c r="GH37" s="119"/>
      <c r="GI37" s="119"/>
      <c r="GJ37" s="119"/>
      <c r="GK37" s="119"/>
      <c r="GL37" s="119"/>
      <c r="GM37" s="119"/>
      <c r="GN37" s="119"/>
      <c r="GO37" s="119"/>
      <c r="GP37" s="119"/>
      <c r="GQ37" s="119"/>
      <c r="GR37" s="119"/>
      <c r="GS37" s="119"/>
      <c r="GT37" s="119"/>
      <c r="GU37" s="119"/>
      <c r="GV37" s="119"/>
      <c r="GW37" s="119"/>
      <c r="GX37" s="119"/>
      <c r="GY37" s="119"/>
      <c r="GZ37" s="119"/>
      <c r="HA37" s="119"/>
      <c r="HB37" s="119"/>
      <c r="HC37" s="119"/>
      <c r="HD37" s="119"/>
      <c r="HE37" s="119"/>
      <c r="HF37" s="119"/>
      <c r="HG37" s="119"/>
      <c r="HH37" s="119"/>
      <c r="HI37" s="119"/>
      <c r="HJ37" s="119"/>
      <c r="HK37" s="119"/>
      <c r="HL37" s="119"/>
      <c r="HM37" s="119"/>
      <c r="HN37" s="119"/>
      <c r="HO37" s="119"/>
      <c r="HP37" s="119"/>
      <c r="HQ37" s="119"/>
      <c r="HR37" s="119"/>
      <c r="HS37" s="119"/>
      <c r="HT37" s="119"/>
      <c r="HU37" s="119"/>
      <c r="HV37" s="119"/>
      <c r="HW37" s="119"/>
      <c r="HX37" s="119"/>
      <c r="HY37" s="119"/>
      <c r="HZ37" s="119"/>
      <c r="IA37" s="119"/>
      <c r="IB37" s="119"/>
      <c r="IC37" s="119"/>
      <c r="ID37" s="119"/>
      <c r="IE37" s="119"/>
      <c r="IF37" s="119"/>
      <c r="IG37" s="119"/>
      <c r="IH37" s="119"/>
      <c r="II37" s="119"/>
      <c r="IJ37" s="119"/>
      <c r="IK37" s="119"/>
      <c r="IL37" s="119"/>
      <c r="IM37" s="119"/>
      <c r="IN37" s="119"/>
      <c r="IO37" s="119"/>
      <c r="IP37" s="119"/>
      <c r="IQ37" s="119"/>
      <c r="IR37" s="119"/>
      <c r="IS37" s="119"/>
      <c r="IT37" s="119"/>
      <c r="IU37" s="119"/>
      <c r="IV37" s="119"/>
      <c r="IW37" s="119"/>
      <c r="IX37" s="119"/>
      <c r="IY37" s="119"/>
      <c r="IZ37" s="119"/>
      <c r="JA37" s="119"/>
      <c r="JB37" s="119"/>
      <c r="JC37" s="119"/>
      <c r="JD37" s="119"/>
      <c r="JE37" s="119"/>
      <c r="JF37" s="119"/>
      <c r="JG37" s="119"/>
      <c r="JH37" s="119"/>
      <c r="JI37" s="119"/>
      <c r="JJ37" s="119"/>
      <c r="JK37" s="119"/>
      <c r="JL37" s="119"/>
      <c r="JM37" s="119"/>
      <c r="JN37" s="119"/>
      <c r="JO37" s="119"/>
      <c r="JP37" s="119"/>
      <c r="JQ37" s="119"/>
      <c r="JR37" s="119"/>
      <c r="JS37" s="119"/>
      <c r="JT37" s="119"/>
      <c r="JU37" s="119"/>
      <c r="JV37" s="119"/>
      <c r="JW37" s="119"/>
      <c r="JX37" s="119"/>
      <c r="JY37" s="119"/>
      <c r="JZ37" s="119"/>
      <c r="KA37" s="119"/>
      <c r="KB37" s="119"/>
      <c r="KC37" s="119"/>
      <c r="KD37" s="119"/>
      <c r="KE37" s="119"/>
      <c r="KF37" s="119"/>
      <c r="KG37" s="119"/>
      <c r="KH37" s="119"/>
      <c r="KI37" s="119"/>
      <c r="KJ37" s="119"/>
      <c r="KK37" s="119"/>
      <c r="KL37" s="119"/>
      <c r="KM37" s="119"/>
      <c r="KN37" s="119"/>
      <c r="KO37" s="119"/>
      <c r="KP37" s="119"/>
      <c r="KQ37" s="119"/>
      <c r="KR37" s="119"/>
      <c r="KS37" s="119"/>
      <c r="KT37" s="119"/>
      <c r="KU37" s="119"/>
      <c r="KV37" s="119"/>
      <c r="KW37" s="119"/>
      <c r="KX37" s="119"/>
      <c r="KY37" s="119"/>
      <c r="KZ37" s="119"/>
      <c r="LA37" s="119"/>
      <c r="LB37" s="119"/>
      <c r="LC37" s="119"/>
      <c r="LD37" s="119"/>
      <c r="LE37" s="119"/>
      <c r="LF37" s="119"/>
      <c r="LG37" s="119"/>
      <c r="LH37" s="119"/>
      <c r="LI37" s="119"/>
      <c r="LJ37" s="119"/>
      <c r="LK37" s="119"/>
      <c r="LL37" s="119"/>
      <c r="LM37" s="119"/>
      <c r="LN37" s="119"/>
      <c r="LO37" s="119"/>
      <c r="LP37" s="119"/>
      <c r="LQ37" s="119"/>
      <c r="LR37" s="119"/>
      <c r="LS37" s="119"/>
      <c r="LT37" s="119"/>
      <c r="LU37" s="119"/>
      <c r="LV37" s="119"/>
      <c r="LW37" s="119"/>
      <c r="LX37" s="119"/>
      <c r="LY37" s="119"/>
      <c r="LZ37" s="119"/>
      <c r="MA37" s="119"/>
      <c r="MB37" s="119"/>
      <c r="MC37" s="119"/>
      <c r="MD37" s="119"/>
      <c r="ME37" s="119"/>
      <c r="MF37" s="119"/>
      <c r="MG37" s="119"/>
      <c r="MH37" s="119"/>
      <c r="MI37" s="119"/>
      <c r="MJ37" s="119"/>
      <c r="MK37" s="119"/>
      <c r="ML37" s="119"/>
      <c r="MM37" s="119"/>
      <c r="MN37" s="119"/>
      <c r="MO37" s="119"/>
      <c r="MP37" s="119"/>
      <c r="MQ37" s="119"/>
      <c r="MR37" s="119"/>
      <c r="MS37" s="119"/>
      <c r="MT37" s="119"/>
      <c r="MU37" s="119"/>
      <c r="MV37" s="119"/>
      <c r="MW37" s="119"/>
      <c r="MX37" s="119"/>
      <c r="MY37" s="119"/>
      <c r="MZ37" s="119"/>
      <c r="NA37" s="119"/>
      <c r="NB37" s="119"/>
      <c r="NC37" s="119"/>
      <c r="ND37" s="119"/>
      <c r="NE37" s="119"/>
      <c r="NF37" s="119"/>
      <c r="NG37" s="119"/>
      <c r="NH37" s="119"/>
      <c r="NI37" s="119"/>
      <c r="NJ37" s="119"/>
      <c r="NK37" s="119"/>
      <c r="NL37" s="119"/>
      <c r="NM37" s="119"/>
      <c r="NN37" s="119"/>
      <c r="NO37" s="119"/>
      <c r="NP37" s="119"/>
      <c r="NQ37" s="119"/>
      <c r="NR37" s="119"/>
      <c r="NS37" s="119"/>
      <c r="NT37" s="119"/>
      <c r="NU37" s="119"/>
      <c r="NV37" s="119"/>
      <c r="NW37" s="119"/>
      <c r="NX37" s="119"/>
      <c r="NY37" s="119"/>
      <c r="NZ37" s="119"/>
      <c r="OA37" s="119"/>
    </row>
    <row r="38" spans="1:391" ht="13.9" customHeight="1" x14ac:dyDescent="0.2">
      <c r="A38" s="500"/>
      <c r="B38" s="549" t="s">
        <v>328</v>
      </c>
      <c r="C38" s="187"/>
      <c r="D38" s="187"/>
      <c r="E38" s="187"/>
      <c r="F38" s="564">
        <f t="shared" ca="1" si="0"/>
        <v>-43388</v>
      </c>
      <c r="G38" s="556"/>
      <c r="H38" s="556"/>
      <c r="I38" s="556"/>
      <c r="J38" s="38" t="str">
        <f t="shared" ca="1" si="3"/>
        <v>OVERDUE</v>
      </c>
      <c r="K38" s="557"/>
      <c r="BN38" s="119"/>
      <c r="BO38" s="119"/>
      <c r="BP38" s="119"/>
      <c r="BQ38" s="119"/>
      <c r="BR38" s="119"/>
      <c r="BS38" s="119"/>
      <c r="BT38" s="119"/>
      <c r="BU38" s="119"/>
      <c r="BV38" s="119"/>
      <c r="BW38" s="119"/>
      <c r="BX38" s="119"/>
      <c r="BY38" s="119"/>
      <c r="BZ38" s="119"/>
      <c r="CA38" s="119"/>
      <c r="CB38" s="119"/>
      <c r="CC38" s="119"/>
      <c r="CD38" s="119"/>
      <c r="CE38" s="119"/>
      <c r="CF38" s="119"/>
      <c r="CG38" s="119"/>
      <c r="CH38" s="119"/>
      <c r="CI38" s="119"/>
      <c r="CJ38" s="119"/>
      <c r="CK38" s="119"/>
      <c r="CL38" s="119"/>
      <c r="CM38" s="119"/>
      <c r="CN38" s="119"/>
      <c r="CO38" s="119"/>
      <c r="CP38" s="119"/>
      <c r="CQ38" s="119"/>
      <c r="CR38" s="119"/>
      <c r="CS38" s="119"/>
      <c r="CT38" s="119"/>
      <c r="CU38" s="119"/>
      <c r="CV38" s="119"/>
      <c r="CW38" s="119"/>
      <c r="CX38" s="119"/>
      <c r="CY38" s="119"/>
      <c r="CZ38" s="119"/>
      <c r="DA38" s="119"/>
      <c r="DB38" s="119"/>
      <c r="DC38" s="119"/>
      <c r="DD38" s="119"/>
      <c r="DE38" s="119"/>
      <c r="DF38" s="119"/>
      <c r="DG38" s="119"/>
      <c r="DH38" s="119"/>
      <c r="DI38" s="119"/>
      <c r="DJ38" s="119"/>
      <c r="DK38" s="119"/>
      <c r="DL38" s="119"/>
      <c r="DM38" s="119"/>
      <c r="DN38" s="119"/>
      <c r="DO38" s="119"/>
      <c r="DP38" s="119"/>
      <c r="DQ38" s="119"/>
      <c r="DR38" s="119"/>
      <c r="DS38" s="119"/>
      <c r="DT38" s="119"/>
      <c r="DU38" s="119"/>
      <c r="DV38" s="119"/>
      <c r="DW38" s="119"/>
      <c r="DX38" s="119"/>
      <c r="DY38" s="119"/>
      <c r="DZ38" s="119"/>
      <c r="EA38" s="119"/>
      <c r="EB38" s="119"/>
      <c r="EC38" s="119"/>
      <c r="ED38" s="119"/>
      <c r="EE38" s="119"/>
      <c r="EF38" s="119"/>
      <c r="EG38" s="119"/>
      <c r="EH38" s="119"/>
      <c r="EI38" s="119"/>
      <c r="EJ38" s="119"/>
      <c r="EK38" s="119"/>
      <c r="EL38" s="119"/>
      <c r="EM38" s="119"/>
      <c r="EN38" s="119"/>
      <c r="EO38" s="119"/>
      <c r="EP38" s="119"/>
      <c r="EQ38" s="119"/>
      <c r="ER38" s="119"/>
      <c r="ES38" s="119"/>
      <c r="ET38" s="119"/>
      <c r="EU38" s="119"/>
      <c r="EV38" s="119"/>
      <c r="EW38" s="119"/>
      <c r="EX38" s="119"/>
      <c r="EY38" s="119"/>
      <c r="EZ38" s="119"/>
      <c r="FA38" s="119"/>
      <c r="FB38" s="119"/>
      <c r="FC38" s="119"/>
      <c r="FD38" s="119"/>
      <c r="FE38" s="119"/>
      <c r="FF38" s="119"/>
      <c r="FG38" s="119"/>
      <c r="FH38" s="119"/>
      <c r="FI38" s="119"/>
      <c r="FJ38" s="119"/>
      <c r="FK38" s="119"/>
      <c r="FL38" s="119"/>
      <c r="FM38" s="119"/>
      <c r="FN38" s="119"/>
      <c r="FO38" s="119"/>
      <c r="FP38" s="119"/>
      <c r="FQ38" s="119"/>
      <c r="FR38" s="119"/>
      <c r="FS38" s="119"/>
      <c r="FT38" s="119"/>
      <c r="FU38" s="119"/>
      <c r="FV38" s="119"/>
      <c r="FW38" s="119"/>
      <c r="FX38" s="119"/>
      <c r="FY38" s="119"/>
      <c r="FZ38" s="119"/>
      <c r="GA38" s="119"/>
      <c r="GB38" s="119"/>
      <c r="GC38" s="119"/>
      <c r="GD38" s="119"/>
      <c r="GE38" s="119"/>
      <c r="GF38" s="119"/>
      <c r="GG38" s="119"/>
      <c r="GH38" s="119"/>
      <c r="GI38" s="119"/>
      <c r="GJ38" s="119"/>
      <c r="GK38" s="119"/>
      <c r="GL38" s="119"/>
      <c r="GM38" s="119"/>
      <c r="GN38" s="119"/>
      <c r="GO38" s="119"/>
      <c r="GP38" s="119"/>
      <c r="GQ38" s="119"/>
      <c r="GR38" s="119"/>
      <c r="GS38" s="119"/>
      <c r="GT38" s="119"/>
      <c r="GU38" s="119"/>
      <c r="GV38" s="119"/>
      <c r="GW38" s="119"/>
      <c r="GX38" s="119"/>
      <c r="GY38" s="119"/>
      <c r="GZ38" s="119"/>
      <c r="HA38" s="119"/>
      <c r="HB38" s="119"/>
      <c r="HC38" s="119"/>
      <c r="HD38" s="119"/>
      <c r="HE38" s="119"/>
      <c r="HF38" s="119"/>
      <c r="HG38" s="119"/>
      <c r="HH38" s="119"/>
      <c r="HI38" s="119"/>
      <c r="HJ38" s="119"/>
      <c r="HK38" s="119"/>
      <c r="HL38" s="119"/>
      <c r="HM38" s="119"/>
      <c r="HN38" s="119"/>
      <c r="HO38" s="119"/>
      <c r="HP38" s="119"/>
      <c r="HQ38" s="119"/>
      <c r="HR38" s="119"/>
      <c r="HS38" s="119"/>
      <c r="HT38" s="119"/>
      <c r="HU38" s="119"/>
      <c r="HV38" s="119"/>
      <c r="HW38" s="119"/>
      <c r="HX38" s="119"/>
      <c r="HY38" s="119"/>
      <c r="HZ38" s="119"/>
      <c r="IA38" s="119"/>
      <c r="IB38" s="119"/>
      <c r="IC38" s="119"/>
      <c r="ID38" s="119"/>
      <c r="IE38" s="119"/>
      <c r="IF38" s="119"/>
      <c r="IG38" s="119"/>
      <c r="IH38" s="119"/>
      <c r="II38" s="119"/>
      <c r="IJ38" s="119"/>
      <c r="IK38" s="119"/>
      <c r="IL38" s="119"/>
      <c r="IM38" s="119"/>
      <c r="IN38" s="119"/>
      <c r="IO38" s="119"/>
      <c r="IP38" s="119"/>
      <c r="IQ38" s="119"/>
      <c r="IR38" s="119"/>
      <c r="IS38" s="119"/>
      <c r="IT38" s="119"/>
      <c r="IU38" s="119"/>
      <c r="IV38" s="119"/>
      <c r="IW38" s="119"/>
      <c r="IX38" s="119"/>
      <c r="IY38" s="119"/>
      <c r="IZ38" s="119"/>
      <c r="JA38" s="119"/>
      <c r="JB38" s="119"/>
      <c r="JC38" s="119"/>
      <c r="JD38" s="119"/>
      <c r="JE38" s="119"/>
      <c r="JF38" s="119"/>
      <c r="JG38" s="119"/>
      <c r="JH38" s="119"/>
      <c r="JI38" s="119"/>
      <c r="JJ38" s="119"/>
      <c r="JK38" s="119"/>
      <c r="JL38" s="119"/>
      <c r="JM38" s="119"/>
      <c r="JN38" s="119"/>
      <c r="JO38" s="119"/>
      <c r="JP38" s="119"/>
      <c r="JQ38" s="119"/>
      <c r="JR38" s="119"/>
      <c r="JS38" s="119"/>
      <c r="JT38" s="119"/>
      <c r="JU38" s="119"/>
      <c r="JV38" s="119"/>
      <c r="JW38" s="119"/>
      <c r="JX38" s="119"/>
      <c r="JY38" s="119"/>
      <c r="JZ38" s="119"/>
      <c r="KA38" s="119"/>
      <c r="KB38" s="119"/>
      <c r="KC38" s="119"/>
      <c r="KD38" s="119"/>
      <c r="KE38" s="119"/>
      <c r="KF38" s="119"/>
      <c r="KG38" s="119"/>
      <c r="KH38" s="119"/>
      <c r="KI38" s="119"/>
      <c r="KJ38" s="119"/>
      <c r="KK38" s="119"/>
      <c r="KL38" s="119"/>
      <c r="KM38" s="119"/>
      <c r="KN38" s="119"/>
      <c r="KO38" s="119"/>
      <c r="KP38" s="119"/>
      <c r="KQ38" s="119"/>
      <c r="KR38" s="119"/>
      <c r="KS38" s="119"/>
      <c r="KT38" s="119"/>
      <c r="KU38" s="119"/>
      <c r="KV38" s="119"/>
      <c r="KW38" s="119"/>
      <c r="KX38" s="119"/>
      <c r="KY38" s="119"/>
      <c r="KZ38" s="119"/>
      <c r="LA38" s="119"/>
      <c r="LB38" s="119"/>
      <c r="LC38" s="119"/>
      <c r="LD38" s="119"/>
      <c r="LE38" s="119"/>
      <c r="LF38" s="119"/>
      <c r="LG38" s="119"/>
      <c r="LH38" s="119"/>
      <c r="LI38" s="119"/>
      <c r="LJ38" s="119"/>
      <c r="LK38" s="119"/>
      <c r="LL38" s="119"/>
      <c r="LM38" s="119"/>
      <c r="LN38" s="119"/>
      <c r="LO38" s="119"/>
      <c r="LP38" s="119"/>
      <c r="LQ38" s="119"/>
      <c r="LR38" s="119"/>
      <c r="LS38" s="119"/>
      <c r="LT38" s="119"/>
      <c r="LU38" s="119"/>
      <c r="LV38" s="119"/>
      <c r="LW38" s="119"/>
      <c r="LX38" s="119"/>
      <c r="LY38" s="119"/>
      <c r="LZ38" s="119"/>
      <c r="MA38" s="119"/>
      <c r="MB38" s="119"/>
      <c r="MC38" s="119"/>
      <c r="MD38" s="119"/>
      <c r="ME38" s="119"/>
      <c r="MF38" s="119"/>
      <c r="MG38" s="119"/>
      <c r="MH38" s="119"/>
      <c r="MI38" s="119"/>
      <c r="MJ38" s="119"/>
      <c r="MK38" s="119"/>
      <c r="ML38" s="119"/>
      <c r="MM38" s="119"/>
      <c r="MN38" s="119"/>
      <c r="MO38" s="119"/>
      <c r="MP38" s="119"/>
      <c r="MQ38" s="119"/>
      <c r="MR38" s="119"/>
      <c r="MS38" s="119"/>
      <c r="MT38" s="119"/>
      <c r="MU38" s="119"/>
      <c r="MV38" s="119"/>
      <c r="MW38" s="119"/>
      <c r="MX38" s="119"/>
      <c r="MY38" s="119"/>
      <c r="MZ38" s="119"/>
      <c r="NA38" s="119"/>
      <c r="NB38" s="119"/>
      <c r="NC38" s="119"/>
      <c r="ND38" s="119"/>
      <c r="NE38" s="119"/>
      <c r="NF38" s="119"/>
      <c r="NG38" s="119"/>
      <c r="NH38" s="119"/>
      <c r="NI38" s="119"/>
      <c r="NJ38" s="119"/>
      <c r="NK38" s="119"/>
      <c r="NL38" s="119"/>
      <c r="NM38" s="119"/>
      <c r="NN38" s="119"/>
      <c r="NO38" s="119"/>
      <c r="NP38" s="119"/>
      <c r="NQ38" s="119"/>
      <c r="NR38" s="119"/>
      <c r="NS38" s="119"/>
      <c r="NT38" s="119"/>
      <c r="NU38" s="119"/>
      <c r="NV38" s="119"/>
      <c r="NW38" s="119"/>
      <c r="NX38" s="119"/>
      <c r="NY38" s="119"/>
      <c r="NZ38" s="119"/>
      <c r="OA38" s="119"/>
    </row>
    <row r="39" spans="1:391" ht="13.9" customHeight="1" x14ac:dyDescent="0.2">
      <c r="A39" s="500"/>
      <c r="B39" s="553" t="s">
        <v>329</v>
      </c>
      <c r="C39" s="187"/>
      <c r="D39" s="187"/>
      <c r="E39" s="187"/>
      <c r="F39" s="564">
        <f t="shared" ca="1" si="0"/>
        <v>-43388</v>
      </c>
      <c r="G39" s="556"/>
      <c r="H39" s="556"/>
      <c r="I39" s="556"/>
      <c r="J39" s="38" t="str">
        <f t="shared" ca="1" si="3"/>
        <v>OVERDUE</v>
      </c>
      <c r="K39" s="557"/>
      <c r="BN39" s="119"/>
      <c r="BO39" s="119"/>
      <c r="BP39" s="119"/>
      <c r="BQ39" s="119"/>
      <c r="BR39" s="119"/>
      <c r="BS39" s="119"/>
      <c r="BT39" s="119"/>
      <c r="BU39" s="119"/>
      <c r="BV39" s="119"/>
      <c r="BW39" s="119"/>
      <c r="BX39" s="119"/>
      <c r="BY39" s="119"/>
      <c r="BZ39" s="119"/>
      <c r="CA39" s="119"/>
      <c r="CB39" s="119"/>
      <c r="CC39" s="119"/>
      <c r="CD39" s="119"/>
      <c r="CE39" s="119"/>
      <c r="CF39" s="119"/>
      <c r="CG39" s="119"/>
      <c r="CH39" s="119"/>
      <c r="CI39" s="119"/>
      <c r="CJ39" s="119"/>
      <c r="CK39" s="119"/>
      <c r="CL39" s="119"/>
      <c r="CM39" s="119"/>
      <c r="CN39" s="119"/>
      <c r="CO39" s="119"/>
      <c r="CP39" s="119"/>
      <c r="CQ39" s="119"/>
      <c r="CR39" s="119"/>
      <c r="CS39" s="119"/>
      <c r="CT39" s="119"/>
      <c r="CU39" s="119"/>
      <c r="CV39" s="119"/>
      <c r="CW39" s="119"/>
      <c r="CX39" s="119"/>
      <c r="CY39" s="119"/>
      <c r="CZ39" s="119"/>
      <c r="DA39" s="119"/>
      <c r="DB39" s="119"/>
      <c r="DC39" s="119"/>
      <c r="DD39" s="119"/>
      <c r="DE39" s="119"/>
      <c r="DF39" s="119"/>
      <c r="DG39" s="119"/>
      <c r="DH39" s="119"/>
      <c r="DI39" s="119"/>
      <c r="DJ39" s="119"/>
      <c r="DK39" s="119"/>
      <c r="DL39" s="119"/>
      <c r="DM39" s="119"/>
      <c r="DN39" s="119"/>
      <c r="DO39" s="119"/>
      <c r="DP39" s="119"/>
      <c r="DQ39" s="119"/>
      <c r="DR39" s="119"/>
      <c r="DS39" s="119"/>
      <c r="DT39" s="119"/>
      <c r="DU39" s="119"/>
      <c r="DV39" s="119"/>
      <c r="DW39" s="119"/>
      <c r="DX39" s="119"/>
      <c r="DY39" s="119"/>
      <c r="DZ39" s="119"/>
      <c r="EA39" s="119"/>
      <c r="EB39" s="119"/>
      <c r="EC39" s="119"/>
      <c r="ED39" s="119"/>
      <c r="EE39" s="119"/>
      <c r="EF39" s="119"/>
      <c r="EG39" s="119"/>
      <c r="EH39" s="119"/>
      <c r="EI39" s="119"/>
      <c r="EJ39" s="119"/>
      <c r="EK39" s="119"/>
      <c r="EL39" s="119"/>
      <c r="EM39" s="119"/>
      <c r="EN39" s="119"/>
      <c r="EO39" s="119"/>
      <c r="EP39" s="119"/>
      <c r="EQ39" s="119"/>
      <c r="ER39" s="119"/>
      <c r="ES39" s="119"/>
      <c r="ET39" s="119"/>
      <c r="EU39" s="119"/>
      <c r="EV39" s="119"/>
      <c r="EW39" s="119"/>
      <c r="EX39" s="119"/>
      <c r="EY39" s="119"/>
      <c r="EZ39" s="119"/>
      <c r="FA39" s="119"/>
      <c r="FB39" s="119"/>
      <c r="FC39" s="119"/>
      <c r="FD39" s="119"/>
      <c r="FE39" s="119"/>
      <c r="FF39" s="119"/>
      <c r="FG39" s="119"/>
      <c r="FH39" s="119"/>
      <c r="FI39" s="119"/>
      <c r="FJ39" s="119"/>
      <c r="FK39" s="119"/>
      <c r="FL39" s="119"/>
      <c r="FM39" s="119"/>
      <c r="FN39" s="119"/>
      <c r="FO39" s="119"/>
      <c r="FP39" s="119"/>
      <c r="FQ39" s="119"/>
      <c r="FR39" s="119"/>
      <c r="FS39" s="119"/>
      <c r="FT39" s="119"/>
      <c r="FU39" s="119"/>
      <c r="FV39" s="119"/>
      <c r="FW39" s="119"/>
      <c r="FX39" s="119"/>
      <c r="FY39" s="119"/>
      <c r="FZ39" s="119"/>
      <c r="GA39" s="119"/>
      <c r="GB39" s="119"/>
      <c r="GC39" s="119"/>
      <c r="GD39" s="119"/>
      <c r="GE39" s="119"/>
      <c r="GF39" s="119"/>
      <c r="GG39" s="119"/>
      <c r="GH39" s="119"/>
      <c r="GI39" s="119"/>
      <c r="GJ39" s="119"/>
      <c r="GK39" s="119"/>
      <c r="GL39" s="119"/>
      <c r="GM39" s="119"/>
      <c r="GN39" s="119"/>
      <c r="GO39" s="119"/>
      <c r="GP39" s="119"/>
      <c r="GQ39" s="119"/>
      <c r="GR39" s="119"/>
      <c r="GS39" s="119"/>
      <c r="GT39" s="119"/>
      <c r="GU39" s="119"/>
      <c r="GV39" s="119"/>
      <c r="GW39" s="119"/>
      <c r="GX39" s="119"/>
      <c r="GY39" s="119"/>
      <c r="GZ39" s="119"/>
      <c r="HA39" s="119"/>
      <c r="HB39" s="119"/>
      <c r="HC39" s="119"/>
      <c r="HD39" s="119"/>
      <c r="HE39" s="119"/>
      <c r="HF39" s="119"/>
      <c r="HG39" s="119"/>
      <c r="HH39" s="119"/>
      <c r="HI39" s="119"/>
      <c r="HJ39" s="119"/>
      <c r="HK39" s="119"/>
      <c r="HL39" s="119"/>
      <c r="HM39" s="119"/>
      <c r="HN39" s="119"/>
      <c r="HO39" s="119"/>
      <c r="HP39" s="119"/>
      <c r="HQ39" s="119"/>
      <c r="HR39" s="119"/>
      <c r="HS39" s="119"/>
      <c r="HT39" s="119"/>
      <c r="HU39" s="119"/>
      <c r="HV39" s="119"/>
      <c r="HW39" s="119"/>
      <c r="HX39" s="119"/>
      <c r="HY39" s="119"/>
      <c r="HZ39" s="119"/>
      <c r="IA39" s="119"/>
      <c r="IB39" s="119"/>
      <c r="IC39" s="119"/>
      <c r="ID39" s="119"/>
      <c r="IE39" s="119"/>
      <c r="IF39" s="119"/>
      <c r="IG39" s="119"/>
      <c r="IH39" s="119"/>
      <c r="II39" s="119"/>
      <c r="IJ39" s="119"/>
      <c r="IK39" s="119"/>
      <c r="IL39" s="119"/>
      <c r="IM39" s="119"/>
      <c r="IN39" s="119"/>
      <c r="IO39" s="119"/>
      <c r="IP39" s="119"/>
      <c r="IQ39" s="119"/>
      <c r="IR39" s="119"/>
      <c r="IS39" s="119"/>
      <c r="IT39" s="119"/>
      <c r="IU39" s="119"/>
      <c r="IV39" s="119"/>
      <c r="IW39" s="119"/>
      <c r="IX39" s="119"/>
      <c r="IY39" s="119"/>
      <c r="IZ39" s="119"/>
      <c r="JA39" s="119"/>
      <c r="JB39" s="119"/>
      <c r="JC39" s="119"/>
      <c r="JD39" s="119"/>
      <c r="JE39" s="119"/>
      <c r="JF39" s="119"/>
      <c r="JG39" s="119"/>
      <c r="JH39" s="119"/>
      <c r="JI39" s="119"/>
      <c r="JJ39" s="119"/>
      <c r="JK39" s="119"/>
      <c r="JL39" s="119"/>
      <c r="JM39" s="119"/>
      <c r="JN39" s="119"/>
      <c r="JO39" s="119"/>
      <c r="JP39" s="119"/>
      <c r="JQ39" s="119"/>
      <c r="JR39" s="119"/>
      <c r="JS39" s="119"/>
      <c r="JT39" s="119"/>
      <c r="JU39" s="119"/>
      <c r="JV39" s="119"/>
      <c r="JW39" s="119"/>
      <c r="JX39" s="119"/>
      <c r="JY39" s="119"/>
      <c r="JZ39" s="119"/>
      <c r="KA39" s="119"/>
      <c r="KB39" s="119"/>
      <c r="KC39" s="119"/>
      <c r="KD39" s="119"/>
      <c r="KE39" s="119"/>
      <c r="KF39" s="119"/>
      <c r="KG39" s="119"/>
      <c r="KH39" s="119"/>
      <c r="KI39" s="119"/>
      <c r="KJ39" s="119"/>
      <c r="KK39" s="119"/>
      <c r="KL39" s="119"/>
      <c r="KM39" s="119"/>
      <c r="KN39" s="119"/>
      <c r="KO39" s="119"/>
      <c r="KP39" s="119"/>
      <c r="KQ39" s="119"/>
      <c r="KR39" s="119"/>
      <c r="KS39" s="119"/>
      <c r="KT39" s="119"/>
      <c r="KU39" s="119"/>
      <c r="KV39" s="119"/>
      <c r="KW39" s="119"/>
      <c r="KX39" s="119"/>
      <c r="KY39" s="119"/>
      <c r="KZ39" s="119"/>
      <c r="LA39" s="119"/>
      <c r="LB39" s="119"/>
      <c r="LC39" s="119"/>
      <c r="LD39" s="119"/>
      <c r="LE39" s="119"/>
      <c r="LF39" s="119"/>
      <c r="LG39" s="119"/>
      <c r="LH39" s="119"/>
      <c r="LI39" s="119"/>
      <c r="LJ39" s="119"/>
      <c r="LK39" s="119"/>
      <c r="LL39" s="119"/>
      <c r="LM39" s="119"/>
      <c r="LN39" s="119"/>
      <c r="LO39" s="119"/>
      <c r="LP39" s="119"/>
      <c r="LQ39" s="119"/>
      <c r="LR39" s="119"/>
      <c r="LS39" s="119"/>
      <c r="LT39" s="119"/>
      <c r="LU39" s="119"/>
      <c r="LV39" s="119"/>
      <c r="LW39" s="119"/>
      <c r="LX39" s="119"/>
      <c r="LY39" s="119"/>
      <c r="LZ39" s="119"/>
      <c r="MA39" s="119"/>
      <c r="MB39" s="119"/>
      <c r="MC39" s="119"/>
      <c r="MD39" s="119"/>
      <c r="ME39" s="119"/>
      <c r="MF39" s="119"/>
      <c r="MG39" s="119"/>
      <c r="MH39" s="119"/>
      <c r="MI39" s="119"/>
      <c r="MJ39" s="119"/>
      <c r="MK39" s="119"/>
      <c r="ML39" s="119"/>
      <c r="MM39" s="119"/>
      <c r="MN39" s="119"/>
      <c r="MO39" s="119"/>
      <c r="MP39" s="119"/>
      <c r="MQ39" s="119"/>
      <c r="MR39" s="119"/>
      <c r="MS39" s="119"/>
      <c r="MT39" s="119"/>
      <c r="MU39" s="119"/>
      <c r="MV39" s="119"/>
      <c r="MW39" s="119"/>
      <c r="MX39" s="119"/>
      <c r="MY39" s="119"/>
      <c r="MZ39" s="119"/>
      <c r="NA39" s="119"/>
      <c r="NB39" s="119"/>
      <c r="NC39" s="119"/>
      <c r="ND39" s="119"/>
      <c r="NE39" s="119"/>
      <c r="NF39" s="119"/>
      <c r="NG39" s="119"/>
      <c r="NH39" s="119"/>
      <c r="NI39" s="119"/>
      <c r="NJ39" s="119"/>
      <c r="NK39" s="119"/>
      <c r="NL39" s="119"/>
      <c r="NM39" s="119"/>
      <c r="NN39" s="119"/>
      <c r="NO39" s="119"/>
      <c r="NP39" s="119"/>
      <c r="NQ39" s="119"/>
      <c r="NR39" s="119"/>
      <c r="NS39" s="119"/>
      <c r="NT39" s="119"/>
      <c r="NU39" s="119"/>
      <c r="NV39" s="119"/>
      <c r="NW39" s="119"/>
      <c r="NX39" s="119"/>
      <c r="NY39" s="119"/>
      <c r="NZ39" s="119"/>
      <c r="OA39" s="119"/>
    </row>
    <row r="40" spans="1:391" ht="13.9" customHeight="1" x14ac:dyDescent="0.2">
      <c r="A40" s="500"/>
      <c r="B40" s="548" t="s">
        <v>333</v>
      </c>
      <c r="C40" s="187"/>
      <c r="D40" s="187"/>
      <c r="E40" s="187"/>
      <c r="F40" s="564">
        <f t="shared" ca="1" si="0"/>
        <v>-43388</v>
      </c>
      <c r="G40" s="556"/>
      <c r="H40" s="556"/>
      <c r="I40" s="556"/>
      <c r="J40" s="38" t="str">
        <f t="shared" ca="1" si="3"/>
        <v>OVERDUE</v>
      </c>
      <c r="K40" s="557"/>
      <c r="BN40" s="119"/>
      <c r="BO40" s="119"/>
      <c r="BP40" s="119"/>
      <c r="BQ40" s="119"/>
      <c r="BR40" s="119"/>
      <c r="BS40" s="119"/>
      <c r="BT40" s="119"/>
      <c r="BU40" s="119"/>
      <c r="BV40" s="119"/>
      <c r="BW40" s="119"/>
      <c r="BX40" s="119"/>
      <c r="BY40" s="119"/>
      <c r="BZ40" s="119"/>
      <c r="CA40" s="119"/>
      <c r="CB40" s="119"/>
      <c r="CC40" s="119"/>
      <c r="CD40" s="119"/>
      <c r="CE40" s="119"/>
      <c r="CF40" s="119"/>
      <c r="CG40" s="119"/>
      <c r="CH40" s="119"/>
      <c r="CI40" s="119"/>
      <c r="CJ40" s="119"/>
      <c r="CK40" s="119"/>
      <c r="CL40" s="119"/>
      <c r="CM40" s="119"/>
      <c r="CN40" s="119"/>
      <c r="CO40" s="119"/>
      <c r="CP40" s="119"/>
      <c r="CQ40" s="119"/>
      <c r="CR40" s="119"/>
      <c r="CS40" s="119"/>
      <c r="CT40" s="119"/>
      <c r="CU40" s="119"/>
      <c r="CV40" s="119"/>
      <c r="CW40" s="119"/>
      <c r="CX40" s="119"/>
      <c r="CY40" s="119"/>
      <c r="CZ40" s="119"/>
      <c r="DA40" s="119"/>
      <c r="DB40" s="119"/>
      <c r="DC40" s="119"/>
      <c r="DD40" s="119"/>
      <c r="DE40" s="119"/>
      <c r="DF40" s="119"/>
      <c r="DG40" s="119"/>
      <c r="DH40" s="119"/>
      <c r="DI40" s="119"/>
      <c r="DJ40" s="119"/>
      <c r="DK40" s="119"/>
      <c r="DL40" s="119"/>
      <c r="DM40" s="119"/>
      <c r="DN40" s="119"/>
      <c r="DO40" s="119"/>
      <c r="DP40" s="119"/>
      <c r="DQ40" s="119"/>
      <c r="DR40" s="119"/>
      <c r="DS40" s="119"/>
      <c r="DT40" s="119"/>
      <c r="DU40" s="119"/>
      <c r="DV40" s="119"/>
      <c r="DW40" s="119"/>
      <c r="DX40" s="119"/>
      <c r="DY40" s="119"/>
      <c r="DZ40" s="119"/>
      <c r="EA40" s="119"/>
      <c r="EB40" s="119"/>
      <c r="EC40" s="119"/>
      <c r="ED40" s="119"/>
      <c r="EE40" s="119"/>
      <c r="EF40" s="119"/>
      <c r="EG40" s="119"/>
      <c r="EH40" s="119"/>
      <c r="EI40" s="119"/>
      <c r="EJ40" s="119"/>
      <c r="EK40" s="119"/>
      <c r="EL40" s="119"/>
      <c r="EM40" s="119"/>
      <c r="EN40" s="119"/>
      <c r="EO40" s="119"/>
      <c r="EP40" s="119"/>
      <c r="EQ40" s="119"/>
      <c r="ER40" s="119"/>
      <c r="ES40" s="119"/>
      <c r="ET40" s="119"/>
      <c r="EU40" s="119"/>
      <c r="EV40" s="119"/>
      <c r="EW40" s="119"/>
      <c r="EX40" s="119"/>
      <c r="EY40" s="119"/>
      <c r="EZ40" s="119"/>
      <c r="FA40" s="119"/>
      <c r="FB40" s="119"/>
      <c r="FC40" s="119"/>
      <c r="FD40" s="119"/>
      <c r="FE40" s="119"/>
      <c r="FF40" s="119"/>
      <c r="FG40" s="119"/>
      <c r="FH40" s="119"/>
      <c r="FI40" s="119"/>
      <c r="FJ40" s="119"/>
      <c r="FK40" s="119"/>
      <c r="FL40" s="119"/>
      <c r="FM40" s="119"/>
      <c r="FN40" s="119"/>
      <c r="FO40" s="119"/>
      <c r="FP40" s="119"/>
      <c r="FQ40" s="119"/>
      <c r="FR40" s="119"/>
      <c r="FS40" s="119"/>
      <c r="FT40" s="119"/>
      <c r="FU40" s="119"/>
      <c r="FV40" s="119"/>
      <c r="FW40" s="119"/>
      <c r="FX40" s="119"/>
      <c r="FY40" s="119"/>
      <c r="FZ40" s="119"/>
      <c r="GA40" s="119"/>
      <c r="GB40" s="119"/>
      <c r="GC40" s="119"/>
      <c r="GD40" s="119"/>
      <c r="GE40" s="119"/>
      <c r="GF40" s="119"/>
      <c r="GG40" s="119"/>
      <c r="GH40" s="119"/>
      <c r="GI40" s="119"/>
      <c r="GJ40" s="119"/>
      <c r="GK40" s="119"/>
      <c r="GL40" s="119"/>
      <c r="GM40" s="119"/>
      <c r="GN40" s="119"/>
      <c r="GO40" s="119"/>
      <c r="GP40" s="119"/>
      <c r="GQ40" s="119"/>
      <c r="GR40" s="119"/>
      <c r="GS40" s="119"/>
      <c r="GT40" s="119"/>
      <c r="GU40" s="119"/>
      <c r="GV40" s="119"/>
      <c r="GW40" s="119"/>
      <c r="GX40" s="119"/>
      <c r="GY40" s="119"/>
      <c r="GZ40" s="119"/>
      <c r="HA40" s="119"/>
      <c r="HB40" s="119"/>
      <c r="HC40" s="119"/>
      <c r="HD40" s="119"/>
      <c r="HE40" s="119"/>
      <c r="HF40" s="119"/>
      <c r="HG40" s="119"/>
      <c r="HH40" s="119"/>
      <c r="HI40" s="119"/>
      <c r="HJ40" s="119"/>
      <c r="HK40" s="119"/>
      <c r="HL40" s="119"/>
      <c r="HM40" s="119"/>
      <c r="HN40" s="119"/>
      <c r="HO40" s="119"/>
      <c r="HP40" s="119"/>
      <c r="HQ40" s="119"/>
      <c r="HR40" s="119"/>
      <c r="HS40" s="119"/>
      <c r="HT40" s="119"/>
      <c r="HU40" s="119"/>
      <c r="HV40" s="119"/>
      <c r="HW40" s="119"/>
      <c r="HX40" s="119"/>
      <c r="HY40" s="119"/>
      <c r="HZ40" s="119"/>
      <c r="IA40" s="119"/>
      <c r="IB40" s="119"/>
      <c r="IC40" s="119"/>
      <c r="ID40" s="119"/>
      <c r="IE40" s="119"/>
      <c r="IF40" s="119"/>
      <c r="IG40" s="119"/>
      <c r="IH40" s="119"/>
      <c r="II40" s="119"/>
      <c r="IJ40" s="119"/>
      <c r="IK40" s="119"/>
      <c r="IL40" s="119"/>
      <c r="IM40" s="119"/>
      <c r="IN40" s="119"/>
      <c r="IO40" s="119"/>
      <c r="IP40" s="119"/>
      <c r="IQ40" s="119"/>
      <c r="IR40" s="119"/>
      <c r="IS40" s="119"/>
      <c r="IT40" s="119"/>
      <c r="IU40" s="119"/>
      <c r="IV40" s="119"/>
      <c r="IW40" s="119"/>
      <c r="IX40" s="119"/>
      <c r="IY40" s="119"/>
      <c r="IZ40" s="119"/>
      <c r="JA40" s="119"/>
      <c r="JB40" s="119"/>
      <c r="JC40" s="119"/>
      <c r="JD40" s="119"/>
      <c r="JE40" s="119"/>
      <c r="JF40" s="119"/>
      <c r="JG40" s="119"/>
      <c r="JH40" s="119"/>
      <c r="JI40" s="119"/>
      <c r="JJ40" s="119"/>
      <c r="JK40" s="119"/>
      <c r="JL40" s="119"/>
      <c r="JM40" s="119"/>
      <c r="JN40" s="119"/>
      <c r="JO40" s="119"/>
      <c r="JP40" s="119"/>
      <c r="JQ40" s="119"/>
      <c r="JR40" s="119"/>
      <c r="JS40" s="119"/>
      <c r="JT40" s="119"/>
      <c r="JU40" s="119"/>
      <c r="JV40" s="119"/>
      <c r="JW40" s="119"/>
      <c r="JX40" s="119"/>
      <c r="JY40" s="119"/>
      <c r="JZ40" s="119"/>
      <c r="KA40" s="119"/>
      <c r="KB40" s="119"/>
      <c r="KC40" s="119"/>
      <c r="KD40" s="119"/>
      <c r="KE40" s="119"/>
      <c r="KF40" s="119"/>
      <c r="KG40" s="119"/>
      <c r="KH40" s="119"/>
      <c r="KI40" s="119"/>
      <c r="KJ40" s="119"/>
      <c r="KK40" s="119"/>
      <c r="KL40" s="119"/>
      <c r="KM40" s="119"/>
      <c r="KN40" s="119"/>
      <c r="KO40" s="119"/>
      <c r="KP40" s="119"/>
      <c r="KQ40" s="119"/>
      <c r="KR40" s="119"/>
      <c r="KS40" s="119"/>
      <c r="KT40" s="119"/>
      <c r="KU40" s="119"/>
      <c r="KV40" s="119"/>
      <c r="KW40" s="119"/>
      <c r="KX40" s="119"/>
      <c r="KY40" s="119"/>
      <c r="KZ40" s="119"/>
      <c r="LA40" s="119"/>
      <c r="LB40" s="119"/>
      <c r="LC40" s="119"/>
      <c r="LD40" s="119"/>
      <c r="LE40" s="119"/>
      <c r="LF40" s="119"/>
      <c r="LG40" s="119"/>
      <c r="LH40" s="119"/>
      <c r="LI40" s="119"/>
      <c r="LJ40" s="119"/>
      <c r="LK40" s="119"/>
      <c r="LL40" s="119"/>
      <c r="LM40" s="119"/>
      <c r="LN40" s="119"/>
      <c r="LO40" s="119"/>
      <c r="LP40" s="119"/>
      <c r="LQ40" s="119"/>
      <c r="LR40" s="119"/>
      <c r="LS40" s="119"/>
      <c r="LT40" s="119"/>
      <c r="LU40" s="119"/>
      <c r="LV40" s="119"/>
      <c r="LW40" s="119"/>
      <c r="LX40" s="119"/>
      <c r="LY40" s="119"/>
      <c r="LZ40" s="119"/>
      <c r="MA40" s="119"/>
      <c r="MB40" s="119"/>
      <c r="MC40" s="119"/>
      <c r="MD40" s="119"/>
      <c r="ME40" s="119"/>
      <c r="MF40" s="119"/>
      <c r="MG40" s="119"/>
      <c r="MH40" s="119"/>
      <c r="MI40" s="119"/>
      <c r="MJ40" s="119"/>
      <c r="MK40" s="119"/>
      <c r="ML40" s="119"/>
      <c r="MM40" s="119"/>
      <c r="MN40" s="119"/>
      <c r="MO40" s="119"/>
      <c r="MP40" s="119"/>
      <c r="MQ40" s="119"/>
      <c r="MR40" s="119"/>
      <c r="MS40" s="119"/>
      <c r="MT40" s="119"/>
      <c r="MU40" s="119"/>
      <c r="MV40" s="119"/>
      <c r="MW40" s="119"/>
      <c r="MX40" s="119"/>
      <c r="MY40" s="119"/>
      <c r="MZ40" s="119"/>
      <c r="NA40" s="119"/>
      <c r="NB40" s="119"/>
      <c r="NC40" s="119"/>
      <c r="ND40" s="119"/>
      <c r="NE40" s="119"/>
      <c r="NF40" s="119"/>
      <c r="NG40" s="119"/>
      <c r="NH40" s="119"/>
      <c r="NI40" s="119"/>
      <c r="NJ40" s="119"/>
      <c r="NK40" s="119"/>
      <c r="NL40" s="119"/>
      <c r="NM40" s="119"/>
      <c r="NN40" s="119"/>
      <c r="NO40" s="119"/>
      <c r="NP40" s="119"/>
      <c r="NQ40" s="119"/>
      <c r="NR40" s="119"/>
      <c r="NS40" s="119"/>
      <c r="NT40" s="119"/>
      <c r="NU40" s="119"/>
      <c r="NV40" s="119"/>
      <c r="NW40" s="119"/>
      <c r="NX40" s="119"/>
      <c r="NY40" s="119"/>
      <c r="NZ40" s="119"/>
      <c r="OA40" s="119"/>
    </row>
    <row r="41" spans="1:391" ht="13.9" customHeight="1" x14ac:dyDescent="0.2">
      <c r="A41" s="500"/>
      <c r="B41" s="548" t="s">
        <v>334</v>
      </c>
      <c r="C41" s="187"/>
      <c r="D41" s="187"/>
      <c r="E41" s="185"/>
      <c r="F41" s="564">
        <f t="shared" ca="1" si="0"/>
        <v>-43388</v>
      </c>
      <c r="G41" s="556"/>
      <c r="H41" s="556"/>
      <c r="I41" s="556"/>
      <c r="J41" s="38" t="str">
        <f t="shared" ca="1" si="3"/>
        <v>OVERDUE</v>
      </c>
      <c r="K41" s="557"/>
      <c r="BN41" s="119"/>
      <c r="BO41" s="119"/>
      <c r="BP41" s="119"/>
      <c r="BQ41" s="119"/>
      <c r="BR41" s="119"/>
      <c r="BS41" s="119"/>
      <c r="BT41" s="119"/>
      <c r="BU41" s="119"/>
      <c r="BV41" s="119"/>
      <c r="BW41" s="119"/>
      <c r="BX41" s="119"/>
      <c r="BY41" s="119"/>
      <c r="BZ41" s="119"/>
      <c r="CA41" s="119"/>
      <c r="CB41" s="119"/>
      <c r="CC41" s="119"/>
      <c r="CD41" s="119"/>
      <c r="CE41" s="119"/>
      <c r="CF41" s="119"/>
      <c r="CG41" s="119"/>
      <c r="CH41" s="119"/>
      <c r="CI41" s="119"/>
      <c r="CJ41" s="119"/>
      <c r="CK41" s="119"/>
      <c r="CL41" s="119"/>
      <c r="CM41" s="119"/>
      <c r="CN41" s="119"/>
      <c r="CO41" s="119"/>
      <c r="CP41" s="119"/>
      <c r="CQ41" s="119"/>
      <c r="CR41" s="119"/>
      <c r="CS41" s="119"/>
      <c r="CT41" s="119"/>
      <c r="CU41" s="119"/>
      <c r="CV41" s="119"/>
      <c r="CW41" s="119"/>
      <c r="CX41" s="119"/>
      <c r="CY41" s="119"/>
      <c r="CZ41" s="119"/>
      <c r="DA41" s="119"/>
      <c r="DB41" s="119"/>
      <c r="DC41" s="119"/>
      <c r="DD41" s="119"/>
      <c r="DE41" s="119"/>
      <c r="DF41" s="119"/>
      <c r="DG41" s="119"/>
      <c r="DH41" s="119"/>
      <c r="DI41" s="119"/>
      <c r="DJ41" s="119"/>
      <c r="DK41" s="119"/>
      <c r="DL41" s="119"/>
      <c r="DM41" s="119"/>
      <c r="DN41" s="119"/>
      <c r="DO41" s="119"/>
      <c r="DP41" s="119"/>
      <c r="DQ41" s="119"/>
      <c r="DR41" s="119"/>
      <c r="DS41" s="119"/>
      <c r="DT41" s="119"/>
      <c r="DU41" s="119"/>
      <c r="DV41" s="119"/>
      <c r="DW41" s="119"/>
      <c r="DX41" s="119"/>
      <c r="DY41" s="119"/>
      <c r="DZ41" s="119"/>
      <c r="EA41" s="119"/>
      <c r="EB41" s="119"/>
      <c r="EC41" s="119"/>
      <c r="ED41" s="119"/>
      <c r="EE41" s="119"/>
      <c r="EF41" s="119"/>
      <c r="EG41" s="119"/>
      <c r="EH41" s="119"/>
      <c r="EI41" s="119"/>
      <c r="EJ41" s="119"/>
      <c r="EK41" s="119"/>
      <c r="EL41" s="119"/>
      <c r="EM41" s="119"/>
      <c r="EN41" s="119"/>
      <c r="EO41" s="119"/>
      <c r="EP41" s="119"/>
      <c r="EQ41" s="119"/>
      <c r="ER41" s="119"/>
      <c r="ES41" s="119"/>
      <c r="ET41" s="119"/>
      <c r="EU41" s="119"/>
      <c r="EV41" s="119"/>
      <c r="EW41" s="119"/>
      <c r="EX41" s="119"/>
      <c r="EY41" s="119"/>
      <c r="EZ41" s="119"/>
      <c r="FA41" s="119"/>
      <c r="FB41" s="119"/>
      <c r="FC41" s="119"/>
      <c r="FD41" s="119"/>
      <c r="FE41" s="119"/>
      <c r="FF41" s="119"/>
      <c r="FG41" s="119"/>
      <c r="FH41" s="119"/>
      <c r="FI41" s="119"/>
      <c r="FJ41" s="119"/>
      <c r="FK41" s="119"/>
      <c r="FL41" s="119"/>
      <c r="FM41" s="119"/>
      <c r="FN41" s="119"/>
      <c r="FO41" s="119"/>
      <c r="FP41" s="119"/>
      <c r="FQ41" s="119"/>
      <c r="FR41" s="119"/>
      <c r="FS41" s="119"/>
      <c r="FT41" s="119"/>
      <c r="FU41" s="119"/>
      <c r="FV41" s="119"/>
      <c r="FW41" s="119"/>
      <c r="FX41" s="119"/>
      <c r="FY41" s="119"/>
      <c r="FZ41" s="119"/>
      <c r="GA41" s="119"/>
      <c r="GB41" s="119"/>
      <c r="GC41" s="119"/>
      <c r="GD41" s="119"/>
      <c r="GE41" s="119"/>
      <c r="GF41" s="119"/>
      <c r="GG41" s="119"/>
      <c r="GH41" s="119"/>
      <c r="GI41" s="119"/>
      <c r="GJ41" s="119"/>
      <c r="GK41" s="119"/>
      <c r="GL41" s="119"/>
      <c r="GM41" s="119"/>
      <c r="GN41" s="119"/>
      <c r="GO41" s="119"/>
      <c r="GP41" s="119"/>
      <c r="GQ41" s="119"/>
      <c r="GR41" s="119"/>
      <c r="GS41" s="119"/>
      <c r="GT41" s="119"/>
      <c r="GU41" s="119"/>
      <c r="GV41" s="119"/>
      <c r="GW41" s="119"/>
      <c r="GX41" s="119"/>
      <c r="GY41" s="119"/>
      <c r="GZ41" s="119"/>
      <c r="HA41" s="119"/>
      <c r="HB41" s="119"/>
      <c r="HC41" s="119"/>
      <c r="HD41" s="119"/>
      <c r="HE41" s="119"/>
      <c r="HF41" s="119"/>
      <c r="HG41" s="119"/>
      <c r="HH41" s="119"/>
      <c r="HI41" s="119"/>
      <c r="HJ41" s="119"/>
      <c r="HK41" s="119"/>
      <c r="HL41" s="119"/>
      <c r="HM41" s="119"/>
      <c r="HN41" s="119"/>
      <c r="HO41" s="119"/>
      <c r="HP41" s="119"/>
      <c r="HQ41" s="119"/>
      <c r="HR41" s="119"/>
      <c r="HS41" s="119"/>
      <c r="HT41" s="119"/>
      <c r="HU41" s="119"/>
      <c r="HV41" s="119"/>
      <c r="HW41" s="119"/>
      <c r="HX41" s="119"/>
      <c r="HY41" s="119"/>
      <c r="HZ41" s="119"/>
      <c r="IA41" s="119"/>
      <c r="IB41" s="119"/>
      <c r="IC41" s="119"/>
      <c r="ID41" s="119"/>
      <c r="IE41" s="119"/>
      <c r="IF41" s="119"/>
      <c r="IG41" s="119"/>
      <c r="IH41" s="119"/>
      <c r="II41" s="119"/>
      <c r="IJ41" s="119"/>
      <c r="IK41" s="119"/>
      <c r="IL41" s="119"/>
      <c r="IM41" s="119"/>
      <c r="IN41" s="119"/>
      <c r="IO41" s="119"/>
      <c r="IP41" s="119"/>
      <c r="IQ41" s="119"/>
      <c r="IR41" s="119"/>
      <c r="IS41" s="119"/>
      <c r="IT41" s="119"/>
      <c r="IU41" s="119"/>
      <c r="IV41" s="119"/>
      <c r="IW41" s="119"/>
      <c r="IX41" s="119"/>
      <c r="IY41" s="119"/>
      <c r="IZ41" s="119"/>
      <c r="JA41" s="119"/>
      <c r="JB41" s="119"/>
      <c r="JC41" s="119"/>
      <c r="JD41" s="119"/>
      <c r="JE41" s="119"/>
      <c r="JF41" s="119"/>
      <c r="JG41" s="119"/>
      <c r="JH41" s="119"/>
      <c r="JI41" s="119"/>
      <c r="JJ41" s="119"/>
      <c r="JK41" s="119"/>
      <c r="JL41" s="119"/>
      <c r="JM41" s="119"/>
      <c r="JN41" s="119"/>
      <c r="JO41" s="119"/>
      <c r="JP41" s="119"/>
      <c r="JQ41" s="119"/>
      <c r="JR41" s="119"/>
      <c r="JS41" s="119"/>
      <c r="JT41" s="119"/>
      <c r="JU41" s="119"/>
      <c r="JV41" s="119"/>
      <c r="JW41" s="119"/>
      <c r="JX41" s="119"/>
      <c r="JY41" s="119"/>
      <c r="JZ41" s="119"/>
      <c r="KA41" s="119"/>
      <c r="KB41" s="119"/>
      <c r="KC41" s="119"/>
      <c r="KD41" s="119"/>
      <c r="KE41" s="119"/>
      <c r="KF41" s="119"/>
      <c r="KG41" s="119"/>
      <c r="KH41" s="119"/>
      <c r="KI41" s="119"/>
      <c r="KJ41" s="119"/>
      <c r="KK41" s="119"/>
      <c r="KL41" s="119"/>
      <c r="KM41" s="119"/>
      <c r="KN41" s="119"/>
      <c r="KO41" s="119"/>
      <c r="KP41" s="119"/>
      <c r="KQ41" s="119"/>
      <c r="KR41" s="119"/>
      <c r="KS41" s="119"/>
      <c r="KT41" s="119"/>
      <c r="KU41" s="119"/>
      <c r="KV41" s="119"/>
      <c r="KW41" s="119"/>
      <c r="KX41" s="119"/>
      <c r="KY41" s="119"/>
      <c r="KZ41" s="119"/>
      <c r="LA41" s="119"/>
      <c r="LB41" s="119"/>
      <c r="LC41" s="119"/>
      <c r="LD41" s="119"/>
      <c r="LE41" s="119"/>
      <c r="LF41" s="119"/>
      <c r="LG41" s="119"/>
      <c r="LH41" s="119"/>
      <c r="LI41" s="119"/>
      <c r="LJ41" s="119"/>
      <c r="LK41" s="119"/>
      <c r="LL41" s="119"/>
      <c r="LM41" s="119"/>
      <c r="LN41" s="119"/>
      <c r="LO41" s="119"/>
      <c r="LP41" s="119"/>
      <c r="LQ41" s="119"/>
      <c r="LR41" s="119"/>
      <c r="LS41" s="119"/>
      <c r="LT41" s="119"/>
      <c r="LU41" s="119"/>
      <c r="LV41" s="119"/>
      <c r="LW41" s="119"/>
      <c r="LX41" s="119"/>
      <c r="LY41" s="119"/>
      <c r="LZ41" s="119"/>
      <c r="MA41" s="119"/>
      <c r="MB41" s="119"/>
      <c r="MC41" s="119"/>
      <c r="MD41" s="119"/>
      <c r="ME41" s="119"/>
      <c r="MF41" s="119"/>
      <c r="MG41" s="119"/>
      <c r="MH41" s="119"/>
      <c r="MI41" s="119"/>
      <c r="MJ41" s="119"/>
      <c r="MK41" s="119"/>
      <c r="ML41" s="119"/>
      <c r="MM41" s="119"/>
      <c r="MN41" s="119"/>
      <c r="MO41" s="119"/>
      <c r="MP41" s="119"/>
      <c r="MQ41" s="119"/>
      <c r="MR41" s="119"/>
      <c r="MS41" s="119"/>
      <c r="MT41" s="119"/>
      <c r="MU41" s="119"/>
      <c r="MV41" s="119"/>
      <c r="MW41" s="119"/>
      <c r="MX41" s="119"/>
      <c r="MY41" s="119"/>
      <c r="MZ41" s="119"/>
      <c r="NA41" s="119"/>
      <c r="NB41" s="119"/>
      <c r="NC41" s="119"/>
      <c r="ND41" s="119"/>
      <c r="NE41" s="119"/>
      <c r="NF41" s="119"/>
      <c r="NG41" s="119"/>
      <c r="NH41" s="119"/>
      <c r="NI41" s="119"/>
      <c r="NJ41" s="119"/>
      <c r="NK41" s="119"/>
      <c r="NL41" s="119"/>
      <c r="NM41" s="119"/>
      <c r="NN41" s="119"/>
      <c r="NO41" s="119"/>
      <c r="NP41" s="119"/>
      <c r="NQ41" s="119"/>
      <c r="NR41" s="119"/>
      <c r="NS41" s="119"/>
      <c r="NT41" s="119"/>
      <c r="NU41" s="119"/>
      <c r="NV41" s="119"/>
      <c r="NW41" s="119"/>
      <c r="NX41" s="119"/>
      <c r="NY41" s="119"/>
      <c r="NZ41" s="119"/>
      <c r="OA41" s="119"/>
    </row>
    <row r="42" spans="1:391" ht="13.9" customHeight="1" x14ac:dyDescent="0.25">
      <c r="A42" s="500"/>
      <c r="B42" s="550" t="s">
        <v>335</v>
      </c>
      <c r="C42" s="187"/>
      <c r="D42" s="551"/>
      <c r="E42" s="551"/>
      <c r="F42" s="564">
        <f t="shared" ca="1" si="0"/>
        <v>-43388</v>
      </c>
      <c r="G42" s="556"/>
      <c r="H42" s="556"/>
      <c r="I42" s="556"/>
      <c r="J42" s="38" t="str">
        <f ca="1">IF(AND(J43="completed",J44="completed",J45="completed"),"Deliverable Completed","DELIVERABLE STILL IN PROGRESS")</f>
        <v>DELIVERABLE STILL IN PROGRESS</v>
      </c>
      <c r="K42" s="557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119"/>
      <c r="KC42" s="119"/>
      <c r="KD42" s="119"/>
      <c r="KE42" s="119"/>
      <c r="KF42" s="119"/>
      <c r="KG42" s="119"/>
      <c r="KH42" s="119"/>
      <c r="KI42" s="119"/>
      <c r="KJ42" s="119"/>
      <c r="KK42" s="119"/>
      <c r="KL42" s="119"/>
      <c r="KM42" s="119"/>
      <c r="KN42" s="119"/>
      <c r="KO42" s="119"/>
      <c r="KP42" s="119"/>
      <c r="KQ42" s="119"/>
      <c r="KR42" s="119"/>
      <c r="KS42" s="119"/>
      <c r="KT42" s="119"/>
      <c r="KU42" s="119"/>
      <c r="KV42" s="119"/>
      <c r="KW42" s="119"/>
      <c r="KX42" s="119"/>
      <c r="KY42" s="119"/>
      <c r="KZ42" s="119"/>
      <c r="LA42" s="119"/>
      <c r="LB42" s="119"/>
      <c r="LC42" s="119"/>
      <c r="LD42" s="119"/>
      <c r="LE42" s="119"/>
      <c r="LF42" s="119"/>
      <c r="LG42" s="119"/>
      <c r="LH42" s="119"/>
      <c r="LI42" s="119"/>
      <c r="LJ42" s="119"/>
      <c r="LK42" s="119"/>
      <c r="LL42" s="119"/>
      <c r="LM42" s="119"/>
      <c r="LN42" s="119"/>
      <c r="LO42" s="119"/>
      <c r="LP42" s="119"/>
      <c r="LQ42" s="119"/>
      <c r="LR42" s="119"/>
      <c r="LS42" s="119"/>
      <c r="LT42" s="119"/>
      <c r="LU42" s="119"/>
      <c r="LV42" s="119"/>
      <c r="LW42" s="119"/>
      <c r="LX42" s="119"/>
      <c r="LY42" s="119"/>
      <c r="LZ42" s="119"/>
      <c r="MA42" s="119"/>
      <c r="MB42" s="119"/>
      <c r="MC42" s="119"/>
      <c r="MD42" s="119"/>
      <c r="ME42" s="119"/>
      <c r="MF42" s="119"/>
      <c r="MG42" s="119"/>
      <c r="MH42" s="119"/>
      <c r="MI42" s="119"/>
      <c r="MJ42" s="119"/>
      <c r="MK42" s="119"/>
      <c r="ML42" s="119"/>
      <c r="MM42" s="119"/>
      <c r="MN42" s="119"/>
      <c r="MO42" s="119"/>
      <c r="MP42" s="119"/>
      <c r="MQ42" s="119"/>
      <c r="MR42" s="119"/>
      <c r="MS42" s="119"/>
      <c r="MT42" s="119"/>
      <c r="MU42" s="119"/>
      <c r="MV42" s="119"/>
      <c r="MW42" s="119"/>
      <c r="MX42" s="119"/>
      <c r="MY42" s="119"/>
      <c r="MZ42" s="119"/>
      <c r="NA42" s="119"/>
      <c r="NB42" s="119"/>
      <c r="NC42" s="119"/>
      <c r="ND42" s="119"/>
      <c r="NE42" s="119"/>
      <c r="NF42" s="119"/>
      <c r="NG42" s="119"/>
      <c r="NH42" s="119"/>
      <c r="NI42" s="119"/>
      <c r="NJ42" s="119"/>
      <c r="NK42" s="119"/>
      <c r="NL42" s="119"/>
      <c r="NM42" s="119"/>
      <c r="NN42" s="119"/>
      <c r="NO42" s="119"/>
      <c r="NP42" s="119"/>
      <c r="NQ42" s="119"/>
      <c r="NR42" s="119"/>
      <c r="NS42" s="119"/>
      <c r="NT42" s="119"/>
      <c r="NU42" s="119"/>
      <c r="NV42" s="119"/>
      <c r="NW42" s="119"/>
      <c r="NX42" s="119"/>
      <c r="NY42" s="119"/>
      <c r="NZ42" s="119"/>
      <c r="OA42" s="119"/>
    </row>
    <row r="43" spans="1:391" s="121" customFormat="1" ht="13.9" customHeight="1" x14ac:dyDescent="0.2">
      <c r="A43" s="500"/>
      <c r="B43" s="146" t="s">
        <v>336</v>
      </c>
      <c r="C43" s="187"/>
      <c r="D43" s="187"/>
      <c r="E43" s="187"/>
      <c r="F43" s="564">
        <f t="shared" ca="1" si="0"/>
        <v>-43388</v>
      </c>
      <c r="G43" s="556"/>
      <c r="H43" s="556"/>
      <c r="I43" s="556"/>
      <c r="J43" s="38" t="str">
        <f ca="1">IF(G43&gt;0,"COMPLETED",(IF(I43&gt;0,"ISSUE IDENTIFIED",(IF(TODAY()&gt;E43,"OVERDUE","In Progress")))))</f>
        <v>OVERDUE</v>
      </c>
      <c r="K43" s="557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119"/>
      <c r="BF43" s="119"/>
      <c r="BG43" s="119"/>
      <c r="BH43" s="119"/>
      <c r="BI43" s="119"/>
      <c r="BJ43" s="119"/>
      <c r="BK43" s="119"/>
      <c r="BL43" s="119"/>
      <c r="BM43" s="119"/>
      <c r="BN43" s="119"/>
      <c r="BO43" s="119"/>
      <c r="BP43" s="119"/>
      <c r="BQ43" s="119"/>
      <c r="BR43" s="119"/>
      <c r="BS43" s="119"/>
      <c r="BT43" s="119"/>
      <c r="BU43" s="119"/>
      <c r="BV43" s="119"/>
      <c r="BW43" s="119"/>
      <c r="BX43" s="119"/>
      <c r="BY43" s="119"/>
      <c r="BZ43" s="119"/>
      <c r="CA43" s="119"/>
      <c r="CB43" s="119"/>
      <c r="CC43" s="119"/>
      <c r="CD43" s="119"/>
      <c r="CE43" s="119"/>
      <c r="CF43" s="119"/>
      <c r="CG43" s="119"/>
      <c r="CH43" s="119"/>
      <c r="CI43" s="119"/>
      <c r="CJ43" s="119"/>
      <c r="CK43" s="119"/>
      <c r="CL43" s="119"/>
      <c r="CM43" s="119"/>
      <c r="CN43" s="119"/>
      <c r="CO43" s="119"/>
      <c r="CP43" s="119"/>
      <c r="CQ43" s="119"/>
      <c r="CR43" s="119"/>
      <c r="CS43" s="119"/>
      <c r="CT43" s="119"/>
      <c r="CU43" s="119"/>
      <c r="CV43" s="119"/>
      <c r="CW43" s="119"/>
      <c r="CX43" s="119"/>
      <c r="CY43" s="119"/>
      <c r="CZ43" s="119"/>
      <c r="DA43" s="119"/>
      <c r="DB43" s="119"/>
      <c r="DC43" s="119"/>
      <c r="DD43" s="119"/>
      <c r="DE43" s="119"/>
      <c r="DF43" s="119"/>
      <c r="DG43" s="119"/>
      <c r="DH43" s="119"/>
      <c r="DI43" s="119"/>
      <c r="DJ43" s="119"/>
      <c r="DK43" s="119"/>
      <c r="DL43" s="119"/>
      <c r="DM43" s="119"/>
      <c r="DN43" s="119"/>
      <c r="DO43" s="119"/>
      <c r="DP43" s="119"/>
      <c r="DQ43" s="119"/>
      <c r="DR43" s="119"/>
      <c r="DS43" s="119"/>
      <c r="DT43" s="119"/>
      <c r="DU43" s="119"/>
      <c r="DV43" s="119"/>
      <c r="DW43" s="119"/>
      <c r="DX43" s="119"/>
      <c r="DY43" s="119"/>
      <c r="DZ43" s="119"/>
      <c r="EA43" s="119"/>
      <c r="EB43" s="119"/>
      <c r="EC43" s="119"/>
      <c r="ED43" s="119"/>
      <c r="EE43" s="119"/>
      <c r="EF43" s="119"/>
      <c r="EG43" s="119"/>
      <c r="EH43" s="119"/>
      <c r="EI43" s="119"/>
      <c r="EJ43" s="119"/>
      <c r="EK43" s="119"/>
      <c r="EL43" s="119"/>
      <c r="EM43" s="119"/>
      <c r="EN43" s="119"/>
      <c r="EO43" s="119"/>
      <c r="EP43" s="119"/>
      <c r="EQ43" s="119"/>
      <c r="ER43" s="119"/>
      <c r="ES43" s="119"/>
      <c r="ET43" s="119"/>
      <c r="EU43" s="119"/>
      <c r="EV43" s="119"/>
      <c r="EW43" s="119"/>
      <c r="EX43" s="119"/>
      <c r="EY43" s="119"/>
      <c r="EZ43" s="119"/>
      <c r="FA43" s="119"/>
      <c r="FB43" s="119"/>
      <c r="FC43" s="119"/>
      <c r="FD43" s="119"/>
      <c r="FE43" s="119"/>
      <c r="FF43" s="119"/>
      <c r="FG43" s="119"/>
      <c r="FH43" s="119"/>
      <c r="FI43" s="119"/>
      <c r="FJ43" s="119"/>
      <c r="FK43" s="119"/>
      <c r="FL43" s="119"/>
      <c r="FM43" s="119"/>
      <c r="FN43" s="119"/>
      <c r="FO43" s="119"/>
      <c r="FP43" s="119"/>
      <c r="FQ43" s="119"/>
      <c r="FR43" s="119"/>
      <c r="FS43" s="119"/>
      <c r="FT43" s="119"/>
      <c r="FU43" s="119"/>
      <c r="FV43" s="119"/>
      <c r="FW43" s="119"/>
      <c r="FX43" s="119"/>
      <c r="FY43" s="119"/>
      <c r="FZ43" s="119"/>
      <c r="GA43" s="119"/>
      <c r="GB43" s="119"/>
      <c r="GC43" s="119"/>
      <c r="GD43" s="119"/>
      <c r="GE43" s="119"/>
      <c r="GF43" s="119"/>
      <c r="GG43" s="119"/>
      <c r="GH43" s="119"/>
      <c r="GI43" s="119"/>
      <c r="GJ43" s="119"/>
      <c r="GK43" s="119"/>
      <c r="GL43" s="119"/>
      <c r="GM43" s="119"/>
      <c r="GN43" s="119"/>
      <c r="GO43" s="119"/>
      <c r="GP43" s="119"/>
      <c r="GQ43" s="119"/>
      <c r="GR43" s="119"/>
      <c r="GS43" s="119"/>
      <c r="GT43" s="119"/>
      <c r="GU43" s="119"/>
      <c r="GV43" s="119"/>
      <c r="GW43" s="119"/>
      <c r="GX43" s="119"/>
      <c r="GY43" s="119"/>
      <c r="GZ43" s="119"/>
      <c r="HA43" s="119"/>
      <c r="HB43" s="119"/>
      <c r="HC43" s="119"/>
      <c r="HD43" s="119"/>
      <c r="HE43" s="119"/>
      <c r="HF43" s="119"/>
      <c r="HG43" s="119"/>
      <c r="HH43" s="119"/>
      <c r="HI43" s="119"/>
      <c r="HJ43" s="119"/>
      <c r="HK43" s="119"/>
      <c r="HL43" s="119"/>
      <c r="HM43" s="119"/>
      <c r="HN43" s="119"/>
      <c r="HO43" s="119"/>
      <c r="HP43" s="119"/>
      <c r="HQ43" s="119"/>
      <c r="HR43" s="119"/>
      <c r="HS43" s="119"/>
      <c r="HT43" s="119"/>
      <c r="HU43" s="119"/>
      <c r="HV43" s="119"/>
      <c r="HW43" s="119"/>
      <c r="HX43" s="119"/>
      <c r="HY43" s="119"/>
      <c r="HZ43" s="119"/>
      <c r="IA43" s="119"/>
      <c r="IB43" s="119"/>
      <c r="IC43" s="119"/>
      <c r="ID43" s="119"/>
      <c r="IE43" s="119"/>
      <c r="IF43" s="119"/>
      <c r="IG43" s="119"/>
      <c r="IH43" s="119"/>
      <c r="II43" s="119"/>
      <c r="IJ43" s="119"/>
      <c r="IK43" s="119"/>
      <c r="IL43" s="119"/>
      <c r="IM43" s="119"/>
      <c r="IN43" s="119"/>
      <c r="IO43" s="119"/>
      <c r="IP43" s="119"/>
      <c r="IQ43" s="119"/>
      <c r="IR43" s="119"/>
      <c r="IS43" s="119"/>
      <c r="IT43" s="119"/>
      <c r="IU43" s="119"/>
      <c r="IV43" s="119"/>
      <c r="IW43" s="119"/>
      <c r="IX43" s="119"/>
      <c r="IY43" s="119"/>
      <c r="IZ43" s="119"/>
      <c r="JA43" s="119"/>
      <c r="JB43" s="119"/>
      <c r="JC43" s="119"/>
      <c r="JD43" s="119"/>
      <c r="JE43" s="119"/>
      <c r="JF43" s="119"/>
      <c r="JG43" s="119"/>
      <c r="JH43" s="119"/>
      <c r="JI43" s="119"/>
      <c r="JJ43" s="119"/>
      <c r="JK43" s="119"/>
      <c r="JL43" s="119"/>
      <c r="JM43" s="119"/>
      <c r="JN43" s="119"/>
      <c r="JO43" s="119"/>
      <c r="JP43" s="119"/>
      <c r="JQ43" s="119"/>
      <c r="JR43" s="119"/>
      <c r="JS43" s="119"/>
      <c r="JT43" s="119"/>
      <c r="JU43" s="119"/>
      <c r="JV43" s="119"/>
      <c r="JW43" s="119"/>
      <c r="JX43" s="119"/>
      <c r="JY43" s="119"/>
      <c r="JZ43" s="119"/>
      <c r="KA43" s="119"/>
      <c r="KB43" s="119"/>
      <c r="KC43" s="119"/>
      <c r="KD43" s="119"/>
      <c r="KE43" s="119"/>
      <c r="KF43" s="119"/>
      <c r="KG43" s="119"/>
      <c r="KH43" s="119"/>
      <c r="KI43" s="119"/>
      <c r="KJ43" s="119"/>
      <c r="KK43" s="119"/>
      <c r="KL43" s="119"/>
      <c r="KM43" s="119"/>
      <c r="KN43" s="119"/>
      <c r="KO43" s="119"/>
      <c r="KP43" s="119"/>
      <c r="KQ43" s="119"/>
      <c r="KR43" s="119"/>
      <c r="KS43" s="119"/>
      <c r="KT43" s="119"/>
      <c r="KU43" s="119"/>
      <c r="KV43" s="119"/>
      <c r="KW43" s="119"/>
      <c r="KX43" s="119"/>
      <c r="KY43" s="119"/>
      <c r="KZ43" s="119"/>
      <c r="LA43" s="119"/>
      <c r="LB43" s="119"/>
      <c r="LC43" s="119"/>
      <c r="LD43" s="119"/>
      <c r="LE43" s="119"/>
      <c r="LF43" s="119"/>
      <c r="LG43" s="119"/>
      <c r="LH43" s="119"/>
      <c r="LI43" s="119"/>
      <c r="LJ43" s="119"/>
      <c r="LK43" s="119"/>
      <c r="LL43" s="119"/>
      <c r="LM43" s="119"/>
      <c r="LN43" s="119"/>
      <c r="LO43" s="119"/>
      <c r="LP43" s="119"/>
      <c r="LQ43" s="119"/>
      <c r="LR43" s="119"/>
      <c r="LS43" s="119"/>
      <c r="LT43" s="119"/>
      <c r="LU43" s="119"/>
      <c r="LV43" s="119"/>
      <c r="LW43" s="119"/>
      <c r="LX43" s="119"/>
      <c r="LY43" s="119"/>
      <c r="LZ43" s="119"/>
      <c r="MA43" s="119"/>
      <c r="MB43" s="119"/>
      <c r="MC43" s="119"/>
      <c r="MD43" s="119"/>
      <c r="ME43" s="119"/>
      <c r="MF43" s="119"/>
      <c r="MG43" s="119"/>
      <c r="MH43" s="119"/>
      <c r="MI43" s="119"/>
      <c r="MJ43" s="119"/>
      <c r="MK43" s="119"/>
      <c r="ML43" s="119"/>
      <c r="MM43" s="119"/>
      <c r="MN43" s="119"/>
      <c r="MO43" s="119"/>
      <c r="MP43" s="119"/>
      <c r="MQ43" s="119"/>
      <c r="MR43" s="119"/>
      <c r="MS43" s="119"/>
      <c r="MT43" s="119"/>
      <c r="MU43" s="119"/>
      <c r="MV43" s="119"/>
      <c r="MW43" s="119"/>
      <c r="MX43" s="119"/>
      <c r="MY43" s="119"/>
      <c r="MZ43" s="119"/>
      <c r="NA43" s="119"/>
      <c r="NB43" s="119"/>
      <c r="NC43" s="119"/>
      <c r="ND43" s="119"/>
      <c r="NE43" s="119"/>
      <c r="NF43" s="119"/>
      <c r="NG43" s="119"/>
      <c r="NH43" s="119"/>
      <c r="NI43" s="119"/>
      <c r="NJ43" s="119"/>
      <c r="NK43" s="119"/>
      <c r="NL43" s="119"/>
      <c r="NM43" s="119"/>
      <c r="NN43" s="119"/>
      <c r="NO43" s="119"/>
      <c r="NP43" s="119"/>
      <c r="NQ43" s="119"/>
      <c r="NR43" s="119"/>
      <c r="NS43" s="119"/>
      <c r="NT43" s="119"/>
      <c r="NU43" s="119"/>
      <c r="NV43" s="119"/>
      <c r="NW43" s="119"/>
      <c r="NX43" s="119"/>
      <c r="NY43" s="119"/>
      <c r="NZ43" s="119"/>
      <c r="OA43" s="119"/>
    </row>
    <row r="44" spans="1:391" s="119" customFormat="1" ht="13.9" customHeight="1" x14ac:dyDescent="0.2">
      <c r="A44" s="500"/>
      <c r="B44" s="146" t="s">
        <v>337</v>
      </c>
      <c r="C44" s="187"/>
      <c r="D44" s="187"/>
      <c r="E44" s="187"/>
      <c r="F44" s="564">
        <f t="shared" ca="1" si="0"/>
        <v>-43388</v>
      </c>
      <c r="G44" s="556"/>
      <c r="H44" s="556"/>
      <c r="I44" s="556"/>
      <c r="J44" s="38" t="str">
        <f ca="1">IF(G44&gt;0,"COMPLETED",(IF(I44&gt;0,"ISSUE IDENTIFIED",(IF(TODAY()&gt;E44,"OVERDUE","In Progress")))))</f>
        <v>OVERDUE</v>
      </c>
      <c r="K44" s="557"/>
    </row>
    <row r="45" spans="1:391" ht="13.9" customHeight="1" x14ac:dyDescent="0.2">
      <c r="A45" s="500"/>
      <c r="B45" s="146" t="s">
        <v>338</v>
      </c>
      <c r="C45" s="187"/>
      <c r="D45" s="187"/>
      <c r="E45" s="187"/>
      <c r="F45" s="564">
        <f t="shared" ca="1" si="0"/>
        <v>-43388</v>
      </c>
      <c r="G45" s="556"/>
      <c r="H45" s="556"/>
      <c r="I45" s="556"/>
      <c r="J45" s="38" t="str">
        <f ca="1">IF(G45&gt;0,"COMPLETED",(IF(I45&gt;0,"ISSUE IDENTIFIED",(IF(TODAY()&gt;E45,"OVERDUE","In Progress")))))</f>
        <v>OVERDUE</v>
      </c>
      <c r="K45" s="557"/>
      <c r="BN45" s="119"/>
      <c r="BO45" s="119"/>
      <c r="BP45" s="119"/>
      <c r="BQ45" s="119"/>
      <c r="BR45" s="119"/>
      <c r="BS45" s="119"/>
      <c r="BT45" s="119"/>
      <c r="BU45" s="119"/>
      <c r="BV45" s="119"/>
      <c r="BW45" s="119"/>
      <c r="BX45" s="119"/>
      <c r="BY45" s="119"/>
      <c r="BZ45" s="119"/>
      <c r="CA45" s="119"/>
      <c r="CB45" s="119"/>
      <c r="CC45" s="119"/>
      <c r="CD45" s="119"/>
      <c r="CE45" s="119"/>
      <c r="CF45" s="119"/>
      <c r="CG45" s="119"/>
      <c r="CH45" s="119"/>
      <c r="CI45" s="119"/>
      <c r="CJ45" s="119"/>
      <c r="CK45" s="119"/>
      <c r="CL45" s="119"/>
      <c r="CM45" s="119"/>
      <c r="CN45" s="119"/>
      <c r="CO45" s="119"/>
      <c r="CP45" s="119"/>
      <c r="CQ45" s="119"/>
      <c r="CR45" s="119"/>
      <c r="CS45" s="119"/>
      <c r="CT45" s="119"/>
      <c r="CU45" s="119"/>
      <c r="CV45" s="119"/>
      <c r="CW45" s="119"/>
      <c r="CX45" s="119"/>
      <c r="CY45" s="119"/>
      <c r="CZ45" s="119"/>
      <c r="DA45" s="119"/>
      <c r="DB45" s="119"/>
      <c r="DC45" s="119"/>
      <c r="DD45" s="119"/>
      <c r="DE45" s="119"/>
      <c r="DF45" s="119"/>
      <c r="DG45" s="119"/>
      <c r="DH45" s="119"/>
      <c r="DI45" s="119"/>
      <c r="DJ45" s="119"/>
      <c r="DK45" s="119"/>
      <c r="DL45" s="119"/>
      <c r="DM45" s="119"/>
      <c r="DN45" s="119"/>
      <c r="DO45" s="119"/>
      <c r="DP45" s="119"/>
      <c r="DQ45" s="119"/>
      <c r="DR45" s="119"/>
      <c r="DS45" s="119"/>
      <c r="DT45" s="119"/>
      <c r="DU45" s="119"/>
      <c r="DV45" s="119"/>
      <c r="DW45" s="119"/>
      <c r="DX45" s="119"/>
      <c r="DY45" s="119"/>
      <c r="DZ45" s="119"/>
      <c r="EA45" s="119"/>
      <c r="EB45" s="119"/>
      <c r="EC45" s="119"/>
      <c r="ED45" s="119"/>
      <c r="EE45" s="119"/>
      <c r="EF45" s="119"/>
      <c r="EG45" s="119"/>
      <c r="EH45" s="119"/>
      <c r="EI45" s="119"/>
      <c r="EJ45" s="119"/>
      <c r="EK45" s="119"/>
      <c r="EL45" s="119"/>
      <c r="EM45" s="119"/>
      <c r="EN45" s="119"/>
      <c r="EO45" s="119"/>
      <c r="EP45" s="119"/>
      <c r="EQ45" s="119"/>
      <c r="ER45" s="119"/>
      <c r="ES45" s="119"/>
      <c r="ET45" s="119"/>
      <c r="EU45" s="119"/>
      <c r="EV45" s="119"/>
      <c r="EW45" s="119"/>
      <c r="EX45" s="119"/>
      <c r="EY45" s="119"/>
      <c r="EZ45" s="119"/>
      <c r="FA45" s="119"/>
      <c r="FB45" s="119"/>
      <c r="FC45" s="119"/>
      <c r="FD45" s="119"/>
      <c r="FE45" s="119"/>
      <c r="FF45" s="119"/>
      <c r="FG45" s="119"/>
      <c r="FH45" s="119"/>
      <c r="FI45" s="119"/>
      <c r="FJ45" s="119"/>
      <c r="FK45" s="119"/>
      <c r="FL45" s="119"/>
      <c r="FM45" s="119"/>
      <c r="FN45" s="119"/>
      <c r="FO45" s="119"/>
      <c r="FP45" s="119"/>
      <c r="FQ45" s="119"/>
      <c r="FR45" s="119"/>
      <c r="FS45" s="119"/>
      <c r="FT45" s="119"/>
      <c r="FU45" s="119"/>
      <c r="FV45" s="119"/>
      <c r="FW45" s="119"/>
      <c r="FX45" s="119"/>
      <c r="FY45" s="119"/>
      <c r="FZ45" s="119"/>
      <c r="GA45" s="119"/>
      <c r="GB45" s="119"/>
      <c r="GC45" s="119"/>
      <c r="GD45" s="119"/>
      <c r="GE45" s="119"/>
      <c r="GF45" s="119"/>
      <c r="GG45" s="119"/>
      <c r="GH45" s="119"/>
      <c r="GI45" s="119"/>
      <c r="GJ45" s="119"/>
      <c r="GK45" s="119"/>
      <c r="GL45" s="119"/>
      <c r="GM45" s="119"/>
      <c r="GN45" s="119"/>
      <c r="GO45" s="119"/>
      <c r="GP45" s="119"/>
      <c r="GQ45" s="119"/>
      <c r="GR45" s="119"/>
      <c r="GS45" s="119"/>
      <c r="GT45" s="119"/>
      <c r="GU45" s="119"/>
      <c r="GV45" s="119"/>
      <c r="GW45" s="119"/>
      <c r="GX45" s="119"/>
      <c r="GY45" s="119"/>
      <c r="GZ45" s="119"/>
      <c r="HA45" s="119"/>
      <c r="HB45" s="119"/>
      <c r="HC45" s="119"/>
      <c r="HD45" s="119"/>
      <c r="HE45" s="119"/>
      <c r="HF45" s="119"/>
      <c r="HG45" s="119"/>
      <c r="HH45" s="119"/>
      <c r="HI45" s="119"/>
      <c r="HJ45" s="119"/>
      <c r="HK45" s="119"/>
      <c r="HL45" s="119"/>
      <c r="HM45" s="119"/>
      <c r="HN45" s="119"/>
      <c r="HO45" s="119"/>
      <c r="HP45" s="119"/>
      <c r="HQ45" s="119"/>
      <c r="HR45" s="119"/>
      <c r="HS45" s="119"/>
      <c r="HT45" s="119"/>
      <c r="HU45" s="119"/>
      <c r="HV45" s="119"/>
      <c r="HW45" s="119"/>
      <c r="HX45" s="119"/>
      <c r="HY45" s="119"/>
      <c r="HZ45" s="119"/>
      <c r="IA45" s="119"/>
      <c r="IB45" s="119"/>
      <c r="IC45" s="119"/>
      <c r="ID45" s="119"/>
      <c r="IE45" s="119"/>
      <c r="IF45" s="119"/>
      <c r="IG45" s="119"/>
      <c r="IH45" s="119"/>
      <c r="II45" s="119"/>
      <c r="IJ45" s="119"/>
      <c r="IK45" s="119"/>
      <c r="IL45" s="119"/>
      <c r="IM45" s="119"/>
      <c r="IN45" s="119"/>
      <c r="IO45" s="119"/>
      <c r="IP45" s="119"/>
      <c r="IQ45" s="119"/>
      <c r="IR45" s="119"/>
      <c r="IS45" s="119"/>
      <c r="IT45" s="119"/>
      <c r="IU45" s="119"/>
      <c r="IV45" s="119"/>
      <c r="IW45" s="119"/>
      <c r="IX45" s="119"/>
      <c r="IY45" s="119"/>
      <c r="IZ45" s="119"/>
      <c r="JA45" s="119"/>
      <c r="JB45" s="119"/>
      <c r="JC45" s="119"/>
      <c r="JD45" s="119"/>
      <c r="JE45" s="119"/>
      <c r="JF45" s="119"/>
      <c r="JG45" s="119"/>
      <c r="JH45" s="119"/>
      <c r="JI45" s="119"/>
      <c r="JJ45" s="119"/>
      <c r="JK45" s="119"/>
      <c r="JL45" s="119"/>
      <c r="JM45" s="119"/>
      <c r="JN45" s="119"/>
      <c r="JO45" s="119"/>
      <c r="JP45" s="119"/>
      <c r="JQ45" s="119"/>
      <c r="JR45" s="119"/>
      <c r="JS45" s="119"/>
      <c r="JT45" s="119"/>
      <c r="JU45" s="119"/>
      <c r="JV45" s="119"/>
      <c r="JW45" s="119"/>
      <c r="JX45" s="119"/>
      <c r="JY45" s="119"/>
      <c r="JZ45" s="119"/>
      <c r="KA45" s="119"/>
      <c r="KB45" s="119"/>
      <c r="KC45" s="119"/>
      <c r="KD45" s="119"/>
      <c r="KE45" s="119"/>
      <c r="KF45" s="119"/>
      <c r="KG45" s="119"/>
      <c r="KH45" s="119"/>
      <c r="KI45" s="119"/>
      <c r="KJ45" s="119"/>
      <c r="KK45" s="119"/>
      <c r="KL45" s="119"/>
      <c r="KM45" s="119"/>
      <c r="KN45" s="119"/>
      <c r="KO45" s="119"/>
      <c r="KP45" s="119"/>
      <c r="KQ45" s="119"/>
      <c r="KR45" s="119"/>
      <c r="KS45" s="119"/>
      <c r="KT45" s="119"/>
      <c r="KU45" s="119"/>
      <c r="KV45" s="119"/>
      <c r="KW45" s="119"/>
      <c r="KX45" s="119"/>
      <c r="KY45" s="119"/>
      <c r="KZ45" s="119"/>
      <c r="LA45" s="119"/>
      <c r="LB45" s="119"/>
      <c r="LC45" s="119"/>
      <c r="LD45" s="119"/>
      <c r="LE45" s="119"/>
      <c r="LF45" s="119"/>
      <c r="LG45" s="119"/>
      <c r="LH45" s="119"/>
      <c r="LI45" s="119"/>
      <c r="LJ45" s="119"/>
      <c r="LK45" s="119"/>
      <c r="LL45" s="119"/>
      <c r="LM45" s="119"/>
      <c r="LN45" s="119"/>
      <c r="LO45" s="119"/>
      <c r="LP45" s="119"/>
      <c r="LQ45" s="119"/>
      <c r="LR45" s="119"/>
      <c r="LS45" s="119"/>
      <c r="LT45" s="119"/>
      <c r="LU45" s="119"/>
      <c r="LV45" s="119"/>
      <c r="LW45" s="119"/>
      <c r="LX45" s="119"/>
      <c r="LY45" s="119"/>
      <c r="LZ45" s="119"/>
      <c r="MA45" s="119"/>
      <c r="MB45" s="119"/>
      <c r="MC45" s="119"/>
      <c r="MD45" s="119"/>
      <c r="ME45" s="119"/>
      <c r="MF45" s="119"/>
      <c r="MG45" s="119"/>
      <c r="MH45" s="119"/>
      <c r="MI45" s="119"/>
      <c r="MJ45" s="119"/>
      <c r="MK45" s="119"/>
      <c r="ML45" s="119"/>
      <c r="MM45" s="119"/>
      <c r="MN45" s="119"/>
      <c r="MO45" s="119"/>
      <c r="MP45" s="119"/>
      <c r="MQ45" s="119"/>
      <c r="MR45" s="119"/>
      <c r="MS45" s="119"/>
      <c r="MT45" s="119"/>
      <c r="MU45" s="119"/>
      <c r="MV45" s="119"/>
      <c r="MW45" s="119"/>
      <c r="MX45" s="119"/>
      <c r="MY45" s="119"/>
      <c r="MZ45" s="119"/>
      <c r="NA45" s="119"/>
      <c r="NB45" s="119"/>
      <c r="NC45" s="119"/>
      <c r="ND45" s="119"/>
      <c r="NE45" s="119"/>
      <c r="NF45" s="119"/>
      <c r="NG45" s="119"/>
      <c r="NH45" s="119"/>
      <c r="NI45" s="119"/>
      <c r="NJ45" s="119"/>
      <c r="NK45" s="119"/>
      <c r="NL45" s="119"/>
      <c r="NM45" s="119"/>
      <c r="NN45" s="119"/>
      <c r="NO45" s="119"/>
      <c r="NP45" s="119"/>
      <c r="NQ45" s="119"/>
      <c r="NR45" s="119"/>
      <c r="NS45" s="119"/>
      <c r="NT45" s="119"/>
      <c r="NU45" s="119"/>
      <c r="NV45" s="119"/>
      <c r="NW45" s="119"/>
      <c r="NX45" s="119"/>
      <c r="NY45" s="119"/>
      <c r="NZ45" s="119"/>
      <c r="OA45" s="119"/>
    </row>
    <row r="46" spans="1:391" s="125" customFormat="1" ht="21.75" customHeight="1" x14ac:dyDescent="0.25">
      <c r="A46" s="542"/>
      <c r="B46" s="550" t="s">
        <v>339</v>
      </c>
      <c r="C46" s="187"/>
      <c r="D46" s="551"/>
      <c r="E46" s="551"/>
      <c r="F46" s="564">
        <f t="shared" ca="1" si="0"/>
        <v>-43388</v>
      </c>
      <c r="G46" s="556"/>
      <c r="H46" s="556"/>
      <c r="I46" s="556"/>
      <c r="J46" s="38" t="str">
        <f ca="1">IF(AND(J47="completed",J48="completed",J49="completed",J50="completed",J51="completed"),"Deliverable Completed","DELIVERABLE STILL IN PROGRESS")</f>
        <v>DELIVERABLE STILL IN PROGRESS</v>
      </c>
      <c r="K46" s="557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24"/>
      <c r="BZ46" s="124"/>
      <c r="CA46" s="124"/>
      <c r="CB46" s="124"/>
      <c r="CC46" s="124"/>
      <c r="CD46" s="124"/>
      <c r="CE46" s="124"/>
      <c r="CF46" s="124"/>
      <c r="CG46" s="124"/>
      <c r="CH46" s="124"/>
      <c r="CI46" s="124"/>
      <c r="CJ46" s="124"/>
      <c r="CK46" s="124"/>
      <c r="CL46" s="124"/>
      <c r="CM46" s="124"/>
      <c r="CN46" s="124"/>
      <c r="CO46" s="124"/>
      <c r="CP46" s="124"/>
      <c r="CQ46" s="124"/>
      <c r="CR46" s="124"/>
      <c r="CS46" s="124"/>
      <c r="CT46" s="124"/>
      <c r="CU46" s="124"/>
      <c r="CV46" s="124"/>
      <c r="CW46" s="124"/>
      <c r="CX46" s="124"/>
      <c r="CY46" s="124"/>
      <c r="CZ46" s="124"/>
      <c r="DA46" s="124"/>
      <c r="DB46" s="124"/>
      <c r="DC46" s="124"/>
      <c r="DD46" s="124"/>
      <c r="DE46" s="124"/>
      <c r="DF46" s="124"/>
      <c r="DG46" s="124"/>
      <c r="DH46" s="124"/>
      <c r="DI46" s="124"/>
      <c r="DJ46" s="124"/>
      <c r="DK46" s="124"/>
      <c r="DL46" s="124"/>
      <c r="DM46" s="124"/>
      <c r="DN46" s="124"/>
      <c r="DO46" s="124"/>
      <c r="DP46" s="124"/>
      <c r="DQ46" s="124"/>
      <c r="DR46" s="124"/>
      <c r="DS46" s="124"/>
      <c r="DT46" s="124"/>
      <c r="DU46" s="124"/>
      <c r="DV46" s="124"/>
      <c r="DW46" s="124"/>
      <c r="DX46" s="124"/>
      <c r="DY46" s="124"/>
      <c r="DZ46" s="124"/>
      <c r="EA46" s="124"/>
      <c r="EB46" s="124"/>
      <c r="EC46" s="124"/>
      <c r="ED46" s="124"/>
      <c r="EE46" s="124"/>
      <c r="EF46" s="124"/>
      <c r="EG46" s="124"/>
      <c r="EH46" s="124"/>
      <c r="EI46" s="124"/>
      <c r="EJ46" s="124"/>
      <c r="EK46" s="124"/>
      <c r="EL46" s="124"/>
      <c r="EM46" s="124"/>
      <c r="EN46" s="124"/>
      <c r="EO46" s="124"/>
      <c r="EP46" s="124"/>
      <c r="EQ46" s="124"/>
      <c r="ER46" s="124"/>
      <c r="ES46" s="124"/>
      <c r="ET46" s="124"/>
      <c r="EU46" s="124"/>
      <c r="EV46" s="124"/>
      <c r="EW46" s="124"/>
      <c r="EX46" s="124"/>
      <c r="EY46" s="124"/>
      <c r="EZ46" s="124"/>
      <c r="FA46" s="124"/>
      <c r="FB46" s="124"/>
      <c r="FC46" s="124"/>
      <c r="FD46" s="124"/>
      <c r="FE46" s="124"/>
      <c r="FF46" s="124"/>
      <c r="FG46" s="124"/>
      <c r="FH46" s="124"/>
      <c r="FI46" s="124"/>
      <c r="FJ46" s="124"/>
      <c r="FK46" s="124"/>
      <c r="FL46" s="124"/>
      <c r="FM46" s="124"/>
      <c r="FN46" s="124"/>
      <c r="FO46" s="124"/>
      <c r="FP46" s="124"/>
      <c r="FQ46" s="124"/>
      <c r="FR46" s="124"/>
      <c r="FS46" s="124"/>
      <c r="FT46" s="124"/>
      <c r="FU46" s="124"/>
      <c r="FV46" s="124"/>
      <c r="FW46" s="124"/>
      <c r="FX46" s="124"/>
      <c r="FY46" s="124"/>
      <c r="FZ46" s="124"/>
      <c r="GA46" s="124"/>
      <c r="GB46" s="124"/>
      <c r="GC46" s="124"/>
      <c r="GD46" s="124"/>
      <c r="GE46" s="124"/>
      <c r="GF46" s="124"/>
      <c r="GG46" s="124"/>
      <c r="GH46" s="124"/>
      <c r="GI46" s="124"/>
      <c r="GJ46" s="124"/>
      <c r="GK46" s="124"/>
      <c r="GL46" s="124"/>
      <c r="GM46" s="124"/>
      <c r="GN46" s="124"/>
      <c r="GO46" s="124"/>
      <c r="GP46" s="124"/>
      <c r="GQ46" s="124"/>
      <c r="GR46" s="124"/>
      <c r="GS46" s="124"/>
      <c r="GT46" s="124"/>
      <c r="GU46" s="124"/>
      <c r="GV46" s="124"/>
      <c r="GW46" s="124"/>
      <c r="GX46" s="124"/>
      <c r="GY46" s="124"/>
      <c r="GZ46" s="124"/>
      <c r="HA46" s="124"/>
      <c r="HB46" s="124"/>
      <c r="HC46" s="124"/>
      <c r="HD46" s="124"/>
      <c r="HE46" s="124"/>
      <c r="HF46" s="124"/>
      <c r="HG46" s="124"/>
      <c r="HH46" s="124"/>
      <c r="HI46" s="124"/>
      <c r="HJ46" s="124"/>
      <c r="HK46" s="124"/>
      <c r="HL46" s="124"/>
      <c r="HM46" s="124"/>
      <c r="HN46" s="124"/>
      <c r="HO46" s="124"/>
      <c r="HP46" s="124"/>
      <c r="HQ46" s="124"/>
      <c r="HR46" s="124"/>
      <c r="HS46" s="124"/>
      <c r="HT46" s="124"/>
      <c r="HU46" s="124"/>
      <c r="HV46" s="124"/>
      <c r="HW46" s="124"/>
      <c r="HX46" s="124"/>
      <c r="HY46" s="124"/>
      <c r="HZ46" s="124"/>
      <c r="IA46" s="124"/>
      <c r="IB46" s="124"/>
      <c r="IC46" s="124"/>
      <c r="ID46" s="124"/>
      <c r="IE46" s="124"/>
      <c r="IF46" s="124"/>
      <c r="IG46" s="124"/>
      <c r="IH46" s="124"/>
      <c r="II46" s="124"/>
      <c r="IJ46" s="124"/>
      <c r="IK46" s="124"/>
      <c r="IL46" s="124"/>
      <c r="IM46" s="124"/>
      <c r="IN46" s="124"/>
      <c r="IO46" s="124"/>
      <c r="IP46" s="124"/>
      <c r="IQ46" s="124"/>
      <c r="IR46" s="124"/>
      <c r="IS46" s="124"/>
      <c r="IT46" s="124"/>
      <c r="IU46" s="124"/>
      <c r="IV46" s="124"/>
      <c r="IW46" s="124"/>
      <c r="IX46" s="124"/>
      <c r="IY46" s="124"/>
      <c r="IZ46" s="124"/>
      <c r="JA46" s="124"/>
      <c r="JB46" s="124"/>
      <c r="JC46" s="124"/>
      <c r="JD46" s="124"/>
      <c r="JE46" s="124"/>
      <c r="JF46" s="124"/>
      <c r="JG46" s="124"/>
      <c r="JH46" s="124"/>
      <c r="JI46" s="124"/>
      <c r="JJ46" s="124"/>
      <c r="JK46" s="124"/>
      <c r="JL46" s="124"/>
      <c r="JM46" s="124"/>
      <c r="JN46" s="124"/>
      <c r="JO46" s="124"/>
      <c r="JP46" s="124"/>
      <c r="JQ46" s="124"/>
      <c r="JR46" s="124"/>
      <c r="JS46" s="124"/>
      <c r="JT46" s="124"/>
      <c r="JU46" s="124"/>
      <c r="JV46" s="124"/>
      <c r="JW46" s="124"/>
      <c r="JX46" s="124"/>
      <c r="JY46" s="124"/>
      <c r="JZ46" s="124"/>
      <c r="KA46" s="124"/>
      <c r="KB46" s="124"/>
      <c r="KC46" s="124"/>
      <c r="KD46" s="124"/>
      <c r="KE46" s="124"/>
      <c r="KF46" s="124"/>
      <c r="KG46" s="124"/>
      <c r="KH46" s="124"/>
      <c r="KI46" s="124"/>
      <c r="KJ46" s="124"/>
      <c r="KK46" s="124"/>
      <c r="KL46" s="124"/>
      <c r="KM46" s="124"/>
      <c r="KN46" s="124"/>
      <c r="KO46" s="124"/>
      <c r="KP46" s="124"/>
      <c r="KQ46" s="124"/>
      <c r="KR46" s="124"/>
      <c r="KS46" s="124"/>
      <c r="KT46" s="124"/>
      <c r="KU46" s="124"/>
      <c r="KV46" s="124"/>
      <c r="KW46" s="124"/>
      <c r="KX46" s="124"/>
      <c r="KY46" s="124"/>
      <c r="KZ46" s="124"/>
      <c r="LA46" s="124"/>
      <c r="LB46" s="124"/>
      <c r="LC46" s="124"/>
      <c r="LD46" s="124"/>
      <c r="LE46" s="124"/>
      <c r="LF46" s="124"/>
      <c r="LG46" s="124"/>
      <c r="LH46" s="124"/>
      <c r="LI46" s="124"/>
      <c r="LJ46" s="124"/>
      <c r="LK46" s="124"/>
      <c r="LL46" s="124"/>
      <c r="LM46" s="124"/>
      <c r="LN46" s="124"/>
      <c r="LO46" s="124"/>
      <c r="LP46" s="124"/>
      <c r="LQ46" s="124"/>
      <c r="LR46" s="124"/>
      <c r="LS46" s="124"/>
      <c r="LT46" s="124"/>
      <c r="LU46" s="124"/>
      <c r="LV46" s="124"/>
      <c r="LW46" s="124"/>
      <c r="LX46" s="124"/>
      <c r="LY46" s="124"/>
      <c r="LZ46" s="124"/>
      <c r="MA46" s="124"/>
      <c r="MB46" s="124"/>
      <c r="MC46" s="124"/>
      <c r="MD46" s="124"/>
      <c r="ME46" s="124"/>
      <c r="MF46" s="124"/>
      <c r="MG46" s="124"/>
      <c r="MH46" s="124"/>
      <c r="MI46" s="124"/>
      <c r="MJ46" s="124"/>
      <c r="MK46" s="124"/>
      <c r="ML46" s="124"/>
      <c r="MM46" s="124"/>
      <c r="MN46" s="124"/>
      <c r="MO46" s="124"/>
      <c r="MP46" s="124"/>
      <c r="MQ46" s="124"/>
      <c r="MR46" s="124"/>
      <c r="MS46" s="124"/>
      <c r="MT46" s="124"/>
      <c r="MU46" s="124"/>
      <c r="MV46" s="124"/>
      <c r="MW46" s="124"/>
      <c r="MX46" s="124"/>
      <c r="MY46" s="124"/>
      <c r="MZ46" s="124"/>
      <c r="NA46" s="124"/>
      <c r="NB46" s="124"/>
      <c r="NC46" s="124"/>
      <c r="ND46" s="124"/>
      <c r="NE46" s="124"/>
      <c r="NF46" s="124"/>
      <c r="NG46" s="124"/>
      <c r="NH46" s="124"/>
      <c r="NI46" s="124"/>
      <c r="NJ46" s="124"/>
      <c r="NK46" s="124"/>
      <c r="NL46" s="124"/>
      <c r="NM46" s="124"/>
      <c r="NN46" s="124"/>
      <c r="NO46" s="124"/>
      <c r="NP46" s="124"/>
      <c r="NQ46" s="124"/>
      <c r="NR46" s="124"/>
      <c r="NS46" s="124"/>
      <c r="NT46" s="124"/>
      <c r="NU46" s="124"/>
      <c r="NV46" s="124"/>
      <c r="NW46" s="124"/>
      <c r="NX46" s="124"/>
      <c r="NY46" s="124"/>
      <c r="NZ46" s="124"/>
      <c r="OA46" s="124"/>
    </row>
    <row r="47" spans="1:391" ht="13.9" customHeight="1" x14ac:dyDescent="0.2">
      <c r="A47" s="500"/>
      <c r="B47" s="548" t="s">
        <v>340</v>
      </c>
      <c r="C47" s="187"/>
      <c r="D47" s="187"/>
      <c r="E47" s="187"/>
      <c r="F47" s="564">
        <f t="shared" ca="1" si="0"/>
        <v>-43388</v>
      </c>
      <c r="G47" s="556"/>
      <c r="H47" s="556"/>
      <c r="I47" s="556"/>
      <c r="J47" s="38" t="str">
        <f ca="1">IF(G47&gt;0,"COMPLETED",(IF(I47&gt;0,"ISSUE IDENTIFIED",(IF(TODAY()&gt;E47,"OVERDUE","In Progress")))))</f>
        <v>OVERDUE</v>
      </c>
      <c r="K47" s="557"/>
      <c r="BN47" s="119"/>
      <c r="BO47" s="119"/>
      <c r="BP47" s="119"/>
      <c r="BQ47" s="119"/>
      <c r="BR47" s="119"/>
      <c r="BS47" s="119"/>
      <c r="BT47" s="119"/>
      <c r="BU47" s="119"/>
      <c r="BV47" s="119"/>
      <c r="BW47" s="119"/>
      <c r="BX47" s="119"/>
      <c r="BY47" s="119"/>
      <c r="BZ47" s="119"/>
      <c r="CA47" s="119"/>
      <c r="CB47" s="119"/>
      <c r="CC47" s="119"/>
      <c r="CD47" s="119"/>
      <c r="CE47" s="119"/>
      <c r="CF47" s="119"/>
      <c r="CG47" s="119"/>
      <c r="CH47" s="119"/>
      <c r="CI47" s="119"/>
      <c r="CJ47" s="119"/>
      <c r="CK47" s="119"/>
      <c r="CL47" s="119"/>
      <c r="CM47" s="119"/>
      <c r="CN47" s="119"/>
      <c r="CO47" s="119"/>
      <c r="CP47" s="119"/>
      <c r="CQ47" s="119"/>
      <c r="CR47" s="119"/>
      <c r="CS47" s="119"/>
      <c r="CT47" s="119"/>
      <c r="CU47" s="119"/>
      <c r="CV47" s="119"/>
      <c r="CW47" s="119"/>
      <c r="CX47" s="119"/>
      <c r="CY47" s="119"/>
      <c r="CZ47" s="119"/>
      <c r="DA47" s="119"/>
      <c r="DB47" s="119"/>
      <c r="DC47" s="119"/>
      <c r="DD47" s="119"/>
      <c r="DE47" s="119"/>
      <c r="DF47" s="119"/>
      <c r="DG47" s="119"/>
      <c r="DH47" s="119"/>
      <c r="DI47" s="119"/>
      <c r="DJ47" s="119"/>
      <c r="DK47" s="119"/>
      <c r="DL47" s="119"/>
      <c r="DM47" s="119"/>
      <c r="DN47" s="119"/>
      <c r="DO47" s="119"/>
      <c r="DP47" s="119"/>
      <c r="DQ47" s="119"/>
      <c r="DR47" s="119"/>
      <c r="DS47" s="119"/>
      <c r="DT47" s="119"/>
      <c r="DU47" s="119"/>
      <c r="DV47" s="119"/>
      <c r="DW47" s="119"/>
      <c r="DX47" s="119"/>
      <c r="DY47" s="119"/>
      <c r="DZ47" s="119"/>
      <c r="EA47" s="119"/>
      <c r="EB47" s="119"/>
      <c r="EC47" s="119"/>
      <c r="ED47" s="119"/>
      <c r="EE47" s="119"/>
      <c r="EF47" s="119"/>
      <c r="EG47" s="119"/>
      <c r="EH47" s="119"/>
      <c r="EI47" s="119"/>
      <c r="EJ47" s="119"/>
      <c r="EK47" s="119"/>
      <c r="EL47" s="119"/>
      <c r="EM47" s="119"/>
      <c r="EN47" s="119"/>
      <c r="EO47" s="119"/>
      <c r="EP47" s="119"/>
      <c r="EQ47" s="119"/>
      <c r="ER47" s="119"/>
      <c r="ES47" s="119"/>
      <c r="ET47" s="119"/>
      <c r="EU47" s="119"/>
      <c r="EV47" s="119"/>
      <c r="EW47" s="119"/>
      <c r="EX47" s="119"/>
      <c r="EY47" s="119"/>
      <c r="EZ47" s="119"/>
      <c r="FA47" s="119"/>
      <c r="FB47" s="119"/>
      <c r="FC47" s="119"/>
      <c r="FD47" s="119"/>
      <c r="FE47" s="119"/>
      <c r="FF47" s="119"/>
      <c r="FG47" s="119"/>
      <c r="FH47" s="119"/>
      <c r="FI47" s="119"/>
      <c r="FJ47" s="119"/>
      <c r="FK47" s="119"/>
      <c r="FL47" s="119"/>
      <c r="FM47" s="119"/>
      <c r="FN47" s="119"/>
      <c r="FO47" s="119"/>
      <c r="FP47" s="119"/>
      <c r="FQ47" s="119"/>
      <c r="FR47" s="119"/>
      <c r="FS47" s="119"/>
      <c r="FT47" s="119"/>
      <c r="FU47" s="119"/>
      <c r="FV47" s="119"/>
      <c r="FW47" s="119"/>
      <c r="FX47" s="119"/>
      <c r="FY47" s="119"/>
      <c r="FZ47" s="119"/>
      <c r="GA47" s="119"/>
      <c r="GB47" s="119"/>
      <c r="GC47" s="119"/>
      <c r="GD47" s="119"/>
      <c r="GE47" s="119"/>
      <c r="GF47" s="119"/>
      <c r="GG47" s="119"/>
      <c r="GH47" s="119"/>
      <c r="GI47" s="119"/>
      <c r="GJ47" s="119"/>
      <c r="GK47" s="119"/>
      <c r="GL47" s="119"/>
      <c r="GM47" s="119"/>
      <c r="GN47" s="119"/>
      <c r="GO47" s="119"/>
      <c r="GP47" s="119"/>
      <c r="GQ47" s="119"/>
      <c r="GR47" s="119"/>
      <c r="GS47" s="119"/>
      <c r="GT47" s="119"/>
      <c r="GU47" s="119"/>
      <c r="GV47" s="119"/>
      <c r="GW47" s="119"/>
      <c r="GX47" s="119"/>
      <c r="GY47" s="119"/>
      <c r="GZ47" s="119"/>
      <c r="HA47" s="119"/>
      <c r="HB47" s="119"/>
      <c r="HC47" s="119"/>
      <c r="HD47" s="119"/>
      <c r="HE47" s="119"/>
      <c r="HF47" s="119"/>
      <c r="HG47" s="119"/>
      <c r="HH47" s="119"/>
      <c r="HI47" s="119"/>
      <c r="HJ47" s="119"/>
      <c r="HK47" s="119"/>
      <c r="HL47" s="119"/>
      <c r="HM47" s="119"/>
      <c r="HN47" s="119"/>
      <c r="HO47" s="119"/>
      <c r="HP47" s="119"/>
      <c r="HQ47" s="119"/>
      <c r="HR47" s="119"/>
      <c r="HS47" s="119"/>
      <c r="HT47" s="119"/>
      <c r="HU47" s="119"/>
      <c r="HV47" s="119"/>
      <c r="HW47" s="119"/>
      <c r="HX47" s="119"/>
      <c r="HY47" s="119"/>
      <c r="HZ47" s="119"/>
      <c r="IA47" s="119"/>
      <c r="IB47" s="119"/>
      <c r="IC47" s="119"/>
      <c r="ID47" s="119"/>
      <c r="IE47" s="119"/>
      <c r="IF47" s="119"/>
      <c r="IG47" s="119"/>
      <c r="IH47" s="119"/>
      <c r="II47" s="119"/>
      <c r="IJ47" s="119"/>
      <c r="IK47" s="119"/>
      <c r="IL47" s="119"/>
      <c r="IM47" s="119"/>
      <c r="IN47" s="119"/>
      <c r="IO47" s="119"/>
      <c r="IP47" s="119"/>
      <c r="IQ47" s="119"/>
      <c r="IR47" s="119"/>
      <c r="IS47" s="119"/>
      <c r="IT47" s="119"/>
      <c r="IU47" s="119"/>
      <c r="IV47" s="119"/>
      <c r="IW47" s="119"/>
      <c r="IX47" s="119"/>
      <c r="IY47" s="119"/>
      <c r="IZ47" s="119"/>
      <c r="JA47" s="119"/>
      <c r="JB47" s="119"/>
      <c r="JC47" s="119"/>
      <c r="JD47" s="119"/>
      <c r="JE47" s="119"/>
      <c r="JF47" s="119"/>
      <c r="JG47" s="119"/>
      <c r="JH47" s="119"/>
      <c r="JI47" s="119"/>
      <c r="JJ47" s="119"/>
      <c r="JK47" s="119"/>
      <c r="JL47" s="119"/>
      <c r="JM47" s="119"/>
      <c r="JN47" s="119"/>
      <c r="JO47" s="119"/>
      <c r="JP47" s="119"/>
      <c r="JQ47" s="119"/>
      <c r="JR47" s="119"/>
      <c r="JS47" s="119"/>
      <c r="JT47" s="119"/>
      <c r="JU47" s="119"/>
      <c r="JV47" s="119"/>
      <c r="JW47" s="119"/>
      <c r="JX47" s="119"/>
      <c r="JY47" s="119"/>
      <c r="JZ47" s="119"/>
      <c r="KA47" s="119"/>
      <c r="KB47" s="119"/>
      <c r="KC47" s="119"/>
      <c r="KD47" s="119"/>
      <c r="KE47" s="119"/>
      <c r="KF47" s="119"/>
      <c r="KG47" s="119"/>
      <c r="KH47" s="119"/>
      <c r="KI47" s="119"/>
      <c r="KJ47" s="119"/>
      <c r="KK47" s="119"/>
      <c r="KL47" s="119"/>
      <c r="KM47" s="119"/>
      <c r="KN47" s="119"/>
      <c r="KO47" s="119"/>
      <c r="KP47" s="119"/>
      <c r="KQ47" s="119"/>
      <c r="KR47" s="119"/>
      <c r="KS47" s="119"/>
      <c r="KT47" s="119"/>
      <c r="KU47" s="119"/>
      <c r="KV47" s="119"/>
      <c r="KW47" s="119"/>
      <c r="KX47" s="119"/>
      <c r="KY47" s="119"/>
      <c r="KZ47" s="119"/>
      <c r="LA47" s="119"/>
      <c r="LB47" s="119"/>
      <c r="LC47" s="119"/>
      <c r="LD47" s="119"/>
      <c r="LE47" s="119"/>
      <c r="LF47" s="119"/>
      <c r="LG47" s="119"/>
      <c r="LH47" s="119"/>
      <c r="LI47" s="119"/>
      <c r="LJ47" s="119"/>
      <c r="LK47" s="119"/>
      <c r="LL47" s="119"/>
      <c r="LM47" s="119"/>
      <c r="LN47" s="119"/>
      <c r="LO47" s="119"/>
      <c r="LP47" s="119"/>
      <c r="LQ47" s="119"/>
      <c r="LR47" s="119"/>
      <c r="LS47" s="119"/>
      <c r="LT47" s="119"/>
      <c r="LU47" s="119"/>
      <c r="LV47" s="119"/>
      <c r="LW47" s="119"/>
      <c r="LX47" s="119"/>
      <c r="LY47" s="119"/>
      <c r="LZ47" s="119"/>
      <c r="MA47" s="119"/>
      <c r="MB47" s="119"/>
      <c r="MC47" s="119"/>
      <c r="MD47" s="119"/>
      <c r="ME47" s="119"/>
      <c r="MF47" s="119"/>
      <c r="MG47" s="119"/>
      <c r="MH47" s="119"/>
      <c r="MI47" s="119"/>
      <c r="MJ47" s="119"/>
      <c r="MK47" s="119"/>
      <c r="ML47" s="119"/>
      <c r="MM47" s="119"/>
      <c r="MN47" s="119"/>
      <c r="MO47" s="119"/>
      <c r="MP47" s="119"/>
      <c r="MQ47" s="119"/>
      <c r="MR47" s="119"/>
      <c r="MS47" s="119"/>
      <c r="MT47" s="119"/>
      <c r="MU47" s="119"/>
      <c r="MV47" s="119"/>
      <c r="MW47" s="119"/>
      <c r="MX47" s="119"/>
      <c r="MY47" s="119"/>
      <c r="MZ47" s="119"/>
      <c r="NA47" s="119"/>
      <c r="NB47" s="119"/>
      <c r="NC47" s="119"/>
      <c r="ND47" s="119"/>
      <c r="NE47" s="119"/>
      <c r="NF47" s="119"/>
      <c r="NG47" s="119"/>
      <c r="NH47" s="119"/>
      <c r="NI47" s="119"/>
      <c r="NJ47" s="119"/>
      <c r="NK47" s="119"/>
      <c r="NL47" s="119"/>
      <c r="NM47" s="119"/>
      <c r="NN47" s="119"/>
      <c r="NO47" s="119"/>
      <c r="NP47" s="119"/>
      <c r="NQ47" s="119"/>
      <c r="NR47" s="119"/>
      <c r="NS47" s="119"/>
      <c r="NT47" s="119"/>
      <c r="NU47" s="119"/>
      <c r="NV47" s="119"/>
      <c r="NW47" s="119"/>
      <c r="NX47" s="119"/>
      <c r="NY47" s="119"/>
      <c r="NZ47" s="119"/>
      <c r="OA47" s="119"/>
    </row>
    <row r="48" spans="1:391" ht="13.9" customHeight="1" x14ac:dyDescent="0.2">
      <c r="A48" s="500"/>
      <c r="B48" s="548" t="s">
        <v>341</v>
      </c>
      <c r="C48" s="187"/>
      <c r="D48" s="187"/>
      <c r="E48" s="187"/>
      <c r="F48" s="564">
        <f t="shared" ca="1" si="0"/>
        <v>-43388</v>
      </c>
      <c r="G48" s="556"/>
      <c r="H48" s="556"/>
      <c r="I48" s="556"/>
      <c r="J48" s="38" t="str">
        <f ca="1">IF(G48&gt;0,"COMPLETED",(IF(I48&gt;0,"ISSUE IDENTIFIED",(IF(TODAY()&gt;E48,"OVERDUE","In Progress")))))</f>
        <v>OVERDUE</v>
      </c>
      <c r="K48" s="557"/>
      <c r="BN48" s="119"/>
      <c r="BO48" s="119"/>
      <c r="BP48" s="119"/>
      <c r="BQ48" s="119"/>
      <c r="BR48" s="119"/>
      <c r="BS48" s="119"/>
      <c r="BT48" s="119"/>
      <c r="BU48" s="119"/>
      <c r="BV48" s="119"/>
      <c r="BW48" s="119"/>
      <c r="BX48" s="119"/>
      <c r="BY48" s="119"/>
      <c r="BZ48" s="119"/>
      <c r="CA48" s="119"/>
      <c r="CB48" s="119"/>
      <c r="CC48" s="119"/>
      <c r="CD48" s="119"/>
      <c r="CE48" s="119"/>
      <c r="CF48" s="119"/>
      <c r="CG48" s="119"/>
      <c r="CH48" s="119"/>
      <c r="CI48" s="119"/>
      <c r="CJ48" s="119"/>
      <c r="CK48" s="119"/>
      <c r="CL48" s="119"/>
      <c r="CM48" s="119"/>
      <c r="CN48" s="119"/>
      <c r="CO48" s="119"/>
      <c r="CP48" s="119"/>
      <c r="CQ48" s="119"/>
      <c r="CR48" s="119"/>
      <c r="CS48" s="119"/>
      <c r="CT48" s="119"/>
      <c r="CU48" s="119"/>
      <c r="CV48" s="119"/>
      <c r="CW48" s="119"/>
      <c r="CX48" s="119"/>
      <c r="CY48" s="119"/>
      <c r="CZ48" s="119"/>
      <c r="DA48" s="119"/>
      <c r="DB48" s="119"/>
      <c r="DC48" s="119"/>
      <c r="DD48" s="119"/>
      <c r="DE48" s="119"/>
      <c r="DF48" s="119"/>
      <c r="DG48" s="119"/>
      <c r="DH48" s="119"/>
      <c r="DI48" s="119"/>
      <c r="DJ48" s="119"/>
      <c r="DK48" s="119"/>
      <c r="DL48" s="119"/>
      <c r="DM48" s="119"/>
      <c r="DN48" s="119"/>
      <c r="DO48" s="119"/>
      <c r="DP48" s="119"/>
      <c r="DQ48" s="119"/>
      <c r="DR48" s="119"/>
      <c r="DS48" s="119"/>
      <c r="DT48" s="119"/>
      <c r="DU48" s="119"/>
      <c r="DV48" s="119"/>
      <c r="DW48" s="119"/>
      <c r="DX48" s="119"/>
      <c r="DY48" s="119"/>
      <c r="DZ48" s="119"/>
      <c r="EA48" s="119"/>
      <c r="EB48" s="119"/>
      <c r="EC48" s="119"/>
      <c r="ED48" s="119"/>
      <c r="EE48" s="119"/>
      <c r="EF48" s="119"/>
      <c r="EG48" s="119"/>
      <c r="EH48" s="119"/>
      <c r="EI48" s="119"/>
      <c r="EJ48" s="119"/>
      <c r="EK48" s="119"/>
      <c r="EL48" s="119"/>
      <c r="EM48" s="119"/>
      <c r="EN48" s="119"/>
      <c r="EO48" s="119"/>
      <c r="EP48" s="119"/>
      <c r="EQ48" s="119"/>
      <c r="ER48" s="119"/>
      <c r="ES48" s="119"/>
      <c r="ET48" s="119"/>
      <c r="EU48" s="119"/>
      <c r="EV48" s="119"/>
      <c r="EW48" s="119"/>
      <c r="EX48" s="119"/>
      <c r="EY48" s="119"/>
      <c r="EZ48" s="119"/>
      <c r="FA48" s="119"/>
      <c r="FB48" s="119"/>
      <c r="FC48" s="119"/>
      <c r="FD48" s="119"/>
      <c r="FE48" s="119"/>
      <c r="FF48" s="119"/>
      <c r="FG48" s="119"/>
      <c r="FH48" s="119"/>
      <c r="FI48" s="119"/>
      <c r="FJ48" s="119"/>
      <c r="FK48" s="119"/>
      <c r="FL48" s="119"/>
      <c r="FM48" s="119"/>
      <c r="FN48" s="119"/>
      <c r="FO48" s="119"/>
      <c r="FP48" s="119"/>
      <c r="FQ48" s="119"/>
      <c r="FR48" s="119"/>
      <c r="FS48" s="119"/>
      <c r="FT48" s="119"/>
      <c r="FU48" s="119"/>
      <c r="FV48" s="119"/>
      <c r="FW48" s="119"/>
      <c r="FX48" s="119"/>
      <c r="FY48" s="119"/>
      <c r="FZ48" s="119"/>
      <c r="GA48" s="119"/>
      <c r="GB48" s="119"/>
      <c r="GC48" s="119"/>
      <c r="GD48" s="119"/>
      <c r="GE48" s="119"/>
      <c r="GF48" s="119"/>
      <c r="GG48" s="119"/>
      <c r="GH48" s="119"/>
      <c r="GI48" s="119"/>
      <c r="GJ48" s="119"/>
      <c r="GK48" s="119"/>
      <c r="GL48" s="119"/>
      <c r="GM48" s="119"/>
      <c r="GN48" s="119"/>
      <c r="GO48" s="119"/>
      <c r="GP48" s="119"/>
      <c r="GQ48" s="119"/>
      <c r="GR48" s="119"/>
      <c r="GS48" s="119"/>
      <c r="GT48" s="119"/>
      <c r="GU48" s="119"/>
      <c r="GV48" s="119"/>
      <c r="GW48" s="119"/>
      <c r="GX48" s="119"/>
      <c r="GY48" s="119"/>
      <c r="GZ48" s="119"/>
      <c r="HA48" s="119"/>
      <c r="HB48" s="119"/>
      <c r="HC48" s="119"/>
      <c r="HD48" s="119"/>
      <c r="HE48" s="119"/>
      <c r="HF48" s="119"/>
      <c r="HG48" s="119"/>
      <c r="HH48" s="119"/>
      <c r="HI48" s="119"/>
      <c r="HJ48" s="119"/>
      <c r="HK48" s="119"/>
      <c r="HL48" s="119"/>
      <c r="HM48" s="119"/>
      <c r="HN48" s="119"/>
      <c r="HO48" s="119"/>
      <c r="HP48" s="119"/>
      <c r="HQ48" s="119"/>
      <c r="HR48" s="119"/>
      <c r="HS48" s="119"/>
      <c r="HT48" s="119"/>
      <c r="HU48" s="119"/>
      <c r="HV48" s="119"/>
      <c r="HW48" s="119"/>
      <c r="HX48" s="119"/>
      <c r="HY48" s="119"/>
      <c r="HZ48" s="119"/>
      <c r="IA48" s="119"/>
      <c r="IB48" s="119"/>
      <c r="IC48" s="119"/>
      <c r="ID48" s="119"/>
      <c r="IE48" s="119"/>
      <c r="IF48" s="119"/>
      <c r="IG48" s="119"/>
      <c r="IH48" s="119"/>
      <c r="II48" s="119"/>
      <c r="IJ48" s="119"/>
      <c r="IK48" s="119"/>
      <c r="IL48" s="119"/>
      <c r="IM48" s="119"/>
      <c r="IN48" s="119"/>
      <c r="IO48" s="119"/>
      <c r="IP48" s="119"/>
      <c r="IQ48" s="119"/>
      <c r="IR48" s="119"/>
      <c r="IS48" s="119"/>
      <c r="IT48" s="119"/>
      <c r="IU48" s="119"/>
      <c r="IV48" s="119"/>
      <c r="IW48" s="119"/>
      <c r="IX48" s="119"/>
      <c r="IY48" s="119"/>
      <c r="IZ48" s="119"/>
      <c r="JA48" s="119"/>
      <c r="JB48" s="119"/>
      <c r="JC48" s="119"/>
      <c r="JD48" s="119"/>
      <c r="JE48" s="119"/>
      <c r="JF48" s="119"/>
      <c r="JG48" s="119"/>
      <c r="JH48" s="119"/>
      <c r="JI48" s="119"/>
      <c r="JJ48" s="119"/>
      <c r="JK48" s="119"/>
      <c r="JL48" s="119"/>
      <c r="JM48" s="119"/>
      <c r="JN48" s="119"/>
      <c r="JO48" s="119"/>
      <c r="JP48" s="119"/>
      <c r="JQ48" s="119"/>
      <c r="JR48" s="119"/>
      <c r="JS48" s="119"/>
      <c r="JT48" s="119"/>
      <c r="JU48" s="119"/>
      <c r="JV48" s="119"/>
      <c r="JW48" s="119"/>
      <c r="JX48" s="119"/>
      <c r="JY48" s="119"/>
      <c r="JZ48" s="119"/>
      <c r="KA48" s="119"/>
      <c r="KB48" s="119"/>
      <c r="KC48" s="119"/>
      <c r="KD48" s="119"/>
      <c r="KE48" s="119"/>
      <c r="KF48" s="119"/>
      <c r="KG48" s="119"/>
      <c r="KH48" s="119"/>
      <c r="KI48" s="119"/>
      <c r="KJ48" s="119"/>
      <c r="KK48" s="119"/>
      <c r="KL48" s="119"/>
      <c r="KM48" s="119"/>
      <c r="KN48" s="119"/>
      <c r="KO48" s="119"/>
      <c r="KP48" s="119"/>
      <c r="KQ48" s="119"/>
      <c r="KR48" s="119"/>
      <c r="KS48" s="119"/>
      <c r="KT48" s="119"/>
      <c r="KU48" s="119"/>
      <c r="KV48" s="119"/>
      <c r="KW48" s="119"/>
      <c r="KX48" s="119"/>
      <c r="KY48" s="119"/>
      <c r="KZ48" s="119"/>
      <c r="LA48" s="119"/>
      <c r="LB48" s="119"/>
      <c r="LC48" s="119"/>
      <c r="LD48" s="119"/>
      <c r="LE48" s="119"/>
      <c r="LF48" s="119"/>
      <c r="LG48" s="119"/>
      <c r="LH48" s="119"/>
      <c r="LI48" s="119"/>
      <c r="LJ48" s="119"/>
      <c r="LK48" s="119"/>
      <c r="LL48" s="119"/>
      <c r="LM48" s="119"/>
      <c r="LN48" s="119"/>
      <c r="LO48" s="119"/>
      <c r="LP48" s="119"/>
      <c r="LQ48" s="119"/>
      <c r="LR48" s="119"/>
      <c r="LS48" s="119"/>
      <c r="LT48" s="119"/>
      <c r="LU48" s="119"/>
      <c r="LV48" s="119"/>
      <c r="LW48" s="119"/>
      <c r="LX48" s="119"/>
      <c r="LY48" s="119"/>
      <c r="LZ48" s="119"/>
      <c r="MA48" s="119"/>
      <c r="MB48" s="119"/>
      <c r="MC48" s="119"/>
      <c r="MD48" s="119"/>
      <c r="ME48" s="119"/>
      <c r="MF48" s="119"/>
      <c r="MG48" s="119"/>
      <c r="MH48" s="119"/>
      <c r="MI48" s="119"/>
      <c r="MJ48" s="119"/>
      <c r="MK48" s="119"/>
      <c r="ML48" s="119"/>
      <c r="MM48" s="119"/>
      <c r="MN48" s="119"/>
      <c r="MO48" s="119"/>
      <c r="MP48" s="119"/>
      <c r="MQ48" s="119"/>
      <c r="MR48" s="119"/>
      <c r="MS48" s="119"/>
      <c r="MT48" s="119"/>
      <c r="MU48" s="119"/>
      <c r="MV48" s="119"/>
      <c r="MW48" s="119"/>
      <c r="MX48" s="119"/>
      <c r="MY48" s="119"/>
      <c r="MZ48" s="119"/>
      <c r="NA48" s="119"/>
      <c r="NB48" s="119"/>
      <c r="NC48" s="119"/>
      <c r="ND48" s="119"/>
      <c r="NE48" s="119"/>
      <c r="NF48" s="119"/>
      <c r="NG48" s="119"/>
      <c r="NH48" s="119"/>
      <c r="NI48" s="119"/>
      <c r="NJ48" s="119"/>
      <c r="NK48" s="119"/>
      <c r="NL48" s="119"/>
      <c r="NM48" s="119"/>
      <c r="NN48" s="119"/>
      <c r="NO48" s="119"/>
      <c r="NP48" s="119"/>
      <c r="NQ48" s="119"/>
      <c r="NR48" s="119"/>
      <c r="NS48" s="119"/>
      <c r="NT48" s="119"/>
      <c r="NU48" s="119"/>
      <c r="NV48" s="119"/>
      <c r="NW48" s="119"/>
      <c r="NX48" s="119"/>
      <c r="NY48" s="119"/>
      <c r="NZ48" s="119"/>
      <c r="OA48" s="119"/>
    </row>
    <row r="49" spans="1:391" s="121" customFormat="1" ht="13.9" customHeight="1" x14ac:dyDescent="0.2">
      <c r="A49" s="500"/>
      <c r="B49" s="548" t="s">
        <v>342</v>
      </c>
      <c r="C49" s="187"/>
      <c r="D49" s="187"/>
      <c r="E49" s="187"/>
      <c r="F49" s="564">
        <f t="shared" ca="1" si="0"/>
        <v>-43388</v>
      </c>
      <c r="G49" s="556"/>
      <c r="H49" s="556"/>
      <c r="I49" s="556"/>
      <c r="J49" s="38" t="str">
        <f ca="1">IF(G49&gt;0,"COMPLETED",(IF(I49&gt;0,"ISSUE IDENTIFIED",(IF(TODAY()&gt;E49,"OVERDUE","In Progress")))))</f>
        <v>OVERDUE</v>
      </c>
      <c r="K49" s="557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119"/>
      <c r="BE49" s="119"/>
      <c r="BF49" s="119"/>
      <c r="BG49" s="119"/>
      <c r="BH49" s="119"/>
      <c r="BI49" s="119"/>
      <c r="BJ49" s="119"/>
      <c r="BK49" s="119"/>
      <c r="BL49" s="119"/>
      <c r="BM49" s="119"/>
      <c r="BN49" s="119"/>
      <c r="BO49" s="119"/>
      <c r="BP49" s="119"/>
      <c r="BQ49" s="119"/>
      <c r="BR49" s="119"/>
      <c r="BS49" s="119"/>
      <c r="BT49" s="119"/>
      <c r="BU49" s="119"/>
      <c r="BV49" s="119"/>
      <c r="BW49" s="119"/>
      <c r="BX49" s="119"/>
      <c r="BY49" s="119"/>
      <c r="BZ49" s="119"/>
      <c r="CA49" s="119"/>
      <c r="CB49" s="119"/>
      <c r="CC49" s="119"/>
      <c r="CD49" s="119"/>
      <c r="CE49" s="119"/>
      <c r="CF49" s="119"/>
      <c r="CG49" s="119"/>
      <c r="CH49" s="119"/>
      <c r="CI49" s="119"/>
      <c r="CJ49" s="119"/>
      <c r="CK49" s="119"/>
      <c r="CL49" s="119"/>
      <c r="CM49" s="119"/>
      <c r="CN49" s="119"/>
      <c r="CO49" s="119"/>
      <c r="CP49" s="119"/>
      <c r="CQ49" s="119"/>
      <c r="CR49" s="119"/>
      <c r="CS49" s="119"/>
      <c r="CT49" s="119"/>
      <c r="CU49" s="119"/>
      <c r="CV49" s="119"/>
      <c r="CW49" s="119"/>
      <c r="CX49" s="119"/>
      <c r="CY49" s="119"/>
      <c r="CZ49" s="119"/>
      <c r="DA49" s="119"/>
      <c r="DB49" s="119"/>
      <c r="DC49" s="119"/>
      <c r="DD49" s="119"/>
      <c r="DE49" s="119"/>
      <c r="DF49" s="119"/>
      <c r="DG49" s="119"/>
      <c r="DH49" s="119"/>
      <c r="DI49" s="119"/>
      <c r="DJ49" s="119"/>
      <c r="DK49" s="119"/>
      <c r="DL49" s="119"/>
      <c r="DM49" s="119"/>
      <c r="DN49" s="119"/>
      <c r="DO49" s="119"/>
      <c r="DP49" s="119"/>
      <c r="DQ49" s="119"/>
      <c r="DR49" s="119"/>
      <c r="DS49" s="119"/>
      <c r="DT49" s="119"/>
      <c r="DU49" s="119"/>
      <c r="DV49" s="119"/>
      <c r="DW49" s="119"/>
      <c r="DX49" s="119"/>
      <c r="DY49" s="119"/>
      <c r="DZ49" s="119"/>
      <c r="EA49" s="119"/>
      <c r="EB49" s="119"/>
      <c r="EC49" s="119"/>
      <c r="ED49" s="119"/>
      <c r="EE49" s="119"/>
      <c r="EF49" s="119"/>
      <c r="EG49" s="119"/>
      <c r="EH49" s="119"/>
      <c r="EI49" s="119"/>
      <c r="EJ49" s="119"/>
      <c r="EK49" s="119"/>
      <c r="EL49" s="119"/>
      <c r="EM49" s="119"/>
      <c r="EN49" s="119"/>
      <c r="EO49" s="119"/>
      <c r="EP49" s="119"/>
      <c r="EQ49" s="119"/>
      <c r="ER49" s="119"/>
      <c r="ES49" s="119"/>
      <c r="ET49" s="119"/>
      <c r="EU49" s="119"/>
      <c r="EV49" s="119"/>
      <c r="EW49" s="119"/>
      <c r="EX49" s="119"/>
      <c r="EY49" s="119"/>
      <c r="EZ49" s="119"/>
      <c r="FA49" s="119"/>
      <c r="FB49" s="119"/>
      <c r="FC49" s="119"/>
      <c r="FD49" s="119"/>
      <c r="FE49" s="119"/>
      <c r="FF49" s="119"/>
      <c r="FG49" s="119"/>
      <c r="FH49" s="119"/>
      <c r="FI49" s="119"/>
      <c r="FJ49" s="119"/>
      <c r="FK49" s="119"/>
      <c r="FL49" s="119"/>
      <c r="FM49" s="119"/>
      <c r="FN49" s="119"/>
      <c r="FO49" s="119"/>
      <c r="FP49" s="119"/>
      <c r="FQ49" s="119"/>
      <c r="FR49" s="119"/>
      <c r="FS49" s="119"/>
      <c r="FT49" s="119"/>
      <c r="FU49" s="119"/>
      <c r="FV49" s="119"/>
      <c r="FW49" s="119"/>
      <c r="FX49" s="119"/>
      <c r="FY49" s="119"/>
      <c r="FZ49" s="119"/>
      <c r="GA49" s="119"/>
      <c r="GB49" s="119"/>
      <c r="GC49" s="119"/>
      <c r="GD49" s="119"/>
      <c r="GE49" s="119"/>
      <c r="GF49" s="119"/>
      <c r="GG49" s="119"/>
      <c r="GH49" s="119"/>
      <c r="GI49" s="119"/>
      <c r="GJ49" s="119"/>
      <c r="GK49" s="119"/>
      <c r="GL49" s="119"/>
      <c r="GM49" s="119"/>
      <c r="GN49" s="119"/>
      <c r="GO49" s="119"/>
      <c r="GP49" s="119"/>
      <c r="GQ49" s="119"/>
      <c r="GR49" s="119"/>
      <c r="GS49" s="119"/>
      <c r="GT49" s="119"/>
      <c r="GU49" s="119"/>
      <c r="GV49" s="119"/>
      <c r="GW49" s="119"/>
      <c r="GX49" s="119"/>
      <c r="GY49" s="119"/>
      <c r="GZ49" s="119"/>
      <c r="HA49" s="119"/>
      <c r="HB49" s="119"/>
      <c r="HC49" s="119"/>
      <c r="HD49" s="119"/>
      <c r="HE49" s="119"/>
      <c r="HF49" s="119"/>
      <c r="HG49" s="119"/>
      <c r="HH49" s="119"/>
      <c r="HI49" s="119"/>
      <c r="HJ49" s="119"/>
      <c r="HK49" s="119"/>
      <c r="HL49" s="119"/>
      <c r="HM49" s="119"/>
      <c r="HN49" s="119"/>
      <c r="HO49" s="119"/>
      <c r="HP49" s="119"/>
      <c r="HQ49" s="119"/>
      <c r="HR49" s="119"/>
      <c r="HS49" s="119"/>
      <c r="HT49" s="119"/>
      <c r="HU49" s="119"/>
      <c r="HV49" s="119"/>
      <c r="HW49" s="119"/>
      <c r="HX49" s="119"/>
      <c r="HY49" s="119"/>
      <c r="HZ49" s="119"/>
      <c r="IA49" s="119"/>
      <c r="IB49" s="119"/>
      <c r="IC49" s="119"/>
      <c r="ID49" s="119"/>
      <c r="IE49" s="119"/>
      <c r="IF49" s="119"/>
      <c r="IG49" s="119"/>
      <c r="IH49" s="119"/>
      <c r="II49" s="119"/>
      <c r="IJ49" s="119"/>
      <c r="IK49" s="119"/>
      <c r="IL49" s="119"/>
      <c r="IM49" s="119"/>
      <c r="IN49" s="119"/>
      <c r="IO49" s="119"/>
      <c r="IP49" s="119"/>
      <c r="IQ49" s="119"/>
      <c r="IR49" s="119"/>
      <c r="IS49" s="119"/>
      <c r="IT49" s="119"/>
      <c r="IU49" s="119"/>
      <c r="IV49" s="119"/>
      <c r="IW49" s="119"/>
      <c r="IX49" s="119"/>
      <c r="IY49" s="119"/>
      <c r="IZ49" s="119"/>
      <c r="JA49" s="119"/>
      <c r="JB49" s="119"/>
      <c r="JC49" s="119"/>
      <c r="JD49" s="119"/>
      <c r="JE49" s="119"/>
      <c r="JF49" s="119"/>
      <c r="JG49" s="119"/>
      <c r="JH49" s="119"/>
      <c r="JI49" s="119"/>
      <c r="JJ49" s="119"/>
      <c r="JK49" s="119"/>
      <c r="JL49" s="119"/>
      <c r="JM49" s="119"/>
      <c r="JN49" s="119"/>
      <c r="JO49" s="119"/>
      <c r="JP49" s="119"/>
      <c r="JQ49" s="119"/>
      <c r="JR49" s="119"/>
      <c r="JS49" s="119"/>
      <c r="JT49" s="119"/>
      <c r="JU49" s="119"/>
      <c r="JV49" s="119"/>
      <c r="JW49" s="119"/>
      <c r="JX49" s="119"/>
      <c r="JY49" s="119"/>
      <c r="JZ49" s="119"/>
      <c r="KA49" s="119"/>
      <c r="KB49" s="119"/>
      <c r="KC49" s="119"/>
      <c r="KD49" s="119"/>
      <c r="KE49" s="119"/>
      <c r="KF49" s="119"/>
      <c r="KG49" s="119"/>
      <c r="KH49" s="119"/>
      <c r="KI49" s="119"/>
      <c r="KJ49" s="119"/>
      <c r="KK49" s="119"/>
      <c r="KL49" s="119"/>
      <c r="KM49" s="119"/>
      <c r="KN49" s="119"/>
      <c r="KO49" s="119"/>
      <c r="KP49" s="119"/>
      <c r="KQ49" s="119"/>
      <c r="KR49" s="119"/>
      <c r="KS49" s="119"/>
      <c r="KT49" s="119"/>
      <c r="KU49" s="119"/>
      <c r="KV49" s="119"/>
      <c r="KW49" s="119"/>
      <c r="KX49" s="119"/>
      <c r="KY49" s="119"/>
      <c r="KZ49" s="119"/>
      <c r="LA49" s="119"/>
      <c r="LB49" s="119"/>
      <c r="LC49" s="119"/>
      <c r="LD49" s="119"/>
      <c r="LE49" s="119"/>
      <c r="LF49" s="119"/>
      <c r="LG49" s="119"/>
      <c r="LH49" s="119"/>
      <c r="LI49" s="119"/>
      <c r="LJ49" s="119"/>
      <c r="LK49" s="119"/>
      <c r="LL49" s="119"/>
      <c r="LM49" s="119"/>
      <c r="LN49" s="119"/>
      <c r="LO49" s="119"/>
      <c r="LP49" s="119"/>
      <c r="LQ49" s="119"/>
      <c r="LR49" s="119"/>
      <c r="LS49" s="119"/>
      <c r="LT49" s="119"/>
      <c r="LU49" s="119"/>
      <c r="LV49" s="119"/>
      <c r="LW49" s="119"/>
      <c r="LX49" s="119"/>
      <c r="LY49" s="119"/>
      <c r="LZ49" s="119"/>
      <c r="MA49" s="119"/>
      <c r="MB49" s="119"/>
      <c r="MC49" s="119"/>
      <c r="MD49" s="119"/>
      <c r="ME49" s="119"/>
      <c r="MF49" s="119"/>
      <c r="MG49" s="119"/>
      <c r="MH49" s="119"/>
      <c r="MI49" s="119"/>
      <c r="MJ49" s="119"/>
      <c r="MK49" s="119"/>
      <c r="ML49" s="119"/>
      <c r="MM49" s="119"/>
      <c r="MN49" s="119"/>
      <c r="MO49" s="119"/>
      <c r="MP49" s="119"/>
      <c r="MQ49" s="119"/>
      <c r="MR49" s="119"/>
      <c r="MS49" s="119"/>
      <c r="MT49" s="119"/>
      <c r="MU49" s="119"/>
      <c r="MV49" s="119"/>
      <c r="MW49" s="119"/>
      <c r="MX49" s="119"/>
      <c r="MY49" s="119"/>
      <c r="MZ49" s="119"/>
      <c r="NA49" s="119"/>
      <c r="NB49" s="119"/>
      <c r="NC49" s="119"/>
      <c r="ND49" s="119"/>
      <c r="NE49" s="119"/>
      <c r="NF49" s="119"/>
      <c r="NG49" s="119"/>
      <c r="NH49" s="119"/>
      <c r="NI49" s="119"/>
      <c r="NJ49" s="119"/>
      <c r="NK49" s="119"/>
      <c r="NL49" s="119"/>
      <c r="NM49" s="119"/>
      <c r="NN49" s="119"/>
      <c r="NO49" s="119"/>
      <c r="NP49" s="119"/>
      <c r="NQ49" s="119"/>
      <c r="NR49" s="119"/>
      <c r="NS49" s="119"/>
      <c r="NT49" s="119"/>
      <c r="NU49" s="119"/>
      <c r="NV49" s="119"/>
      <c r="NW49" s="119"/>
      <c r="NX49" s="119"/>
      <c r="NY49" s="119"/>
      <c r="NZ49" s="119"/>
      <c r="OA49" s="119"/>
    </row>
    <row r="50" spans="1:391" s="119" customFormat="1" ht="13.9" customHeight="1" x14ac:dyDescent="0.2">
      <c r="A50" s="500"/>
      <c r="B50" s="548" t="s">
        <v>343</v>
      </c>
      <c r="C50" s="187"/>
      <c r="D50" s="187"/>
      <c r="E50" s="187"/>
      <c r="F50" s="564">
        <f t="shared" ca="1" si="0"/>
        <v>-43388</v>
      </c>
      <c r="G50" s="556"/>
      <c r="H50" s="556"/>
      <c r="I50" s="556"/>
      <c r="J50" s="38" t="str">
        <f ca="1">IF(G50&gt;0,"COMPLETED",(IF(I50&gt;0,"ISSUE IDENTIFIED",(IF(TODAY()&gt;E50,"OVERDUE","In Progress")))))</f>
        <v>OVERDUE</v>
      </c>
      <c r="K50" s="557"/>
    </row>
    <row r="51" spans="1:391" ht="13.9" customHeight="1" x14ac:dyDescent="0.2">
      <c r="A51" s="500"/>
      <c r="B51" s="548" t="s">
        <v>344</v>
      </c>
      <c r="C51" s="187"/>
      <c r="D51" s="187"/>
      <c r="E51" s="185"/>
      <c r="F51" s="564">
        <f t="shared" ca="1" si="0"/>
        <v>-43388</v>
      </c>
      <c r="G51" s="556"/>
      <c r="H51" s="556"/>
      <c r="I51" s="556"/>
      <c r="J51" s="38" t="str">
        <f ca="1">IF(G51&gt;0,"COMPLETED",(IF(I51&gt;0,"ISSUE IDENTIFIED",(IF(TODAY()&gt;E51,"OVERDUE","In Progress")))))</f>
        <v>OVERDUE</v>
      </c>
      <c r="K51" s="557"/>
      <c r="BN51" s="119"/>
      <c r="BO51" s="119"/>
      <c r="BP51" s="119"/>
      <c r="BQ51" s="119"/>
      <c r="BR51" s="119"/>
      <c r="BS51" s="119"/>
      <c r="BT51" s="119"/>
      <c r="BU51" s="119"/>
      <c r="BV51" s="119"/>
      <c r="BW51" s="119"/>
      <c r="BX51" s="119"/>
      <c r="BY51" s="119"/>
      <c r="BZ51" s="119"/>
      <c r="CA51" s="119"/>
      <c r="CB51" s="119"/>
      <c r="CC51" s="119"/>
      <c r="CD51" s="119"/>
      <c r="CE51" s="119"/>
      <c r="CF51" s="119"/>
      <c r="CG51" s="119"/>
      <c r="CH51" s="119"/>
      <c r="CI51" s="119"/>
      <c r="CJ51" s="119"/>
      <c r="CK51" s="119"/>
      <c r="CL51" s="119"/>
      <c r="CM51" s="119"/>
      <c r="CN51" s="119"/>
      <c r="CO51" s="119"/>
      <c r="CP51" s="119"/>
      <c r="CQ51" s="119"/>
      <c r="CR51" s="119"/>
      <c r="CS51" s="119"/>
      <c r="CT51" s="119"/>
      <c r="CU51" s="119"/>
      <c r="CV51" s="119"/>
      <c r="CW51" s="119"/>
      <c r="CX51" s="119"/>
      <c r="CY51" s="119"/>
      <c r="CZ51" s="119"/>
      <c r="DA51" s="119"/>
      <c r="DB51" s="119"/>
      <c r="DC51" s="119"/>
      <c r="DD51" s="119"/>
      <c r="DE51" s="119"/>
      <c r="DF51" s="119"/>
      <c r="DG51" s="119"/>
      <c r="DH51" s="119"/>
      <c r="DI51" s="119"/>
      <c r="DJ51" s="119"/>
      <c r="DK51" s="119"/>
      <c r="DL51" s="119"/>
      <c r="DM51" s="119"/>
      <c r="DN51" s="119"/>
      <c r="DO51" s="119"/>
      <c r="DP51" s="119"/>
      <c r="DQ51" s="119"/>
      <c r="DR51" s="119"/>
      <c r="DS51" s="119"/>
      <c r="DT51" s="119"/>
      <c r="DU51" s="119"/>
      <c r="DV51" s="119"/>
      <c r="DW51" s="119"/>
      <c r="DX51" s="119"/>
      <c r="DY51" s="119"/>
      <c r="DZ51" s="119"/>
      <c r="EA51" s="119"/>
      <c r="EB51" s="119"/>
      <c r="EC51" s="119"/>
      <c r="ED51" s="119"/>
      <c r="EE51" s="119"/>
      <c r="EF51" s="119"/>
      <c r="EG51" s="119"/>
      <c r="EH51" s="119"/>
      <c r="EI51" s="119"/>
      <c r="EJ51" s="119"/>
      <c r="EK51" s="119"/>
      <c r="EL51" s="119"/>
      <c r="EM51" s="119"/>
      <c r="EN51" s="119"/>
      <c r="EO51" s="119"/>
      <c r="EP51" s="119"/>
      <c r="EQ51" s="119"/>
      <c r="ER51" s="119"/>
      <c r="ES51" s="119"/>
      <c r="ET51" s="119"/>
      <c r="EU51" s="119"/>
      <c r="EV51" s="119"/>
      <c r="EW51" s="119"/>
      <c r="EX51" s="119"/>
      <c r="EY51" s="119"/>
      <c r="EZ51" s="119"/>
      <c r="FA51" s="119"/>
      <c r="FB51" s="119"/>
      <c r="FC51" s="119"/>
      <c r="FD51" s="119"/>
      <c r="FE51" s="119"/>
      <c r="FF51" s="119"/>
      <c r="FG51" s="119"/>
      <c r="FH51" s="119"/>
      <c r="FI51" s="119"/>
      <c r="FJ51" s="119"/>
      <c r="FK51" s="119"/>
      <c r="FL51" s="119"/>
      <c r="FM51" s="119"/>
      <c r="FN51" s="119"/>
      <c r="FO51" s="119"/>
      <c r="FP51" s="119"/>
      <c r="FQ51" s="119"/>
      <c r="FR51" s="119"/>
      <c r="FS51" s="119"/>
      <c r="FT51" s="119"/>
      <c r="FU51" s="119"/>
      <c r="FV51" s="119"/>
      <c r="FW51" s="119"/>
      <c r="FX51" s="119"/>
      <c r="FY51" s="119"/>
      <c r="FZ51" s="119"/>
      <c r="GA51" s="119"/>
      <c r="GB51" s="119"/>
      <c r="GC51" s="119"/>
      <c r="GD51" s="119"/>
      <c r="GE51" s="119"/>
      <c r="GF51" s="119"/>
      <c r="GG51" s="119"/>
      <c r="GH51" s="119"/>
      <c r="GI51" s="119"/>
      <c r="GJ51" s="119"/>
      <c r="GK51" s="119"/>
      <c r="GL51" s="119"/>
      <c r="GM51" s="119"/>
      <c r="GN51" s="119"/>
      <c r="GO51" s="119"/>
      <c r="GP51" s="119"/>
      <c r="GQ51" s="119"/>
      <c r="GR51" s="119"/>
      <c r="GS51" s="119"/>
      <c r="GT51" s="119"/>
      <c r="GU51" s="119"/>
      <c r="GV51" s="119"/>
      <c r="GW51" s="119"/>
      <c r="GX51" s="119"/>
      <c r="GY51" s="119"/>
      <c r="GZ51" s="119"/>
      <c r="HA51" s="119"/>
      <c r="HB51" s="119"/>
      <c r="HC51" s="119"/>
      <c r="HD51" s="119"/>
      <c r="HE51" s="119"/>
      <c r="HF51" s="119"/>
      <c r="HG51" s="119"/>
      <c r="HH51" s="119"/>
      <c r="HI51" s="119"/>
      <c r="HJ51" s="119"/>
      <c r="HK51" s="119"/>
      <c r="HL51" s="119"/>
      <c r="HM51" s="119"/>
      <c r="HN51" s="119"/>
      <c r="HO51" s="119"/>
      <c r="HP51" s="119"/>
      <c r="HQ51" s="119"/>
      <c r="HR51" s="119"/>
      <c r="HS51" s="119"/>
      <c r="HT51" s="119"/>
      <c r="HU51" s="119"/>
      <c r="HV51" s="119"/>
      <c r="HW51" s="119"/>
      <c r="HX51" s="119"/>
      <c r="HY51" s="119"/>
      <c r="HZ51" s="119"/>
      <c r="IA51" s="119"/>
      <c r="IB51" s="119"/>
      <c r="IC51" s="119"/>
      <c r="ID51" s="119"/>
      <c r="IE51" s="119"/>
      <c r="IF51" s="119"/>
      <c r="IG51" s="119"/>
      <c r="IH51" s="119"/>
      <c r="II51" s="119"/>
      <c r="IJ51" s="119"/>
      <c r="IK51" s="119"/>
      <c r="IL51" s="119"/>
      <c r="IM51" s="119"/>
      <c r="IN51" s="119"/>
      <c r="IO51" s="119"/>
      <c r="IP51" s="119"/>
      <c r="IQ51" s="119"/>
      <c r="IR51" s="119"/>
      <c r="IS51" s="119"/>
      <c r="IT51" s="119"/>
      <c r="IU51" s="119"/>
      <c r="IV51" s="119"/>
      <c r="IW51" s="119"/>
      <c r="IX51" s="119"/>
      <c r="IY51" s="119"/>
      <c r="IZ51" s="119"/>
      <c r="JA51" s="119"/>
      <c r="JB51" s="119"/>
      <c r="JC51" s="119"/>
      <c r="JD51" s="119"/>
      <c r="JE51" s="119"/>
      <c r="JF51" s="119"/>
      <c r="JG51" s="119"/>
      <c r="JH51" s="119"/>
      <c r="JI51" s="119"/>
      <c r="JJ51" s="119"/>
      <c r="JK51" s="119"/>
      <c r="JL51" s="119"/>
      <c r="JM51" s="119"/>
      <c r="JN51" s="119"/>
      <c r="JO51" s="119"/>
      <c r="JP51" s="119"/>
      <c r="JQ51" s="119"/>
      <c r="JR51" s="119"/>
      <c r="JS51" s="119"/>
      <c r="JT51" s="119"/>
      <c r="JU51" s="119"/>
      <c r="JV51" s="119"/>
      <c r="JW51" s="119"/>
      <c r="JX51" s="119"/>
      <c r="JY51" s="119"/>
      <c r="JZ51" s="119"/>
      <c r="KA51" s="119"/>
      <c r="KB51" s="119"/>
      <c r="KC51" s="119"/>
      <c r="KD51" s="119"/>
      <c r="KE51" s="119"/>
      <c r="KF51" s="119"/>
      <c r="KG51" s="119"/>
      <c r="KH51" s="119"/>
      <c r="KI51" s="119"/>
      <c r="KJ51" s="119"/>
      <c r="KK51" s="119"/>
      <c r="KL51" s="119"/>
      <c r="KM51" s="119"/>
      <c r="KN51" s="119"/>
      <c r="KO51" s="119"/>
      <c r="KP51" s="119"/>
      <c r="KQ51" s="119"/>
      <c r="KR51" s="119"/>
      <c r="KS51" s="119"/>
      <c r="KT51" s="119"/>
      <c r="KU51" s="119"/>
      <c r="KV51" s="119"/>
      <c r="KW51" s="119"/>
      <c r="KX51" s="119"/>
      <c r="KY51" s="119"/>
      <c r="KZ51" s="119"/>
      <c r="LA51" s="119"/>
      <c r="LB51" s="119"/>
      <c r="LC51" s="119"/>
      <c r="LD51" s="119"/>
      <c r="LE51" s="119"/>
      <c r="LF51" s="119"/>
      <c r="LG51" s="119"/>
      <c r="LH51" s="119"/>
      <c r="LI51" s="119"/>
      <c r="LJ51" s="119"/>
      <c r="LK51" s="119"/>
      <c r="LL51" s="119"/>
      <c r="LM51" s="119"/>
      <c r="LN51" s="119"/>
      <c r="LO51" s="119"/>
      <c r="LP51" s="119"/>
      <c r="LQ51" s="119"/>
      <c r="LR51" s="119"/>
      <c r="LS51" s="119"/>
      <c r="LT51" s="119"/>
      <c r="LU51" s="119"/>
      <c r="LV51" s="119"/>
      <c r="LW51" s="119"/>
      <c r="LX51" s="119"/>
      <c r="LY51" s="119"/>
      <c r="LZ51" s="119"/>
      <c r="MA51" s="119"/>
      <c r="MB51" s="119"/>
      <c r="MC51" s="119"/>
      <c r="MD51" s="119"/>
      <c r="ME51" s="119"/>
      <c r="MF51" s="119"/>
      <c r="MG51" s="119"/>
      <c r="MH51" s="119"/>
      <c r="MI51" s="119"/>
      <c r="MJ51" s="119"/>
      <c r="MK51" s="119"/>
      <c r="ML51" s="119"/>
      <c r="MM51" s="119"/>
      <c r="MN51" s="119"/>
      <c r="MO51" s="119"/>
      <c r="MP51" s="119"/>
      <c r="MQ51" s="119"/>
      <c r="MR51" s="119"/>
      <c r="MS51" s="119"/>
      <c r="MT51" s="119"/>
      <c r="MU51" s="119"/>
      <c r="MV51" s="119"/>
      <c r="MW51" s="119"/>
      <c r="MX51" s="119"/>
      <c r="MY51" s="119"/>
      <c r="MZ51" s="119"/>
      <c r="NA51" s="119"/>
      <c r="NB51" s="119"/>
      <c r="NC51" s="119"/>
      <c r="ND51" s="119"/>
      <c r="NE51" s="119"/>
      <c r="NF51" s="119"/>
      <c r="NG51" s="119"/>
      <c r="NH51" s="119"/>
      <c r="NI51" s="119"/>
      <c r="NJ51" s="119"/>
      <c r="NK51" s="119"/>
      <c r="NL51" s="119"/>
      <c r="NM51" s="119"/>
      <c r="NN51" s="119"/>
      <c r="NO51" s="119"/>
      <c r="NP51" s="119"/>
      <c r="NQ51" s="119"/>
      <c r="NR51" s="119"/>
      <c r="NS51" s="119"/>
      <c r="NT51" s="119"/>
      <c r="NU51" s="119"/>
      <c r="NV51" s="119"/>
      <c r="NW51" s="119"/>
      <c r="NX51" s="119"/>
      <c r="NY51" s="119"/>
      <c r="NZ51" s="119"/>
      <c r="OA51" s="119"/>
    </row>
    <row r="52" spans="1:391" ht="14.25" customHeight="1" x14ac:dyDescent="0.25">
      <c r="A52" s="500"/>
      <c r="B52" s="550" t="s">
        <v>345</v>
      </c>
      <c r="C52" s="187"/>
      <c r="D52" s="551"/>
      <c r="E52" s="551"/>
      <c r="F52" s="564">
        <f t="shared" ca="1" si="0"/>
        <v>-43388</v>
      </c>
      <c r="G52" s="556"/>
      <c r="H52" s="556"/>
      <c r="I52" s="556"/>
      <c r="J52" s="38" t="str">
        <f ca="1">IF(AND(J53="completed",J54="completed",J55="completed",J56="completed",J57="completed",J58="completed",J59="completed"),"Deliverable Completed","DELIVERABLE STILL IN PROGRESS")</f>
        <v>DELIVERABLE STILL IN PROGRESS</v>
      </c>
      <c r="K52" s="557"/>
      <c r="BN52" s="119"/>
      <c r="BO52" s="119"/>
      <c r="BP52" s="119"/>
      <c r="BQ52" s="119"/>
      <c r="BR52" s="119"/>
      <c r="BS52" s="119"/>
      <c r="BT52" s="119"/>
      <c r="BU52" s="119"/>
      <c r="BV52" s="119"/>
      <c r="BW52" s="119"/>
      <c r="BX52" s="119"/>
      <c r="BY52" s="119"/>
      <c r="BZ52" s="119"/>
      <c r="CA52" s="119"/>
      <c r="CB52" s="119"/>
      <c r="CC52" s="119"/>
      <c r="CD52" s="119"/>
      <c r="CE52" s="119"/>
      <c r="CF52" s="119"/>
      <c r="CG52" s="119"/>
      <c r="CH52" s="119"/>
      <c r="CI52" s="119"/>
      <c r="CJ52" s="119"/>
      <c r="CK52" s="119"/>
      <c r="CL52" s="119"/>
      <c r="CM52" s="119"/>
      <c r="CN52" s="119"/>
      <c r="CO52" s="119"/>
      <c r="CP52" s="119"/>
      <c r="CQ52" s="119"/>
      <c r="CR52" s="119"/>
      <c r="CS52" s="119"/>
      <c r="CT52" s="119"/>
      <c r="CU52" s="119"/>
      <c r="CV52" s="119"/>
      <c r="CW52" s="119"/>
      <c r="CX52" s="119"/>
      <c r="CY52" s="119"/>
      <c r="CZ52" s="119"/>
      <c r="DA52" s="119"/>
      <c r="DB52" s="119"/>
      <c r="DC52" s="119"/>
      <c r="DD52" s="119"/>
      <c r="DE52" s="119"/>
      <c r="DF52" s="119"/>
      <c r="DG52" s="119"/>
      <c r="DH52" s="119"/>
      <c r="DI52" s="119"/>
      <c r="DJ52" s="119"/>
      <c r="DK52" s="119"/>
      <c r="DL52" s="119"/>
      <c r="DM52" s="119"/>
      <c r="DN52" s="119"/>
      <c r="DO52" s="119"/>
      <c r="DP52" s="119"/>
      <c r="DQ52" s="119"/>
      <c r="DR52" s="119"/>
      <c r="DS52" s="119"/>
      <c r="DT52" s="119"/>
      <c r="DU52" s="119"/>
      <c r="DV52" s="119"/>
      <c r="DW52" s="119"/>
      <c r="DX52" s="119"/>
      <c r="DY52" s="119"/>
      <c r="DZ52" s="119"/>
      <c r="EA52" s="119"/>
      <c r="EB52" s="119"/>
      <c r="EC52" s="119"/>
      <c r="ED52" s="119"/>
      <c r="EE52" s="119"/>
      <c r="EF52" s="119"/>
      <c r="EG52" s="119"/>
      <c r="EH52" s="119"/>
      <c r="EI52" s="119"/>
      <c r="EJ52" s="119"/>
      <c r="EK52" s="119"/>
      <c r="EL52" s="119"/>
      <c r="EM52" s="119"/>
      <c r="EN52" s="119"/>
      <c r="EO52" s="119"/>
      <c r="EP52" s="119"/>
      <c r="EQ52" s="119"/>
      <c r="ER52" s="119"/>
      <c r="ES52" s="119"/>
      <c r="ET52" s="119"/>
      <c r="EU52" s="119"/>
      <c r="EV52" s="119"/>
      <c r="EW52" s="119"/>
      <c r="EX52" s="119"/>
      <c r="EY52" s="119"/>
      <c r="EZ52" s="119"/>
      <c r="FA52" s="119"/>
      <c r="FB52" s="119"/>
      <c r="FC52" s="119"/>
      <c r="FD52" s="119"/>
      <c r="FE52" s="119"/>
      <c r="FF52" s="119"/>
      <c r="FG52" s="119"/>
      <c r="FH52" s="119"/>
      <c r="FI52" s="119"/>
      <c r="FJ52" s="119"/>
      <c r="FK52" s="119"/>
      <c r="FL52" s="119"/>
      <c r="FM52" s="119"/>
      <c r="FN52" s="119"/>
      <c r="FO52" s="119"/>
      <c r="FP52" s="119"/>
      <c r="FQ52" s="119"/>
      <c r="FR52" s="119"/>
      <c r="FS52" s="119"/>
      <c r="FT52" s="119"/>
      <c r="FU52" s="119"/>
      <c r="FV52" s="119"/>
      <c r="FW52" s="119"/>
      <c r="FX52" s="119"/>
      <c r="FY52" s="119"/>
      <c r="FZ52" s="119"/>
      <c r="GA52" s="119"/>
      <c r="GB52" s="119"/>
      <c r="GC52" s="119"/>
      <c r="GD52" s="119"/>
      <c r="GE52" s="119"/>
      <c r="GF52" s="119"/>
      <c r="GG52" s="119"/>
      <c r="GH52" s="119"/>
      <c r="GI52" s="119"/>
      <c r="GJ52" s="119"/>
      <c r="GK52" s="119"/>
      <c r="GL52" s="119"/>
      <c r="GM52" s="119"/>
      <c r="GN52" s="119"/>
      <c r="GO52" s="119"/>
      <c r="GP52" s="119"/>
      <c r="GQ52" s="119"/>
      <c r="GR52" s="119"/>
      <c r="GS52" s="119"/>
      <c r="GT52" s="119"/>
      <c r="GU52" s="119"/>
      <c r="GV52" s="119"/>
      <c r="GW52" s="119"/>
      <c r="GX52" s="119"/>
      <c r="GY52" s="119"/>
      <c r="GZ52" s="119"/>
      <c r="HA52" s="119"/>
      <c r="HB52" s="119"/>
      <c r="HC52" s="119"/>
      <c r="HD52" s="119"/>
      <c r="HE52" s="119"/>
      <c r="HF52" s="119"/>
      <c r="HG52" s="119"/>
      <c r="HH52" s="119"/>
      <c r="HI52" s="119"/>
      <c r="HJ52" s="119"/>
      <c r="HK52" s="119"/>
      <c r="HL52" s="119"/>
      <c r="HM52" s="119"/>
      <c r="HN52" s="119"/>
      <c r="HO52" s="119"/>
      <c r="HP52" s="119"/>
      <c r="HQ52" s="119"/>
      <c r="HR52" s="119"/>
      <c r="HS52" s="119"/>
      <c r="HT52" s="119"/>
      <c r="HU52" s="119"/>
      <c r="HV52" s="119"/>
      <c r="HW52" s="119"/>
      <c r="HX52" s="119"/>
      <c r="HY52" s="119"/>
      <c r="HZ52" s="119"/>
      <c r="IA52" s="119"/>
      <c r="IB52" s="119"/>
      <c r="IC52" s="119"/>
      <c r="ID52" s="119"/>
      <c r="IE52" s="119"/>
      <c r="IF52" s="119"/>
      <c r="IG52" s="119"/>
      <c r="IH52" s="119"/>
      <c r="II52" s="119"/>
      <c r="IJ52" s="119"/>
      <c r="IK52" s="119"/>
      <c r="IL52" s="119"/>
      <c r="IM52" s="119"/>
      <c r="IN52" s="119"/>
      <c r="IO52" s="119"/>
      <c r="IP52" s="119"/>
      <c r="IQ52" s="119"/>
      <c r="IR52" s="119"/>
      <c r="IS52" s="119"/>
      <c r="IT52" s="119"/>
      <c r="IU52" s="119"/>
      <c r="IV52" s="119"/>
      <c r="IW52" s="119"/>
      <c r="IX52" s="119"/>
      <c r="IY52" s="119"/>
      <c r="IZ52" s="119"/>
      <c r="JA52" s="119"/>
      <c r="JB52" s="119"/>
      <c r="JC52" s="119"/>
      <c r="JD52" s="119"/>
      <c r="JE52" s="119"/>
      <c r="JF52" s="119"/>
      <c r="JG52" s="119"/>
      <c r="JH52" s="119"/>
      <c r="JI52" s="119"/>
      <c r="JJ52" s="119"/>
      <c r="JK52" s="119"/>
      <c r="JL52" s="119"/>
      <c r="JM52" s="119"/>
      <c r="JN52" s="119"/>
      <c r="JO52" s="119"/>
      <c r="JP52" s="119"/>
      <c r="JQ52" s="119"/>
      <c r="JR52" s="119"/>
      <c r="JS52" s="119"/>
      <c r="JT52" s="119"/>
      <c r="JU52" s="119"/>
      <c r="JV52" s="119"/>
      <c r="JW52" s="119"/>
      <c r="JX52" s="119"/>
      <c r="JY52" s="119"/>
      <c r="JZ52" s="119"/>
      <c r="KA52" s="119"/>
      <c r="KB52" s="119"/>
      <c r="KC52" s="119"/>
      <c r="KD52" s="119"/>
      <c r="KE52" s="119"/>
      <c r="KF52" s="119"/>
      <c r="KG52" s="119"/>
      <c r="KH52" s="119"/>
      <c r="KI52" s="119"/>
      <c r="KJ52" s="119"/>
      <c r="KK52" s="119"/>
      <c r="KL52" s="119"/>
      <c r="KM52" s="119"/>
      <c r="KN52" s="119"/>
      <c r="KO52" s="119"/>
      <c r="KP52" s="119"/>
      <c r="KQ52" s="119"/>
      <c r="KR52" s="119"/>
      <c r="KS52" s="119"/>
      <c r="KT52" s="119"/>
      <c r="KU52" s="119"/>
      <c r="KV52" s="119"/>
      <c r="KW52" s="119"/>
      <c r="KX52" s="119"/>
      <c r="KY52" s="119"/>
      <c r="KZ52" s="119"/>
      <c r="LA52" s="119"/>
      <c r="LB52" s="119"/>
      <c r="LC52" s="119"/>
      <c r="LD52" s="119"/>
      <c r="LE52" s="119"/>
      <c r="LF52" s="119"/>
      <c r="LG52" s="119"/>
      <c r="LH52" s="119"/>
      <c r="LI52" s="119"/>
      <c r="LJ52" s="119"/>
      <c r="LK52" s="119"/>
      <c r="LL52" s="119"/>
      <c r="LM52" s="119"/>
      <c r="LN52" s="119"/>
      <c r="LO52" s="119"/>
      <c r="LP52" s="119"/>
      <c r="LQ52" s="119"/>
      <c r="LR52" s="119"/>
      <c r="LS52" s="119"/>
      <c r="LT52" s="119"/>
      <c r="LU52" s="119"/>
      <c r="LV52" s="119"/>
      <c r="LW52" s="119"/>
      <c r="LX52" s="119"/>
      <c r="LY52" s="119"/>
      <c r="LZ52" s="119"/>
      <c r="MA52" s="119"/>
      <c r="MB52" s="119"/>
      <c r="MC52" s="119"/>
      <c r="MD52" s="119"/>
      <c r="ME52" s="119"/>
      <c r="MF52" s="119"/>
      <c r="MG52" s="119"/>
      <c r="MH52" s="119"/>
      <c r="MI52" s="119"/>
      <c r="MJ52" s="119"/>
      <c r="MK52" s="119"/>
      <c r="ML52" s="119"/>
      <c r="MM52" s="119"/>
      <c r="MN52" s="119"/>
      <c r="MO52" s="119"/>
      <c r="MP52" s="119"/>
      <c r="MQ52" s="119"/>
      <c r="MR52" s="119"/>
      <c r="MS52" s="119"/>
      <c r="MT52" s="119"/>
      <c r="MU52" s="119"/>
      <c r="MV52" s="119"/>
      <c r="MW52" s="119"/>
      <c r="MX52" s="119"/>
      <c r="MY52" s="119"/>
      <c r="MZ52" s="119"/>
      <c r="NA52" s="119"/>
      <c r="NB52" s="119"/>
      <c r="NC52" s="119"/>
      <c r="ND52" s="119"/>
      <c r="NE52" s="119"/>
      <c r="NF52" s="119"/>
      <c r="NG52" s="119"/>
      <c r="NH52" s="119"/>
      <c r="NI52" s="119"/>
      <c r="NJ52" s="119"/>
      <c r="NK52" s="119"/>
      <c r="NL52" s="119"/>
      <c r="NM52" s="119"/>
      <c r="NN52" s="119"/>
      <c r="NO52" s="119"/>
      <c r="NP52" s="119"/>
      <c r="NQ52" s="119"/>
      <c r="NR52" s="119"/>
      <c r="NS52" s="119"/>
      <c r="NT52" s="119"/>
      <c r="NU52" s="119"/>
      <c r="NV52" s="119"/>
      <c r="NW52" s="119"/>
      <c r="NX52" s="119"/>
      <c r="NY52" s="119"/>
      <c r="NZ52" s="119"/>
      <c r="OA52" s="119"/>
    </row>
    <row r="53" spans="1:391" ht="13.9" customHeight="1" x14ac:dyDescent="0.2">
      <c r="A53" s="500"/>
      <c r="B53" s="548" t="s">
        <v>346</v>
      </c>
      <c r="C53" s="187"/>
      <c r="D53" s="187"/>
      <c r="E53" s="187"/>
      <c r="F53" s="564">
        <f t="shared" ca="1" si="0"/>
        <v>-43388</v>
      </c>
      <c r="G53" s="556"/>
      <c r="H53" s="556"/>
      <c r="I53" s="556"/>
      <c r="J53" s="38" t="str">
        <f t="shared" ref="J53:J59" ca="1" si="4">IF(G53&gt;0,"COMPLETED",(IF(I53&gt;0,"ISSUE IDENTIFIED",(IF(TODAY()&gt;E53,"OVERDUE","In Progress")))))</f>
        <v>OVERDUE</v>
      </c>
      <c r="K53" s="557"/>
      <c r="BN53" s="119"/>
      <c r="BO53" s="119"/>
      <c r="BP53" s="119"/>
      <c r="BQ53" s="119"/>
      <c r="BR53" s="119"/>
      <c r="BS53" s="119"/>
      <c r="BT53" s="119"/>
      <c r="BU53" s="119"/>
      <c r="BV53" s="119"/>
      <c r="BW53" s="119"/>
      <c r="BX53" s="119"/>
      <c r="BY53" s="119"/>
      <c r="BZ53" s="119"/>
      <c r="CA53" s="119"/>
      <c r="CB53" s="119"/>
      <c r="CC53" s="119"/>
      <c r="CD53" s="119"/>
      <c r="CE53" s="119"/>
      <c r="CF53" s="119"/>
      <c r="CG53" s="119"/>
      <c r="CH53" s="119"/>
      <c r="CI53" s="119"/>
      <c r="CJ53" s="119"/>
      <c r="CK53" s="119"/>
      <c r="CL53" s="119"/>
      <c r="CM53" s="119"/>
      <c r="CN53" s="119"/>
      <c r="CO53" s="119"/>
      <c r="CP53" s="119"/>
      <c r="CQ53" s="119"/>
      <c r="CR53" s="119"/>
      <c r="CS53" s="119"/>
      <c r="CT53" s="119"/>
      <c r="CU53" s="119"/>
      <c r="CV53" s="119"/>
      <c r="CW53" s="119"/>
      <c r="CX53" s="119"/>
      <c r="CY53" s="119"/>
      <c r="CZ53" s="119"/>
      <c r="DA53" s="119"/>
      <c r="DB53" s="119"/>
      <c r="DC53" s="119"/>
      <c r="DD53" s="119"/>
      <c r="DE53" s="119"/>
      <c r="DF53" s="119"/>
      <c r="DG53" s="119"/>
      <c r="DH53" s="119"/>
      <c r="DI53" s="119"/>
      <c r="DJ53" s="119"/>
      <c r="DK53" s="119"/>
      <c r="DL53" s="119"/>
      <c r="DM53" s="119"/>
      <c r="DN53" s="119"/>
      <c r="DO53" s="119"/>
      <c r="DP53" s="119"/>
      <c r="DQ53" s="119"/>
      <c r="DR53" s="119"/>
      <c r="DS53" s="119"/>
      <c r="DT53" s="119"/>
      <c r="DU53" s="119"/>
      <c r="DV53" s="119"/>
      <c r="DW53" s="119"/>
      <c r="DX53" s="119"/>
      <c r="DY53" s="119"/>
      <c r="DZ53" s="119"/>
      <c r="EA53" s="119"/>
      <c r="EB53" s="119"/>
      <c r="EC53" s="119"/>
      <c r="ED53" s="119"/>
      <c r="EE53" s="119"/>
      <c r="EF53" s="119"/>
      <c r="EG53" s="119"/>
      <c r="EH53" s="119"/>
      <c r="EI53" s="119"/>
      <c r="EJ53" s="119"/>
      <c r="EK53" s="119"/>
      <c r="EL53" s="119"/>
      <c r="EM53" s="119"/>
      <c r="EN53" s="119"/>
      <c r="EO53" s="119"/>
      <c r="EP53" s="119"/>
      <c r="EQ53" s="119"/>
      <c r="ER53" s="119"/>
      <c r="ES53" s="119"/>
      <c r="ET53" s="119"/>
      <c r="EU53" s="119"/>
      <c r="EV53" s="119"/>
      <c r="EW53" s="119"/>
      <c r="EX53" s="119"/>
      <c r="EY53" s="119"/>
      <c r="EZ53" s="119"/>
      <c r="FA53" s="119"/>
      <c r="FB53" s="119"/>
      <c r="FC53" s="119"/>
      <c r="FD53" s="119"/>
      <c r="FE53" s="119"/>
      <c r="FF53" s="119"/>
      <c r="FG53" s="119"/>
      <c r="FH53" s="119"/>
      <c r="FI53" s="119"/>
      <c r="FJ53" s="119"/>
      <c r="FK53" s="119"/>
      <c r="FL53" s="119"/>
      <c r="FM53" s="119"/>
      <c r="FN53" s="119"/>
      <c r="FO53" s="119"/>
      <c r="FP53" s="119"/>
      <c r="FQ53" s="119"/>
      <c r="FR53" s="119"/>
      <c r="FS53" s="119"/>
      <c r="FT53" s="119"/>
      <c r="FU53" s="119"/>
      <c r="FV53" s="119"/>
      <c r="FW53" s="119"/>
      <c r="FX53" s="119"/>
      <c r="FY53" s="119"/>
      <c r="FZ53" s="119"/>
      <c r="GA53" s="119"/>
      <c r="GB53" s="119"/>
      <c r="GC53" s="119"/>
      <c r="GD53" s="119"/>
      <c r="GE53" s="119"/>
      <c r="GF53" s="119"/>
      <c r="GG53" s="119"/>
      <c r="GH53" s="119"/>
      <c r="GI53" s="119"/>
      <c r="GJ53" s="119"/>
      <c r="GK53" s="119"/>
      <c r="GL53" s="119"/>
      <c r="GM53" s="119"/>
      <c r="GN53" s="119"/>
      <c r="GO53" s="119"/>
      <c r="GP53" s="119"/>
      <c r="GQ53" s="119"/>
      <c r="GR53" s="119"/>
      <c r="GS53" s="119"/>
      <c r="GT53" s="119"/>
      <c r="GU53" s="119"/>
      <c r="GV53" s="119"/>
      <c r="GW53" s="119"/>
      <c r="GX53" s="119"/>
      <c r="GY53" s="119"/>
      <c r="GZ53" s="119"/>
      <c r="HA53" s="119"/>
      <c r="HB53" s="119"/>
      <c r="HC53" s="119"/>
      <c r="HD53" s="119"/>
      <c r="HE53" s="119"/>
      <c r="HF53" s="119"/>
      <c r="HG53" s="119"/>
      <c r="HH53" s="119"/>
      <c r="HI53" s="119"/>
      <c r="HJ53" s="119"/>
      <c r="HK53" s="119"/>
      <c r="HL53" s="119"/>
      <c r="HM53" s="119"/>
      <c r="HN53" s="119"/>
      <c r="HO53" s="119"/>
      <c r="HP53" s="119"/>
      <c r="HQ53" s="119"/>
      <c r="HR53" s="119"/>
      <c r="HS53" s="119"/>
      <c r="HT53" s="119"/>
      <c r="HU53" s="119"/>
      <c r="HV53" s="119"/>
      <c r="HW53" s="119"/>
      <c r="HX53" s="119"/>
      <c r="HY53" s="119"/>
      <c r="HZ53" s="119"/>
      <c r="IA53" s="119"/>
      <c r="IB53" s="119"/>
      <c r="IC53" s="119"/>
      <c r="ID53" s="119"/>
      <c r="IE53" s="119"/>
      <c r="IF53" s="119"/>
      <c r="IG53" s="119"/>
      <c r="IH53" s="119"/>
      <c r="II53" s="119"/>
      <c r="IJ53" s="119"/>
      <c r="IK53" s="119"/>
      <c r="IL53" s="119"/>
      <c r="IM53" s="119"/>
      <c r="IN53" s="119"/>
      <c r="IO53" s="119"/>
      <c r="IP53" s="119"/>
      <c r="IQ53" s="119"/>
      <c r="IR53" s="119"/>
      <c r="IS53" s="119"/>
      <c r="IT53" s="119"/>
      <c r="IU53" s="119"/>
      <c r="IV53" s="119"/>
      <c r="IW53" s="119"/>
      <c r="IX53" s="119"/>
      <c r="IY53" s="119"/>
      <c r="IZ53" s="119"/>
      <c r="JA53" s="119"/>
      <c r="JB53" s="119"/>
      <c r="JC53" s="119"/>
      <c r="JD53" s="119"/>
      <c r="JE53" s="119"/>
      <c r="JF53" s="119"/>
      <c r="JG53" s="119"/>
      <c r="JH53" s="119"/>
      <c r="JI53" s="119"/>
      <c r="JJ53" s="119"/>
      <c r="JK53" s="119"/>
      <c r="JL53" s="119"/>
      <c r="JM53" s="119"/>
      <c r="JN53" s="119"/>
      <c r="JO53" s="119"/>
      <c r="JP53" s="119"/>
      <c r="JQ53" s="119"/>
      <c r="JR53" s="119"/>
      <c r="JS53" s="119"/>
      <c r="JT53" s="119"/>
      <c r="JU53" s="119"/>
      <c r="JV53" s="119"/>
      <c r="JW53" s="119"/>
      <c r="JX53" s="119"/>
      <c r="JY53" s="119"/>
      <c r="JZ53" s="119"/>
      <c r="KA53" s="119"/>
      <c r="KB53" s="119"/>
      <c r="KC53" s="119"/>
      <c r="KD53" s="119"/>
      <c r="KE53" s="119"/>
      <c r="KF53" s="119"/>
      <c r="KG53" s="119"/>
      <c r="KH53" s="119"/>
      <c r="KI53" s="119"/>
      <c r="KJ53" s="119"/>
      <c r="KK53" s="119"/>
      <c r="KL53" s="119"/>
      <c r="KM53" s="119"/>
      <c r="KN53" s="119"/>
      <c r="KO53" s="119"/>
      <c r="KP53" s="119"/>
      <c r="KQ53" s="119"/>
      <c r="KR53" s="119"/>
      <c r="KS53" s="119"/>
      <c r="KT53" s="119"/>
      <c r="KU53" s="119"/>
      <c r="KV53" s="119"/>
      <c r="KW53" s="119"/>
      <c r="KX53" s="119"/>
      <c r="KY53" s="119"/>
      <c r="KZ53" s="119"/>
      <c r="LA53" s="119"/>
      <c r="LB53" s="119"/>
      <c r="LC53" s="119"/>
      <c r="LD53" s="119"/>
      <c r="LE53" s="119"/>
      <c r="LF53" s="119"/>
      <c r="LG53" s="119"/>
      <c r="LH53" s="119"/>
      <c r="LI53" s="119"/>
      <c r="LJ53" s="119"/>
      <c r="LK53" s="119"/>
      <c r="LL53" s="119"/>
      <c r="LM53" s="119"/>
      <c r="LN53" s="119"/>
      <c r="LO53" s="119"/>
      <c r="LP53" s="119"/>
      <c r="LQ53" s="119"/>
      <c r="LR53" s="119"/>
      <c r="LS53" s="119"/>
      <c r="LT53" s="119"/>
      <c r="LU53" s="119"/>
      <c r="LV53" s="119"/>
      <c r="LW53" s="119"/>
      <c r="LX53" s="119"/>
      <c r="LY53" s="119"/>
      <c r="LZ53" s="119"/>
      <c r="MA53" s="119"/>
      <c r="MB53" s="119"/>
      <c r="MC53" s="119"/>
      <c r="MD53" s="119"/>
      <c r="ME53" s="119"/>
      <c r="MF53" s="119"/>
      <c r="MG53" s="119"/>
      <c r="MH53" s="119"/>
      <c r="MI53" s="119"/>
      <c r="MJ53" s="119"/>
      <c r="MK53" s="119"/>
      <c r="ML53" s="119"/>
      <c r="MM53" s="119"/>
      <c r="MN53" s="119"/>
      <c r="MO53" s="119"/>
      <c r="MP53" s="119"/>
      <c r="MQ53" s="119"/>
      <c r="MR53" s="119"/>
      <c r="MS53" s="119"/>
      <c r="MT53" s="119"/>
      <c r="MU53" s="119"/>
      <c r="MV53" s="119"/>
      <c r="MW53" s="119"/>
      <c r="MX53" s="119"/>
      <c r="MY53" s="119"/>
      <c r="MZ53" s="119"/>
      <c r="NA53" s="119"/>
      <c r="NB53" s="119"/>
      <c r="NC53" s="119"/>
      <c r="ND53" s="119"/>
      <c r="NE53" s="119"/>
      <c r="NF53" s="119"/>
      <c r="NG53" s="119"/>
      <c r="NH53" s="119"/>
      <c r="NI53" s="119"/>
      <c r="NJ53" s="119"/>
      <c r="NK53" s="119"/>
      <c r="NL53" s="119"/>
      <c r="NM53" s="119"/>
      <c r="NN53" s="119"/>
      <c r="NO53" s="119"/>
      <c r="NP53" s="119"/>
      <c r="NQ53" s="119"/>
      <c r="NR53" s="119"/>
      <c r="NS53" s="119"/>
      <c r="NT53" s="119"/>
      <c r="NU53" s="119"/>
      <c r="NV53" s="119"/>
      <c r="NW53" s="119"/>
      <c r="NX53" s="119"/>
      <c r="NY53" s="119"/>
      <c r="NZ53" s="119"/>
      <c r="OA53" s="119"/>
    </row>
    <row r="54" spans="1:391" ht="13.9" customHeight="1" x14ac:dyDescent="0.2">
      <c r="A54" s="500"/>
      <c r="B54" s="548" t="s">
        <v>347</v>
      </c>
      <c r="C54" s="187"/>
      <c r="D54" s="187"/>
      <c r="E54" s="187"/>
      <c r="F54" s="564">
        <f t="shared" ca="1" si="0"/>
        <v>-43388</v>
      </c>
      <c r="G54" s="556"/>
      <c r="H54" s="556"/>
      <c r="I54" s="556"/>
      <c r="J54" s="38" t="str">
        <f t="shared" ca="1" si="4"/>
        <v>OVERDUE</v>
      </c>
      <c r="K54" s="557"/>
      <c r="BN54" s="119"/>
      <c r="BO54" s="119"/>
      <c r="BP54" s="119"/>
      <c r="BQ54" s="119"/>
      <c r="BR54" s="119"/>
      <c r="BS54" s="119"/>
      <c r="BT54" s="119"/>
      <c r="BU54" s="119"/>
      <c r="BV54" s="119"/>
      <c r="BW54" s="119"/>
      <c r="BX54" s="119"/>
      <c r="BY54" s="119"/>
      <c r="BZ54" s="119"/>
      <c r="CA54" s="119"/>
      <c r="CB54" s="119"/>
      <c r="CC54" s="119"/>
      <c r="CD54" s="119"/>
      <c r="CE54" s="119"/>
      <c r="CF54" s="119"/>
      <c r="CG54" s="119"/>
      <c r="CH54" s="119"/>
      <c r="CI54" s="119"/>
      <c r="CJ54" s="119"/>
      <c r="CK54" s="119"/>
      <c r="CL54" s="119"/>
      <c r="CM54" s="119"/>
      <c r="CN54" s="119"/>
      <c r="CO54" s="119"/>
      <c r="CP54" s="119"/>
      <c r="CQ54" s="119"/>
      <c r="CR54" s="119"/>
      <c r="CS54" s="119"/>
      <c r="CT54" s="119"/>
      <c r="CU54" s="119"/>
      <c r="CV54" s="119"/>
      <c r="CW54" s="119"/>
      <c r="CX54" s="119"/>
      <c r="CY54" s="119"/>
      <c r="CZ54" s="119"/>
      <c r="DA54" s="119"/>
      <c r="DB54" s="119"/>
      <c r="DC54" s="119"/>
      <c r="DD54" s="119"/>
      <c r="DE54" s="119"/>
      <c r="DF54" s="119"/>
      <c r="DG54" s="119"/>
      <c r="DH54" s="119"/>
      <c r="DI54" s="119"/>
      <c r="DJ54" s="119"/>
      <c r="DK54" s="119"/>
      <c r="DL54" s="119"/>
      <c r="DM54" s="119"/>
      <c r="DN54" s="119"/>
      <c r="DO54" s="119"/>
      <c r="DP54" s="119"/>
      <c r="DQ54" s="119"/>
      <c r="DR54" s="119"/>
      <c r="DS54" s="119"/>
      <c r="DT54" s="119"/>
      <c r="DU54" s="119"/>
      <c r="DV54" s="119"/>
      <c r="DW54" s="119"/>
      <c r="DX54" s="119"/>
      <c r="DY54" s="119"/>
      <c r="DZ54" s="119"/>
      <c r="EA54" s="119"/>
      <c r="EB54" s="119"/>
      <c r="EC54" s="119"/>
      <c r="ED54" s="119"/>
      <c r="EE54" s="119"/>
      <c r="EF54" s="119"/>
      <c r="EG54" s="119"/>
      <c r="EH54" s="119"/>
      <c r="EI54" s="119"/>
      <c r="EJ54" s="119"/>
      <c r="EK54" s="119"/>
      <c r="EL54" s="119"/>
      <c r="EM54" s="119"/>
      <c r="EN54" s="119"/>
      <c r="EO54" s="119"/>
      <c r="EP54" s="119"/>
      <c r="EQ54" s="119"/>
      <c r="ER54" s="119"/>
      <c r="ES54" s="119"/>
      <c r="ET54" s="119"/>
      <c r="EU54" s="119"/>
      <c r="EV54" s="119"/>
      <c r="EW54" s="119"/>
      <c r="EX54" s="119"/>
      <c r="EY54" s="119"/>
      <c r="EZ54" s="119"/>
      <c r="FA54" s="119"/>
      <c r="FB54" s="119"/>
      <c r="FC54" s="119"/>
      <c r="FD54" s="119"/>
      <c r="FE54" s="119"/>
      <c r="FF54" s="119"/>
      <c r="FG54" s="119"/>
      <c r="FH54" s="119"/>
      <c r="FI54" s="119"/>
      <c r="FJ54" s="119"/>
      <c r="FK54" s="119"/>
      <c r="FL54" s="119"/>
      <c r="FM54" s="119"/>
      <c r="FN54" s="119"/>
      <c r="FO54" s="119"/>
      <c r="FP54" s="119"/>
      <c r="FQ54" s="119"/>
      <c r="FR54" s="119"/>
      <c r="FS54" s="119"/>
      <c r="FT54" s="119"/>
      <c r="FU54" s="119"/>
      <c r="FV54" s="119"/>
      <c r="FW54" s="119"/>
      <c r="FX54" s="119"/>
      <c r="FY54" s="119"/>
      <c r="FZ54" s="119"/>
      <c r="GA54" s="119"/>
      <c r="GB54" s="119"/>
      <c r="GC54" s="119"/>
      <c r="GD54" s="119"/>
      <c r="GE54" s="119"/>
      <c r="GF54" s="119"/>
      <c r="GG54" s="119"/>
      <c r="GH54" s="119"/>
      <c r="GI54" s="119"/>
      <c r="GJ54" s="119"/>
      <c r="GK54" s="119"/>
      <c r="GL54" s="119"/>
      <c r="GM54" s="119"/>
      <c r="GN54" s="119"/>
      <c r="GO54" s="119"/>
      <c r="GP54" s="119"/>
      <c r="GQ54" s="119"/>
      <c r="GR54" s="119"/>
      <c r="GS54" s="119"/>
      <c r="GT54" s="119"/>
      <c r="GU54" s="119"/>
      <c r="GV54" s="119"/>
      <c r="GW54" s="119"/>
      <c r="GX54" s="119"/>
      <c r="GY54" s="119"/>
      <c r="GZ54" s="119"/>
      <c r="HA54" s="119"/>
      <c r="HB54" s="119"/>
      <c r="HC54" s="119"/>
      <c r="HD54" s="119"/>
      <c r="HE54" s="119"/>
      <c r="HF54" s="119"/>
      <c r="HG54" s="119"/>
      <c r="HH54" s="119"/>
      <c r="HI54" s="119"/>
      <c r="HJ54" s="119"/>
      <c r="HK54" s="119"/>
      <c r="HL54" s="119"/>
      <c r="HM54" s="119"/>
      <c r="HN54" s="119"/>
      <c r="HO54" s="119"/>
      <c r="HP54" s="119"/>
      <c r="HQ54" s="119"/>
      <c r="HR54" s="119"/>
      <c r="HS54" s="119"/>
      <c r="HT54" s="119"/>
      <c r="HU54" s="119"/>
      <c r="HV54" s="119"/>
      <c r="HW54" s="119"/>
      <c r="HX54" s="119"/>
      <c r="HY54" s="119"/>
      <c r="HZ54" s="119"/>
      <c r="IA54" s="119"/>
      <c r="IB54" s="119"/>
      <c r="IC54" s="119"/>
      <c r="ID54" s="119"/>
      <c r="IE54" s="119"/>
      <c r="IF54" s="119"/>
      <c r="IG54" s="119"/>
      <c r="IH54" s="119"/>
      <c r="II54" s="119"/>
      <c r="IJ54" s="119"/>
      <c r="IK54" s="119"/>
      <c r="IL54" s="119"/>
      <c r="IM54" s="119"/>
      <c r="IN54" s="119"/>
      <c r="IO54" s="119"/>
      <c r="IP54" s="119"/>
      <c r="IQ54" s="119"/>
      <c r="IR54" s="119"/>
      <c r="IS54" s="119"/>
      <c r="IT54" s="119"/>
      <c r="IU54" s="119"/>
      <c r="IV54" s="119"/>
      <c r="IW54" s="119"/>
      <c r="IX54" s="119"/>
      <c r="IY54" s="119"/>
      <c r="IZ54" s="119"/>
      <c r="JA54" s="119"/>
      <c r="JB54" s="119"/>
      <c r="JC54" s="119"/>
      <c r="JD54" s="119"/>
      <c r="JE54" s="119"/>
      <c r="JF54" s="119"/>
      <c r="JG54" s="119"/>
      <c r="JH54" s="119"/>
      <c r="JI54" s="119"/>
      <c r="JJ54" s="119"/>
      <c r="JK54" s="119"/>
      <c r="JL54" s="119"/>
      <c r="JM54" s="119"/>
      <c r="JN54" s="119"/>
      <c r="JO54" s="119"/>
      <c r="JP54" s="119"/>
      <c r="JQ54" s="119"/>
      <c r="JR54" s="119"/>
      <c r="JS54" s="119"/>
      <c r="JT54" s="119"/>
      <c r="JU54" s="119"/>
      <c r="JV54" s="119"/>
      <c r="JW54" s="119"/>
      <c r="JX54" s="119"/>
      <c r="JY54" s="119"/>
      <c r="JZ54" s="119"/>
      <c r="KA54" s="119"/>
      <c r="KB54" s="119"/>
      <c r="KC54" s="119"/>
      <c r="KD54" s="119"/>
      <c r="KE54" s="119"/>
      <c r="KF54" s="119"/>
      <c r="KG54" s="119"/>
      <c r="KH54" s="119"/>
      <c r="KI54" s="119"/>
      <c r="KJ54" s="119"/>
      <c r="KK54" s="119"/>
      <c r="KL54" s="119"/>
      <c r="KM54" s="119"/>
      <c r="KN54" s="119"/>
      <c r="KO54" s="119"/>
      <c r="KP54" s="119"/>
      <c r="KQ54" s="119"/>
      <c r="KR54" s="119"/>
      <c r="KS54" s="119"/>
      <c r="KT54" s="119"/>
      <c r="KU54" s="119"/>
      <c r="KV54" s="119"/>
      <c r="KW54" s="119"/>
      <c r="KX54" s="119"/>
      <c r="KY54" s="119"/>
      <c r="KZ54" s="119"/>
      <c r="LA54" s="119"/>
      <c r="LB54" s="119"/>
      <c r="LC54" s="119"/>
      <c r="LD54" s="119"/>
      <c r="LE54" s="119"/>
      <c r="LF54" s="119"/>
      <c r="LG54" s="119"/>
      <c r="LH54" s="119"/>
      <c r="LI54" s="119"/>
      <c r="LJ54" s="119"/>
      <c r="LK54" s="119"/>
      <c r="LL54" s="119"/>
      <c r="LM54" s="119"/>
      <c r="LN54" s="119"/>
      <c r="LO54" s="119"/>
      <c r="LP54" s="119"/>
      <c r="LQ54" s="119"/>
      <c r="LR54" s="119"/>
      <c r="LS54" s="119"/>
      <c r="LT54" s="119"/>
      <c r="LU54" s="119"/>
      <c r="LV54" s="119"/>
      <c r="LW54" s="119"/>
      <c r="LX54" s="119"/>
      <c r="LY54" s="119"/>
      <c r="LZ54" s="119"/>
      <c r="MA54" s="119"/>
      <c r="MB54" s="119"/>
      <c r="MC54" s="119"/>
      <c r="MD54" s="119"/>
      <c r="ME54" s="119"/>
      <c r="MF54" s="119"/>
      <c r="MG54" s="119"/>
      <c r="MH54" s="119"/>
      <c r="MI54" s="119"/>
      <c r="MJ54" s="119"/>
      <c r="MK54" s="119"/>
      <c r="ML54" s="119"/>
      <c r="MM54" s="119"/>
      <c r="MN54" s="119"/>
      <c r="MO54" s="119"/>
      <c r="MP54" s="119"/>
      <c r="MQ54" s="119"/>
      <c r="MR54" s="119"/>
      <c r="MS54" s="119"/>
      <c r="MT54" s="119"/>
      <c r="MU54" s="119"/>
      <c r="MV54" s="119"/>
      <c r="MW54" s="119"/>
      <c r="MX54" s="119"/>
      <c r="MY54" s="119"/>
      <c r="MZ54" s="119"/>
      <c r="NA54" s="119"/>
      <c r="NB54" s="119"/>
      <c r="NC54" s="119"/>
      <c r="ND54" s="119"/>
      <c r="NE54" s="119"/>
      <c r="NF54" s="119"/>
      <c r="NG54" s="119"/>
      <c r="NH54" s="119"/>
      <c r="NI54" s="119"/>
      <c r="NJ54" s="119"/>
      <c r="NK54" s="119"/>
      <c r="NL54" s="119"/>
      <c r="NM54" s="119"/>
      <c r="NN54" s="119"/>
      <c r="NO54" s="119"/>
      <c r="NP54" s="119"/>
      <c r="NQ54" s="119"/>
      <c r="NR54" s="119"/>
      <c r="NS54" s="119"/>
      <c r="NT54" s="119"/>
      <c r="NU54" s="119"/>
      <c r="NV54" s="119"/>
      <c r="NW54" s="119"/>
      <c r="NX54" s="119"/>
      <c r="NY54" s="119"/>
      <c r="NZ54" s="119"/>
      <c r="OA54" s="119"/>
    </row>
    <row r="55" spans="1:391" ht="13.9" customHeight="1" x14ac:dyDescent="0.2">
      <c r="A55" s="500"/>
      <c r="B55" s="548" t="s">
        <v>348</v>
      </c>
      <c r="C55" s="187"/>
      <c r="D55" s="187"/>
      <c r="E55" s="187"/>
      <c r="F55" s="564">
        <f t="shared" ca="1" si="0"/>
        <v>-43388</v>
      </c>
      <c r="G55" s="556"/>
      <c r="H55" s="556"/>
      <c r="I55" s="556"/>
      <c r="J55" s="38" t="str">
        <f t="shared" ca="1" si="4"/>
        <v>OVERDUE</v>
      </c>
      <c r="K55" s="557"/>
      <c r="BN55" s="119"/>
      <c r="BO55" s="119"/>
      <c r="BP55" s="119"/>
      <c r="BQ55" s="119"/>
      <c r="BR55" s="119"/>
      <c r="BS55" s="119"/>
      <c r="BT55" s="119"/>
      <c r="BU55" s="119"/>
      <c r="BV55" s="119"/>
      <c r="BW55" s="119"/>
      <c r="BX55" s="119"/>
      <c r="BY55" s="119"/>
      <c r="BZ55" s="119"/>
      <c r="CA55" s="119"/>
      <c r="CB55" s="119"/>
      <c r="CC55" s="119"/>
      <c r="CD55" s="119"/>
      <c r="CE55" s="119"/>
      <c r="CF55" s="119"/>
      <c r="CG55" s="119"/>
      <c r="CH55" s="119"/>
      <c r="CI55" s="119"/>
      <c r="CJ55" s="119"/>
      <c r="CK55" s="119"/>
      <c r="CL55" s="119"/>
      <c r="CM55" s="119"/>
      <c r="CN55" s="119"/>
      <c r="CO55" s="119"/>
      <c r="CP55" s="119"/>
      <c r="CQ55" s="119"/>
      <c r="CR55" s="119"/>
      <c r="CS55" s="119"/>
      <c r="CT55" s="119"/>
      <c r="CU55" s="119"/>
      <c r="CV55" s="119"/>
      <c r="CW55" s="119"/>
      <c r="CX55" s="119"/>
      <c r="CY55" s="119"/>
      <c r="CZ55" s="119"/>
      <c r="DA55" s="119"/>
      <c r="DB55" s="119"/>
      <c r="DC55" s="119"/>
      <c r="DD55" s="119"/>
      <c r="DE55" s="119"/>
      <c r="DF55" s="119"/>
      <c r="DG55" s="119"/>
      <c r="DH55" s="119"/>
      <c r="DI55" s="119"/>
      <c r="DJ55" s="119"/>
      <c r="DK55" s="119"/>
      <c r="DL55" s="119"/>
      <c r="DM55" s="119"/>
      <c r="DN55" s="119"/>
      <c r="DO55" s="119"/>
      <c r="DP55" s="119"/>
      <c r="DQ55" s="119"/>
      <c r="DR55" s="119"/>
      <c r="DS55" s="119"/>
      <c r="DT55" s="119"/>
      <c r="DU55" s="119"/>
      <c r="DV55" s="119"/>
      <c r="DW55" s="119"/>
      <c r="DX55" s="119"/>
      <c r="DY55" s="119"/>
      <c r="DZ55" s="119"/>
      <c r="EA55" s="119"/>
      <c r="EB55" s="119"/>
      <c r="EC55" s="119"/>
      <c r="ED55" s="119"/>
      <c r="EE55" s="119"/>
      <c r="EF55" s="119"/>
      <c r="EG55" s="119"/>
      <c r="EH55" s="119"/>
      <c r="EI55" s="119"/>
      <c r="EJ55" s="119"/>
      <c r="EK55" s="119"/>
      <c r="EL55" s="119"/>
      <c r="EM55" s="119"/>
      <c r="EN55" s="119"/>
      <c r="EO55" s="119"/>
      <c r="EP55" s="119"/>
      <c r="EQ55" s="119"/>
      <c r="ER55" s="119"/>
      <c r="ES55" s="119"/>
      <c r="ET55" s="119"/>
      <c r="EU55" s="119"/>
      <c r="EV55" s="119"/>
      <c r="EW55" s="119"/>
      <c r="EX55" s="119"/>
      <c r="EY55" s="119"/>
      <c r="EZ55" s="119"/>
      <c r="FA55" s="119"/>
      <c r="FB55" s="119"/>
      <c r="FC55" s="119"/>
      <c r="FD55" s="119"/>
      <c r="FE55" s="119"/>
      <c r="FF55" s="119"/>
      <c r="FG55" s="119"/>
      <c r="FH55" s="119"/>
      <c r="FI55" s="119"/>
      <c r="FJ55" s="119"/>
      <c r="FK55" s="119"/>
      <c r="FL55" s="119"/>
      <c r="FM55" s="119"/>
      <c r="FN55" s="119"/>
      <c r="FO55" s="119"/>
      <c r="FP55" s="119"/>
      <c r="FQ55" s="119"/>
      <c r="FR55" s="119"/>
      <c r="FS55" s="119"/>
      <c r="FT55" s="119"/>
      <c r="FU55" s="119"/>
      <c r="FV55" s="119"/>
      <c r="FW55" s="119"/>
      <c r="FX55" s="119"/>
      <c r="FY55" s="119"/>
      <c r="FZ55" s="119"/>
      <c r="GA55" s="119"/>
      <c r="GB55" s="119"/>
      <c r="GC55" s="119"/>
      <c r="GD55" s="119"/>
      <c r="GE55" s="119"/>
      <c r="GF55" s="119"/>
      <c r="GG55" s="119"/>
      <c r="GH55" s="119"/>
      <c r="GI55" s="119"/>
      <c r="GJ55" s="119"/>
      <c r="GK55" s="119"/>
      <c r="GL55" s="119"/>
      <c r="GM55" s="119"/>
      <c r="GN55" s="119"/>
      <c r="GO55" s="119"/>
      <c r="GP55" s="119"/>
      <c r="GQ55" s="119"/>
      <c r="GR55" s="119"/>
      <c r="GS55" s="119"/>
      <c r="GT55" s="119"/>
      <c r="GU55" s="119"/>
      <c r="GV55" s="119"/>
      <c r="GW55" s="119"/>
      <c r="GX55" s="119"/>
      <c r="GY55" s="119"/>
      <c r="GZ55" s="119"/>
      <c r="HA55" s="119"/>
      <c r="HB55" s="119"/>
      <c r="HC55" s="119"/>
      <c r="HD55" s="119"/>
      <c r="HE55" s="119"/>
      <c r="HF55" s="119"/>
      <c r="HG55" s="119"/>
      <c r="HH55" s="119"/>
      <c r="HI55" s="119"/>
      <c r="HJ55" s="119"/>
      <c r="HK55" s="119"/>
      <c r="HL55" s="119"/>
      <c r="HM55" s="119"/>
      <c r="HN55" s="119"/>
      <c r="HO55" s="119"/>
      <c r="HP55" s="119"/>
      <c r="HQ55" s="119"/>
      <c r="HR55" s="119"/>
      <c r="HS55" s="119"/>
      <c r="HT55" s="119"/>
      <c r="HU55" s="119"/>
      <c r="HV55" s="119"/>
      <c r="HW55" s="119"/>
      <c r="HX55" s="119"/>
      <c r="HY55" s="119"/>
      <c r="HZ55" s="119"/>
      <c r="IA55" s="119"/>
      <c r="IB55" s="119"/>
      <c r="IC55" s="119"/>
      <c r="ID55" s="119"/>
      <c r="IE55" s="119"/>
      <c r="IF55" s="119"/>
      <c r="IG55" s="119"/>
      <c r="IH55" s="119"/>
      <c r="II55" s="119"/>
      <c r="IJ55" s="119"/>
      <c r="IK55" s="119"/>
      <c r="IL55" s="119"/>
      <c r="IM55" s="119"/>
      <c r="IN55" s="119"/>
      <c r="IO55" s="119"/>
      <c r="IP55" s="119"/>
      <c r="IQ55" s="119"/>
      <c r="IR55" s="119"/>
      <c r="IS55" s="119"/>
      <c r="IT55" s="119"/>
      <c r="IU55" s="119"/>
      <c r="IV55" s="119"/>
      <c r="IW55" s="119"/>
      <c r="IX55" s="119"/>
      <c r="IY55" s="119"/>
      <c r="IZ55" s="119"/>
      <c r="JA55" s="119"/>
      <c r="JB55" s="119"/>
      <c r="JC55" s="119"/>
      <c r="JD55" s="119"/>
      <c r="JE55" s="119"/>
      <c r="JF55" s="119"/>
      <c r="JG55" s="119"/>
      <c r="JH55" s="119"/>
      <c r="JI55" s="119"/>
      <c r="JJ55" s="119"/>
      <c r="JK55" s="119"/>
      <c r="JL55" s="119"/>
      <c r="JM55" s="119"/>
      <c r="JN55" s="119"/>
      <c r="JO55" s="119"/>
      <c r="JP55" s="119"/>
      <c r="JQ55" s="119"/>
      <c r="JR55" s="119"/>
      <c r="JS55" s="119"/>
      <c r="JT55" s="119"/>
      <c r="JU55" s="119"/>
      <c r="JV55" s="119"/>
      <c r="JW55" s="119"/>
      <c r="JX55" s="119"/>
      <c r="JY55" s="119"/>
      <c r="JZ55" s="119"/>
      <c r="KA55" s="119"/>
      <c r="KB55" s="119"/>
      <c r="KC55" s="119"/>
      <c r="KD55" s="119"/>
      <c r="KE55" s="119"/>
      <c r="KF55" s="119"/>
      <c r="KG55" s="119"/>
      <c r="KH55" s="119"/>
      <c r="KI55" s="119"/>
      <c r="KJ55" s="119"/>
      <c r="KK55" s="119"/>
      <c r="KL55" s="119"/>
      <c r="KM55" s="119"/>
      <c r="KN55" s="119"/>
      <c r="KO55" s="119"/>
      <c r="KP55" s="119"/>
      <c r="KQ55" s="119"/>
      <c r="KR55" s="119"/>
      <c r="KS55" s="119"/>
      <c r="KT55" s="119"/>
      <c r="KU55" s="119"/>
      <c r="KV55" s="119"/>
      <c r="KW55" s="119"/>
      <c r="KX55" s="119"/>
      <c r="KY55" s="119"/>
      <c r="KZ55" s="119"/>
      <c r="LA55" s="119"/>
      <c r="LB55" s="119"/>
      <c r="LC55" s="119"/>
      <c r="LD55" s="119"/>
      <c r="LE55" s="119"/>
      <c r="LF55" s="119"/>
      <c r="LG55" s="119"/>
      <c r="LH55" s="119"/>
      <c r="LI55" s="119"/>
      <c r="LJ55" s="119"/>
      <c r="LK55" s="119"/>
      <c r="LL55" s="119"/>
      <c r="LM55" s="119"/>
      <c r="LN55" s="119"/>
      <c r="LO55" s="119"/>
      <c r="LP55" s="119"/>
      <c r="LQ55" s="119"/>
      <c r="LR55" s="119"/>
      <c r="LS55" s="119"/>
      <c r="LT55" s="119"/>
      <c r="LU55" s="119"/>
      <c r="LV55" s="119"/>
      <c r="LW55" s="119"/>
      <c r="LX55" s="119"/>
      <c r="LY55" s="119"/>
      <c r="LZ55" s="119"/>
      <c r="MA55" s="119"/>
      <c r="MB55" s="119"/>
      <c r="MC55" s="119"/>
      <c r="MD55" s="119"/>
      <c r="ME55" s="119"/>
      <c r="MF55" s="119"/>
      <c r="MG55" s="119"/>
      <c r="MH55" s="119"/>
      <c r="MI55" s="119"/>
      <c r="MJ55" s="119"/>
      <c r="MK55" s="119"/>
      <c r="ML55" s="119"/>
      <c r="MM55" s="119"/>
      <c r="MN55" s="119"/>
      <c r="MO55" s="119"/>
      <c r="MP55" s="119"/>
      <c r="MQ55" s="119"/>
      <c r="MR55" s="119"/>
      <c r="MS55" s="119"/>
      <c r="MT55" s="119"/>
      <c r="MU55" s="119"/>
      <c r="MV55" s="119"/>
      <c r="MW55" s="119"/>
      <c r="MX55" s="119"/>
      <c r="MY55" s="119"/>
      <c r="MZ55" s="119"/>
      <c r="NA55" s="119"/>
      <c r="NB55" s="119"/>
      <c r="NC55" s="119"/>
      <c r="ND55" s="119"/>
      <c r="NE55" s="119"/>
      <c r="NF55" s="119"/>
      <c r="NG55" s="119"/>
      <c r="NH55" s="119"/>
      <c r="NI55" s="119"/>
      <c r="NJ55" s="119"/>
      <c r="NK55" s="119"/>
      <c r="NL55" s="119"/>
      <c r="NM55" s="119"/>
      <c r="NN55" s="119"/>
      <c r="NO55" s="119"/>
      <c r="NP55" s="119"/>
      <c r="NQ55" s="119"/>
      <c r="NR55" s="119"/>
      <c r="NS55" s="119"/>
      <c r="NT55" s="119"/>
      <c r="NU55" s="119"/>
      <c r="NV55" s="119"/>
      <c r="NW55" s="119"/>
      <c r="NX55" s="119"/>
      <c r="NY55" s="119"/>
      <c r="NZ55" s="119"/>
      <c r="OA55" s="119"/>
    </row>
    <row r="56" spans="1:391" ht="18.75" customHeight="1" x14ac:dyDescent="0.2">
      <c r="A56" s="500"/>
      <c r="B56" s="548" t="s">
        <v>349</v>
      </c>
      <c r="C56" s="187"/>
      <c r="D56" s="187"/>
      <c r="E56" s="187"/>
      <c r="F56" s="564">
        <f t="shared" ca="1" si="0"/>
        <v>-43388</v>
      </c>
      <c r="G56" s="556"/>
      <c r="H56" s="556"/>
      <c r="I56" s="556"/>
      <c r="J56" s="38" t="str">
        <f t="shared" ca="1" si="4"/>
        <v>OVERDUE</v>
      </c>
      <c r="K56" s="557"/>
      <c r="BN56" s="119"/>
      <c r="BO56" s="119"/>
      <c r="BP56" s="119"/>
      <c r="BQ56" s="119"/>
      <c r="BR56" s="119"/>
      <c r="BS56" s="119"/>
      <c r="BT56" s="119"/>
      <c r="BU56" s="119"/>
      <c r="BV56" s="119"/>
      <c r="BW56" s="119"/>
      <c r="BX56" s="119"/>
      <c r="BY56" s="119"/>
      <c r="BZ56" s="119"/>
      <c r="CA56" s="119"/>
      <c r="CB56" s="119"/>
      <c r="CC56" s="119"/>
      <c r="CD56" s="119"/>
      <c r="CE56" s="119"/>
      <c r="CF56" s="119"/>
      <c r="CG56" s="119"/>
      <c r="CH56" s="119"/>
      <c r="CI56" s="119"/>
      <c r="CJ56" s="119"/>
      <c r="CK56" s="119"/>
      <c r="CL56" s="119"/>
      <c r="CM56" s="119"/>
      <c r="CN56" s="119"/>
      <c r="CO56" s="119"/>
      <c r="CP56" s="119"/>
      <c r="CQ56" s="119"/>
      <c r="CR56" s="119"/>
      <c r="CS56" s="119"/>
      <c r="CT56" s="119"/>
      <c r="CU56" s="119"/>
      <c r="CV56" s="119"/>
      <c r="CW56" s="119"/>
      <c r="CX56" s="119"/>
      <c r="CY56" s="119"/>
      <c r="CZ56" s="119"/>
      <c r="DA56" s="119"/>
      <c r="DB56" s="119"/>
      <c r="DC56" s="119"/>
      <c r="DD56" s="119"/>
      <c r="DE56" s="119"/>
      <c r="DF56" s="119"/>
      <c r="DG56" s="119"/>
      <c r="DH56" s="119"/>
      <c r="DI56" s="119"/>
      <c r="DJ56" s="119"/>
      <c r="DK56" s="119"/>
      <c r="DL56" s="119"/>
      <c r="DM56" s="119"/>
      <c r="DN56" s="119"/>
      <c r="DO56" s="119"/>
      <c r="DP56" s="119"/>
      <c r="DQ56" s="119"/>
      <c r="DR56" s="119"/>
      <c r="DS56" s="119"/>
      <c r="DT56" s="119"/>
      <c r="DU56" s="119"/>
      <c r="DV56" s="119"/>
      <c r="DW56" s="119"/>
      <c r="DX56" s="119"/>
      <c r="DY56" s="119"/>
      <c r="DZ56" s="119"/>
      <c r="EA56" s="119"/>
      <c r="EB56" s="119"/>
      <c r="EC56" s="119"/>
      <c r="ED56" s="119"/>
      <c r="EE56" s="119"/>
      <c r="EF56" s="119"/>
      <c r="EG56" s="119"/>
      <c r="EH56" s="119"/>
      <c r="EI56" s="119"/>
      <c r="EJ56" s="119"/>
      <c r="EK56" s="119"/>
      <c r="EL56" s="119"/>
      <c r="EM56" s="119"/>
      <c r="EN56" s="119"/>
      <c r="EO56" s="119"/>
      <c r="EP56" s="119"/>
      <c r="EQ56" s="119"/>
      <c r="ER56" s="119"/>
      <c r="ES56" s="119"/>
      <c r="ET56" s="119"/>
      <c r="EU56" s="119"/>
      <c r="EV56" s="119"/>
      <c r="EW56" s="119"/>
      <c r="EX56" s="119"/>
      <c r="EY56" s="119"/>
      <c r="EZ56" s="119"/>
      <c r="FA56" s="119"/>
      <c r="FB56" s="119"/>
      <c r="FC56" s="119"/>
      <c r="FD56" s="119"/>
      <c r="FE56" s="119"/>
      <c r="FF56" s="119"/>
      <c r="FG56" s="119"/>
      <c r="FH56" s="119"/>
      <c r="FI56" s="119"/>
      <c r="FJ56" s="119"/>
      <c r="FK56" s="119"/>
      <c r="FL56" s="119"/>
      <c r="FM56" s="119"/>
      <c r="FN56" s="119"/>
      <c r="FO56" s="119"/>
      <c r="FP56" s="119"/>
      <c r="FQ56" s="119"/>
      <c r="FR56" s="119"/>
      <c r="FS56" s="119"/>
      <c r="FT56" s="119"/>
      <c r="FU56" s="119"/>
      <c r="FV56" s="119"/>
      <c r="FW56" s="119"/>
      <c r="FX56" s="119"/>
      <c r="FY56" s="119"/>
      <c r="FZ56" s="119"/>
      <c r="GA56" s="119"/>
      <c r="GB56" s="119"/>
      <c r="GC56" s="119"/>
      <c r="GD56" s="119"/>
      <c r="GE56" s="119"/>
      <c r="GF56" s="119"/>
      <c r="GG56" s="119"/>
      <c r="GH56" s="119"/>
      <c r="GI56" s="119"/>
      <c r="GJ56" s="119"/>
      <c r="GK56" s="119"/>
      <c r="GL56" s="119"/>
      <c r="GM56" s="119"/>
      <c r="GN56" s="119"/>
      <c r="GO56" s="119"/>
      <c r="GP56" s="119"/>
      <c r="GQ56" s="119"/>
      <c r="GR56" s="119"/>
      <c r="GS56" s="119"/>
      <c r="GT56" s="119"/>
      <c r="GU56" s="119"/>
      <c r="GV56" s="119"/>
      <c r="GW56" s="119"/>
      <c r="GX56" s="119"/>
      <c r="GY56" s="119"/>
      <c r="GZ56" s="119"/>
      <c r="HA56" s="119"/>
      <c r="HB56" s="119"/>
      <c r="HC56" s="119"/>
      <c r="HD56" s="119"/>
      <c r="HE56" s="119"/>
      <c r="HF56" s="119"/>
      <c r="HG56" s="119"/>
      <c r="HH56" s="119"/>
      <c r="HI56" s="119"/>
      <c r="HJ56" s="119"/>
      <c r="HK56" s="119"/>
      <c r="HL56" s="119"/>
      <c r="HM56" s="119"/>
      <c r="HN56" s="119"/>
      <c r="HO56" s="119"/>
      <c r="HP56" s="119"/>
      <c r="HQ56" s="119"/>
      <c r="HR56" s="119"/>
      <c r="HS56" s="119"/>
      <c r="HT56" s="119"/>
      <c r="HU56" s="119"/>
      <c r="HV56" s="119"/>
      <c r="HW56" s="119"/>
      <c r="HX56" s="119"/>
      <c r="HY56" s="119"/>
      <c r="HZ56" s="119"/>
      <c r="IA56" s="119"/>
      <c r="IB56" s="119"/>
      <c r="IC56" s="119"/>
      <c r="ID56" s="119"/>
      <c r="IE56" s="119"/>
      <c r="IF56" s="119"/>
      <c r="IG56" s="119"/>
      <c r="IH56" s="119"/>
      <c r="II56" s="119"/>
      <c r="IJ56" s="119"/>
      <c r="IK56" s="119"/>
      <c r="IL56" s="119"/>
      <c r="IM56" s="119"/>
      <c r="IN56" s="119"/>
      <c r="IO56" s="119"/>
      <c r="IP56" s="119"/>
      <c r="IQ56" s="119"/>
      <c r="IR56" s="119"/>
      <c r="IS56" s="119"/>
      <c r="IT56" s="119"/>
      <c r="IU56" s="119"/>
      <c r="IV56" s="119"/>
      <c r="IW56" s="119"/>
      <c r="IX56" s="119"/>
      <c r="IY56" s="119"/>
      <c r="IZ56" s="119"/>
      <c r="JA56" s="119"/>
      <c r="JB56" s="119"/>
      <c r="JC56" s="119"/>
      <c r="JD56" s="119"/>
      <c r="JE56" s="119"/>
      <c r="JF56" s="119"/>
      <c r="JG56" s="119"/>
      <c r="JH56" s="119"/>
      <c r="JI56" s="119"/>
      <c r="JJ56" s="119"/>
      <c r="JK56" s="119"/>
      <c r="JL56" s="119"/>
      <c r="JM56" s="119"/>
      <c r="JN56" s="119"/>
      <c r="JO56" s="119"/>
      <c r="JP56" s="119"/>
      <c r="JQ56" s="119"/>
      <c r="JR56" s="119"/>
      <c r="JS56" s="119"/>
      <c r="JT56" s="119"/>
      <c r="JU56" s="119"/>
      <c r="JV56" s="119"/>
      <c r="JW56" s="119"/>
      <c r="JX56" s="119"/>
      <c r="JY56" s="119"/>
      <c r="JZ56" s="119"/>
      <c r="KA56" s="119"/>
      <c r="KB56" s="119"/>
      <c r="KC56" s="119"/>
      <c r="KD56" s="119"/>
      <c r="KE56" s="119"/>
      <c r="KF56" s="119"/>
      <c r="KG56" s="119"/>
      <c r="KH56" s="119"/>
      <c r="KI56" s="119"/>
      <c r="KJ56" s="119"/>
      <c r="KK56" s="119"/>
      <c r="KL56" s="119"/>
      <c r="KM56" s="119"/>
      <c r="KN56" s="119"/>
      <c r="KO56" s="119"/>
      <c r="KP56" s="119"/>
      <c r="KQ56" s="119"/>
      <c r="KR56" s="119"/>
      <c r="KS56" s="119"/>
      <c r="KT56" s="119"/>
      <c r="KU56" s="119"/>
      <c r="KV56" s="119"/>
      <c r="KW56" s="119"/>
      <c r="KX56" s="119"/>
      <c r="KY56" s="119"/>
      <c r="KZ56" s="119"/>
      <c r="LA56" s="119"/>
      <c r="LB56" s="119"/>
      <c r="LC56" s="119"/>
      <c r="LD56" s="119"/>
      <c r="LE56" s="119"/>
      <c r="LF56" s="119"/>
      <c r="LG56" s="119"/>
      <c r="LH56" s="119"/>
      <c r="LI56" s="119"/>
      <c r="LJ56" s="119"/>
      <c r="LK56" s="119"/>
      <c r="LL56" s="119"/>
      <c r="LM56" s="119"/>
      <c r="LN56" s="119"/>
      <c r="LO56" s="119"/>
      <c r="LP56" s="119"/>
      <c r="LQ56" s="119"/>
      <c r="LR56" s="119"/>
      <c r="LS56" s="119"/>
      <c r="LT56" s="119"/>
      <c r="LU56" s="119"/>
      <c r="LV56" s="119"/>
      <c r="LW56" s="119"/>
      <c r="LX56" s="119"/>
      <c r="LY56" s="119"/>
      <c r="LZ56" s="119"/>
      <c r="MA56" s="119"/>
      <c r="MB56" s="119"/>
      <c r="MC56" s="119"/>
      <c r="MD56" s="119"/>
      <c r="ME56" s="119"/>
      <c r="MF56" s="119"/>
      <c r="MG56" s="119"/>
      <c r="MH56" s="119"/>
      <c r="MI56" s="119"/>
      <c r="MJ56" s="119"/>
      <c r="MK56" s="119"/>
      <c r="ML56" s="119"/>
      <c r="MM56" s="119"/>
      <c r="MN56" s="119"/>
      <c r="MO56" s="119"/>
      <c r="MP56" s="119"/>
      <c r="MQ56" s="119"/>
      <c r="MR56" s="119"/>
      <c r="MS56" s="119"/>
      <c r="MT56" s="119"/>
      <c r="MU56" s="119"/>
      <c r="MV56" s="119"/>
      <c r="MW56" s="119"/>
      <c r="MX56" s="119"/>
      <c r="MY56" s="119"/>
      <c r="MZ56" s="119"/>
      <c r="NA56" s="119"/>
      <c r="NB56" s="119"/>
      <c r="NC56" s="119"/>
      <c r="ND56" s="119"/>
      <c r="NE56" s="119"/>
      <c r="NF56" s="119"/>
      <c r="NG56" s="119"/>
      <c r="NH56" s="119"/>
      <c r="NI56" s="119"/>
      <c r="NJ56" s="119"/>
      <c r="NK56" s="119"/>
      <c r="NL56" s="119"/>
      <c r="NM56" s="119"/>
      <c r="NN56" s="119"/>
      <c r="NO56" s="119"/>
      <c r="NP56" s="119"/>
      <c r="NQ56" s="119"/>
      <c r="NR56" s="119"/>
      <c r="NS56" s="119"/>
      <c r="NT56" s="119"/>
      <c r="NU56" s="119"/>
      <c r="NV56" s="119"/>
      <c r="NW56" s="119"/>
      <c r="NX56" s="119"/>
      <c r="NY56" s="119"/>
      <c r="NZ56" s="119"/>
      <c r="OA56" s="119"/>
    </row>
    <row r="57" spans="1:391" ht="15" customHeight="1" x14ac:dyDescent="0.2">
      <c r="A57" s="500"/>
      <c r="B57" s="548" t="s">
        <v>350</v>
      </c>
      <c r="C57" s="187"/>
      <c r="D57" s="187"/>
      <c r="E57" s="187"/>
      <c r="F57" s="564">
        <f t="shared" ca="1" si="0"/>
        <v>-43388</v>
      </c>
      <c r="G57" s="556"/>
      <c r="H57" s="556"/>
      <c r="I57" s="556"/>
      <c r="J57" s="38" t="str">
        <f t="shared" ca="1" si="4"/>
        <v>OVERDUE</v>
      </c>
      <c r="K57" s="557"/>
      <c r="BN57" s="119"/>
      <c r="BO57" s="119"/>
      <c r="BP57" s="119"/>
      <c r="BQ57" s="119"/>
      <c r="BR57" s="119"/>
      <c r="BS57" s="119"/>
      <c r="BT57" s="119"/>
      <c r="BU57" s="119"/>
      <c r="BV57" s="119"/>
      <c r="BW57" s="119"/>
      <c r="BX57" s="119"/>
      <c r="BY57" s="119"/>
      <c r="BZ57" s="119"/>
      <c r="CA57" s="119"/>
      <c r="CB57" s="119"/>
      <c r="CC57" s="119"/>
      <c r="CD57" s="119"/>
      <c r="CE57" s="119"/>
      <c r="CF57" s="119"/>
      <c r="CG57" s="119"/>
      <c r="CH57" s="119"/>
      <c r="CI57" s="119"/>
      <c r="CJ57" s="119"/>
      <c r="CK57" s="119"/>
      <c r="CL57" s="119"/>
      <c r="CM57" s="119"/>
      <c r="CN57" s="119"/>
      <c r="CO57" s="119"/>
      <c r="CP57" s="119"/>
      <c r="CQ57" s="119"/>
      <c r="CR57" s="119"/>
      <c r="CS57" s="119"/>
      <c r="CT57" s="119"/>
      <c r="CU57" s="119"/>
      <c r="CV57" s="119"/>
      <c r="CW57" s="119"/>
      <c r="CX57" s="119"/>
      <c r="CY57" s="119"/>
      <c r="CZ57" s="119"/>
      <c r="DA57" s="119"/>
      <c r="DB57" s="119"/>
      <c r="DC57" s="119"/>
      <c r="DD57" s="119"/>
      <c r="DE57" s="119"/>
      <c r="DF57" s="119"/>
      <c r="DG57" s="119"/>
      <c r="DH57" s="119"/>
      <c r="DI57" s="119"/>
      <c r="DJ57" s="119"/>
      <c r="DK57" s="119"/>
      <c r="DL57" s="119"/>
      <c r="DM57" s="119"/>
      <c r="DN57" s="119"/>
      <c r="DO57" s="119"/>
      <c r="DP57" s="119"/>
      <c r="DQ57" s="119"/>
      <c r="DR57" s="119"/>
      <c r="DS57" s="119"/>
      <c r="DT57" s="119"/>
      <c r="DU57" s="119"/>
      <c r="DV57" s="119"/>
      <c r="DW57" s="119"/>
      <c r="DX57" s="119"/>
      <c r="DY57" s="119"/>
      <c r="DZ57" s="119"/>
      <c r="EA57" s="119"/>
      <c r="EB57" s="119"/>
      <c r="EC57" s="119"/>
      <c r="ED57" s="119"/>
      <c r="EE57" s="119"/>
      <c r="EF57" s="119"/>
      <c r="EG57" s="119"/>
      <c r="EH57" s="119"/>
      <c r="EI57" s="119"/>
      <c r="EJ57" s="119"/>
      <c r="EK57" s="119"/>
      <c r="EL57" s="119"/>
      <c r="EM57" s="119"/>
      <c r="EN57" s="119"/>
      <c r="EO57" s="119"/>
      <c r="EP57" s="119"/>
      <c r="EQ57" s="119"/>
      <c r="ER57" s="119"/>
      <c r="ES57" s="119"/>
      <c r="ET57" s="119"/>
      <c r="EU57" s="119"/>
      <c r="EV57" s="119"/>
      <c r="EW57" s="119"/>
      <c r="EX57" s="119"/>
      <c r="EY57" s="119"/>
      <c r="EZ57" s="119"/>
      <c r="FA57" s="119"/>
      <c r="FB57" s="119"/>
      <c r="FC57" s="119"/>
      <c r="FD57" s="119"/>
      <c r="FE57" s="119"/>
      <c r="FF57" s="119"/>
      <c r="FG57" s="119"/>
      <c r="FH57" s="119"/>
      <c r="FI57" s="119"/>
      <c r="FJ57" s="119"/>
      <c r="FK57" s="119"/>
      <c r="FL57" s="119"/>
      <c r="FM57" s="119"/>
      <c r="FN57" s="119"/>
      <c r="FO57" s="119"/>
      <c r="FP57" s="119"/>
      <c r="FQ57" s="119"/>
      <c r="FR57" s="119"/>
      <c r="FS57" s="119"/>
      <c r="FT57" s="119"/>
      <c r="FU57" s="119"/>
      <c r="FV57" s="119"/>
      <c r="FW57" s="119"/>
      <c r="FX57" s="119"/>
      <c r="FY57" s="119"/>
      <c r="FZ57" s="119"/>
      <c r="GA57" s="119"/>
      <c r="GB57" s="119"/>
      <c r="GC57" s="119"/>
      <c r="GD57" s="119"/>
      <c r="GE57" s="119"/>
      <c r="GF57" s="119"/>
      <c r="GG57" s="119"/>
      <c r="GH57" s="119"/>
      <c r="GI57" s="119"/>
      <c r="GJ57" s="119"/>
      <c r="GK57" s="119"/>
      <c r="GL57" s="119"/>
      <c r="GM57" s="119"/>
      <c r="GN57" s="119"/>
      <c r="GO57" s="119"/>
      <c r="GP57" s="119"/>
      <c r="GQ57" s="119"/>
      <c r="GR57" s="119"/>
      <c r="GS57" s="119"/>
      <c r="GT57" s="119"/>
      <c r="GU57" s="119"/>
      <c r="GV57" s="119"/>
      <c r="GW57" s="119"/>
      <c r="GX57" s="119"/>
      <c r="GY57" s="119"/>
      <c r="GZ57" s="119"/>
      <c r="HA57" s="119"/>
      <c r="HB57" s="119"/>
      <c r="HC57" s="119"/>
      <c r="HD57" s="119"/>
      <c r="HE57" s="119"/>
      <c r="HF57" s="119"/>
      <c r="HG57" s="119"/>
      <c r="HH57" s="119"/>
      <c r="HI57" s="119"/>
      <c r="HJ57" s="119"/>
      <c r="HK57" s="119"/>
      <c r="HL57" s="119"/>
      <c r="HM57" s="119"/>
      <c r="HN57" s="119"/>
      <c r="HO57" s="119"/>
      <c r="HP57" s="119"/>
      <c r="HQ57" s="119"/>
      <c r="HR57" s="119"/>
      <c r="HS57" s="119"/>
      <c r="HT57" s="119"/>
      <c r="HU57" s="119"/>
      <c r="HV57" s="119"/>
      <c r="HW57" s="119"/>
      <c r="HX57" s="119"/>
      <c r="HY57" s="119"/>
      <c r="HZ57" s="119"/>
      <c r="IA57" s="119"/>
      <c r="IB57" s="119"/>
      <c r="IC57" s="119"/>
      <c r="ID57" s="119"/>
      <c r="IE57" s="119"/>
      <c r="IF57" s="119"/>
      <c r="IG57" s="119"/>
      <c r="IH57" s="119"/>
      <c r="II57" s="119"/>
      <c r="IJ57" s="119"/>
      <c r="IK57" s="119"/>
      <c r="IL57" s="119"/>
      <c r="IM57" s="119"/>
      <c r="IN57" s="119"/>
      <c r="IO57" s="119"/>
      <c r="IP57" s="119"/>
      <c r="IQ57" s="119"/>
      <c r="IR57" s="119"/>
      <c r="IS57" s="119"/>
      <c r="IT57" s="119"/>
      <c r="IU57" s="119"/>
      <c r="IV57" s="119"/>
      <c r="IW57" s="119"/>
      <c r="IX57" s="119"/>
      <c r="IY57" s="119"/>
      <c r="IZ57" s="119"/>
      <c r="JA57" s="119"/>
      <c r="JB57" s="119"/>
      <c r="JC57" s="119"/>
      <c r="JD57" s="119"/>
      <c r="JE57" s="119"/>
      <c r="JF57" s="119"/>
      <c r="JG57" s="119"/>
      <c r="JH57" s="119"/>
      <c r="JI57" s="119"/>
      <c r="JJ57" s="119"/>
      <c r="JK57" s="119"/>
      <c r="JL57" s="119"/>
      <c r="JM57" s="119"/>
      <c r="JN57" s="119"/>
      <c r="JO57" s="119"/>
      <c r="JP57" s="119"/>
      <c r="JQ57" s="119"/>
      <c r="JR57" s="119"/>
      <c r="JS57" s="119"/>
      <c r="JT57" s="119"/>
      <c r="JU57" s="119"/>
      <c r="JV57" s="119"/>
      <c r="JW57" s="119"/>
      <c r="JX57" s="119"/>
      <c r="JY57" s="119"/>
      <c r="JZ57" s="119"/>
      <c r="KA57" s="119"/>
      <c r="KB57" s="119"/>
      <c r="KC57" s="119"/>
      <c r="KD57" s="119"/>
      <c r="KE57" s="119"/>
      <c r="KF57" s="119"/>
      <c r="KG57" s="119"/>
      <c r="KH57" s="119"/>
      <c r="KI57" s="119"/>
      <c r="KJ57" s="119"/>
      <c r="KK57" s="119"/>
      <c r="KL57" s="119"/>
      <c r="KM57" s="119"/>
      <c r="KN57" s="119"/>
      <c r="KO57" s="119"/>
      <c r="KP57" s="119"/>
      <c r="KQ57" s="119"/>
      <c r="KR57" s="119"/>
      <c r="KS57" s="119"/>
      <c r="KT57" s="119"/>
      <c r="KU57" s="119"/>
      <c r="KV57" s="119"/>
      <c r="KW57" s="119"/>
      <c r="KX57" s="119"/>
      <c r="KY57" s="119"/>
      <c r="KZ57" s="119"/>
      <c r="LA57" s="119"/>
      <c r="LB57" s="119"/>
      <c r="LC57" s="119"/>
      <c r="LD57" s="119"/>
      <c r="LE57" s="119"/>
      <c r="LF57" s="119"/>
      <c r="LG57" s="119"/>
      <c r="LH57" s="119"/>
      <c r="LI57" s="119"/>
      <c r="LJ57" s="119"/>
      <c r="LK57" s="119"/>
      <c r="LL57" s="119"/>
      <c r="LM57" s="119"/>
      <c r="LN57" s="119"/>
      <c r="LO57" s="119"/>
      <c r="LP57" s="119"/>
      <c r="LQ57" s="119"/>
      <c r="LR57" s="119"/>
      <c r="LS57" s="119"/>
      <c r="LT57" s="119"/>
      <c r="LU57" s="119"/>
      <c r="LV57" s="119"/>
      <c r="LW57" s="119"/>
      <c r="LX57" s="119"/>
      <c r="LY57" s="119"/>
      <c r="LZ57" s="119"/>
      <c r="MA57" s="119"/>
      <c r="MB57" s="119"/>
      <c r="MC57" s="119"/>
      <c r="MD57" s="119"/>
      <c r="ME57" s="119"/>
      <c r="MF57" s="119"/>
      <c r="MG57" s="119"/>
      <c r="MH57" s="119"/>
      <c r="MI57" s="119"/>
      <c r="MJ57" s="119"/>
      <c r="MK57" s="119"/>
      <c r="ML57" s="119"/>
      <c r="MM57" s="119"/>
      <c r="MN57" s="119"/>
      <c r="MO57" s="119"/>
      <c r="MP57" s="119"/>
      <c r="MQ57" s="119"/>
      <c r="MR57" s="119"/>
      <c r="MS57" s="119"/>
      <c r="MT57" s="119"/>
      <c r="MU57" s="119"/>
      <c r="MV57" s="119"/>
      <c r="MW57" s="119"/>
      <c r="MX57" s="119"/>
      <c r="MY57" s="119"/>
      <c r="MZ57" s="119"/>
      <c r="NA57" s="119"/>
      <c r="NB57" s="119"/>
      <c r="NC57" s="119"/>
      <c r="ND57" s="119"/>
      <c r="NE57" s="119"/>
      <c r="NF57" s="119"/>
      <c r="NG57" s="119"/>
      <c r="NH57" s="119"/>
      <c r="NI57" s="119"/>
      <c r="NJ57" s="119"/>
      <c r="NK57" s="119"/>
      <c r="NL57" s="119"/>
      <c r="NM57" s="119"/>
      <c r="NN57" s="119"/>
      <c r="NO57" s="119"/>
      <c r="NP57" s="119"/>
      <c r="NQ57" s="119"/>
      <c r="NR57" s="119"/>
      <c r="NS57" s="119"/>
      <c r="NT57" s="119"/>
      <c r="NU57" s="119"/>
      <c r="NV57" s="119"/>
      <c r="NW57" s="119"/>
      <c r="NX57" s="119"/>
      <c r="NY57" s="119"/>
      <c r="NZ57" s="119"/>
      <c r="OA57" s="119"/>
    </row>
    <row r="58" spans="1:391" ht="13.9" customHeight="1" x14ac:dyDescent="0.2">
      <c r="A58" s="500"/>
      <c r="B58" s="548" t="s">
        <v>351</v>
      </c>
      <c r="C58" s="187"/>
      <c r="D58" s="187"/>
      <c r="E58" s="187"/>
      <c r="F58" s="564">
        <f t="shared" ca="1" si="0"/>
        <v>-43388</v>
      </c>
      <c r="G58" s="556"/>
      <c r="H58" s="556"/>
      <c r="I58" s="556"/>
      <c r="J58" s="38" t="str">
        <f t="shared" ca="1" si="4"/>
        <v>OVERDUE</v>
      </c>
      <c r="K58" s="557"/>
      <c r="BN58" s="119"/>
      <c r="BO58" s="119"/>
      <c r="BP58" s="119"/>
      <c r="BQ58" s="119"/>
      <c r="BR58" s="119"/>
      <c r="BS58" s="119"/>
      <c r="BT58" s="119"/>
      <c r="BU58" s="119"/>
      <c r="BV58" s="119"/>
      <c r="BW58" s="119"/>
      <c r="BX58" s="119"/>
      <c r="BY58" s="119"/>
      <c r="BZ58" s="119"/>
      <c r="CA58" s="119"/>
      <c r="CB58" s="119"/>
      <c r="CC58" s="119"/>
      <c r="CD58" s="119"/>
      <c r="CE58" s="119"/>
      <c r="CF58" s="119"/>
      <c r="CG58" s="119"/>
      <c r="CH58" s="119"/>
      <c r="CI58" s="119"/>
      <c r="CJ58" s="119"/>
      <c r="CK58" s="119"/>
      <c r="CL58" s="119"/>
      <c r="CM58" s="119"/>
      <c r="CN58" s="119"/>
      <c r="CO58" s="119"/>
      <c r="CP58" s="119"/>
      <c r="CQ58" s="119"/>
      <c r="CR58" s="119"/>
      <c r="CS58" s="119"/>
      <c r="CT58" s="119"/>
      <c r="CU58" s="119"/>
      <c r="CV58" s="119"/>
      <c r="CW58" s="119"/>
      <c r="CX58" s="119"/>
      <c r="CY58" s="119"/>
      <c r="CZ58" s="119"/>
      <c r="DA58" s="119"/>
      <c r="DB58" s="119"/>
      <c r="DC58" s="119"/>
      <c r="DD58" s="119"/>
      <c r="DE58" s="119"/>
      <c r="DF58" s="119"/>
      <c r="DG58" s="119"/>
      <c r="DH58" s="119"/>
      <c r="DI58" s="119"/>
      <c r="DJ58" s="119"/>
      <c r="DK58" s="119"/>
      <c r="DL58" s="119"/>
      <c r="DM58" s="119"/>
      <c r="DN58" s="119"/>
      <c r="DO58" s="119"/>
      <c r="DP58" s="119"/>
      <c r="DQ58" s="119"/>
      <c r="DR58" s="119"/>
      <c r="DS58" s="119"/>
      <c r="DT58" s="119"/>
      <c r="DU58" s="119"/>
      <c r="DV58" s="119"/>
      <c r="DW58" s="119"/>
      <c r="DX58" s="119"/>
      <c r="DY58" s="119"/>
      <c r="DZ58" s="119"/>
      <c r="EA58" s="119"/>
      <c r="EB58" s="119"/>
      <c r="EC58" s="119"/>
      <c r="ED58" s="119"/>
      <c r="EE58" s="119"/>
      <c r="EF58" s="119"/>
      <c r="EG58" s="119"/>
      <c r="EH58" s="119"/>
      <c r="EI58" s="119"/>
      <c r="EJ58" s="119"/>
      <c r="EK58" s="119"/>
      <c r="EL58" s="119"/>
      <c r="EM58" s="119"/>
      <c r="EN58" s="119"/>
      <c r="EO58" s="119"/>
      <c r="EP58" s="119"/>
      <c r="EQ58" s="119"/>
      <c r="ER58" s="119"/>
      <c r="ES58" s="119"/>
      <c r="ET58" s="119"/>
      <c r="EU58" s="119"/>
      <c r="EV58" s="119"/>
      <c r="EW58" s="119"/>
      <c r="EX58" s="119"/>
      <c r="EY58" s="119"/>
      <c r="EZ58" s="119"/>
      <c r="FA58" s="119"/>
      <c r="FB58" s="119"/>
      <c r="FC58" s="119"/>
      <c r="FD58" s="119"/>
      <c r="FE58" s="119"/>
      <c r="FF58" s="119"/>
      <c r="FG58" s="119"/>
      <c r="FH58" s="119"/>
      <c r="FI58" s="119"/>
      <c r="FJ58" s="119"/>
      <c r="FK58" s="119"/>
      <c r="FL58" s="119"/>
      <c r="FM58" s="119"/>
      <c r="FN58" s="119"/>
      <c r="FO58" s="119"/>
      <c r="FP58" s="119"/>
      <c r="FQ58" s="119"/>
      <c r="FR58" s="119"/>
      <c r="FS58" s="119"/>
      <c r="FT58" s="119"/>
      <c r="FU58" s="119"/>
      <c r="FV58" s="119"/>
      <c r="FW58" s="119"/>
      <c r="FX58" s="119"/>
      <c r="FY58" s="119"/>
      <c r="FZ58" s="119"/>
      <c r="GA58" s="119"/>
      <c r="GB58" s="119"/>
      <c r="GC58" s="119"/>
      <c r="GD58" s="119"/>
      <c r="GE58" s="119"/>
      <c r="GF58" s="119"/>
      <c r="GG58" s="119"/>
      <c r="GH58" s="119"/>
      <c r="GI58" s="119"/>
      <c r="GJ58" s="119"/>
      <c r="GK58" s="119"/>
      <c r="GL58" s="119"/>
      <c r="GM58" s="119"/>
      <c r="GN58" s="119"/>
      <c r="GO58" s="119"/>
      <c r="GP58" s="119"/>
      <c r="GQ58" s="119"/>
      <c r="GR58" s="119"/>
      <c r="GS58" s="119"/>
      <c r="GT58" s="119"/>
      <c r="GU58" s="119"/>
      <c r="GV58" s="119"/>
      <c r="GW58" s="119"/>
      <c r="GX58" s="119"/>
      <c r="GY58" s="119"/>
      <c r="GZ58" s="119"/>
      <c r="HA58" s="119"/>
      <c r="HB58" s="119"/>
      <c r="HC58" s="119"/>
      <c r="HD58" s="119"/>
      <c r="HE58" s="119"/>
      <c r="HF58" s="119"/>
      <c r="HG58" s="119"/>
      <c r="HH58" s="119"/>
      <c r="HI58" s="119"/>
      <c r="HJ58" s="119"/>
      <c r="HK58" s="119"/>
      <c r="HL58" s="119"/>
      <c r="HM58" s="119"/>
      <c r="HN58" s="119"/>
      <c r="HO58" s="119"/>
      <c r="HP58" s="119"/>
      <c r="HQ58" s="119"/>
      <c r="HR58" s="119"/>
      <c r="HS58" s="119"/>
      <c r="HT58" s="119"/>
      <c r="HU58" s="119"/>
      <c r="HV58" s="119"/>
      <c r="HW58" s="119"/>
      <c r="HX58" s="119"/>
      <c r="HY58" s="119"/>
      <c r="HZ58" s="119"/>
      <c r="IA58" s="119"/>
      <c r="IB58" s="119"/>
      <c r="IC58" s="119"/>
      <c r="ID58" s="119"/>
      <c r="IE58" s="119"/>
      <c r="IF58" s="119"/>
      <c r="IG58" s="119"/>
      <c r="IH58" s="119"/>
      <c r="II58" s="119"/>
      <c r="IJ58" s="119"/>
      <c r="IK58" s="119"/>
      <c r="IL58" s="119"/>
      <c r="IM58" s="119"/>
      <c r="IN58" s="119"/>
      <c r="IO58" s="119"/>
      <c r="IP58" s="119"/>
      <c r="IQ58" s="119"/>
      <c r="IR58" s="119"/>
      <c r="IS58" s="119"/>
      <c r="IT58" s="119"/>
      <c r="IU58" s="119"/>
      <c r="IV58" s="119"/>
      <c r="IW58" s="119"/>
      <c r="IX58" s="119"/>
      <c r="IY58" s="119"/>
      <c r="IZ58" s="119"/>
      <c r="JA58" s="119"/>
      <c r="JB58" s="119"/>
      <c r="JC58" s="119"/>
      <c r="JD58" s="119"/>
      <c r="JE58" s="119"/>
      <c r="JF58" s="119"/>
      <c r="JG58" s="119"/>
      <c r="JH58" s="119"/>
      <c r="JI58" s="119"/>
      <c r="JJ58" s="119"/>
      <c r="JK58" s="119"/>
      <c r="JL58" s="119"/>
      <c r="JM58" s="119"/>
      <c r="JN58" s="119"/>
      <c r="JO58" s="119"/>
      <c r="JP58" s="119"/>
      <c r="JQ58" s="119"/>
      <c r="JR58" s="119"/>
      <c r="JS58" s="119"/>
      <c r="JT58" s="119"/>
      <c r="JU58" s="119"/>
      <c r="JV58" s="119"/>
      <c r="JW58" s="119"/>
      <c r="JX58" s="119"/>
      <c r="JY58" s="119"/>
      <c r="JZ58" s="119"/>
      <c r="KA58" s="119"/>
      <c r="KB58" s="119"/>
      <c r="KC58" s="119"/>
      <c r="KD58" s="119"/>
      <c r="KE58" s="119"/>
      <c r="KF58" s="119"/>
      <c r="KG58" s="119"/>
      <c r="KH58" s="119"/>
      <c r="KI58" s="119"/>
      <c r="KJ58" s="119"/>
      <c r="KK58" s="119"/>
      <c r="KL58" s="119"/>
      <c r="KM58" s="119"/>
      <c r="KN58" s="119"/>
      <c r="KO58" s="119"/>
      <c r="KP58" s="119"/>
      <c r="KQ58" s="119"/>
      <c r="KR58" s="119"/>
      <c r="KS58" s="119"/>
      <c r="KT58" s="119"/>
      <c r="KU58" s="119"/>
      <c r="KV58" s="119"/>
      <c r="KW58" s="119"/>
      <c r="KX58" s="119"/>
      <c r="KY58" s="119"/>
      <c r="KZ58" s="119"/>
      <c r="LA58" s="119"/>
      <c r="LB58" s="119"/>
      <c r="LC58" s="119"/>
      <c r="LD58" s="119"/>
      <c r="LE58" s="119"/>
      <c r="LF58" s="119"/>
      <c r="LG58" s="119"/>
      <c r="LH58" s="119"/>
      <c r="LI58" s="119"/>
      <c r="LJ58" s="119"/>
      <c r="LK58" s="119"/>
      <c r="LL58" s="119"/>
      <c r="LM58" s="119"/>
      <c r="LN58" s="119"/>
      <c r="LO58" s="119"/>
      <c r="LP58" s="119"/>
      <c r="LQ58" s="119"/>
      <c r="LR58" s="119"/>
      <c r="LS58" s="119"/>
      <c r="LT58" s="119"/>
      <c r="LU58" s="119"/>
      <c r="LV58" s="119"/>
      <c r="LW58" s="119"/>
      <c r="LX58" s="119"/>
      <c r="LY58" s="119"/>
      <c r="LZ58" s="119"/>
      <c r="MA58" s="119"/>
      <c r="MB58" s="119"/>
      <c r="MC58" s="119"/>
      <c r="MD58" s="119"/>
      <c r="ME58" s="119"/>
      <c r="MF58" s="119"/>
      <c r="MG58" s="119"/>
      <c r="MH58" s="119"/>
      <c r="MI58" s="119"/>
      <c r="MJ58" s="119"/>
      <c r="MK58" s="119"/>
      <c r="ML58" s="119"/>
      <c r="MM58" s="119"/>
      <c r="MN58" s="119"/>
      <c r="MO58" s="119"/>
      <c r="MP58" s="119"/>
      <c r="MQ58" s="119"/>
      <c r="MR58" s="119"/>
      <c r="MS58" s="119"/>
      <c r="MT58" s="119"/>
      <c r="MU58" s="119"/>
      <c r="MV58" s="119"/>
      <c r="MW58" s="119"/>
      <c r="MX58" s="119"/>
      <c r="MY58" s="119"/>
      <c r="MZ58" s="119"/>
      <c r="NA58" s="119"/>
      <c r="NB58" s="119"/>
      <c r="NC58" s="119"/>
      <c r="ND58" s="119"/>
      <c r="NE58" s="119"/>
      <c r="NF58" s="119"/>
      <c r="NG58" s="119"/>
      <c r="NH58" s="119"/>
      <c r="NI58" s="119"/>
      <c r="NJ58" s="119"/>
      <c r="NK58" s="119"/>
      <c r="NL58" s="119"/>
      <c r="NM58" s="119"/>
      <c r="NN58" s="119"/>
      <c r="NO58" s="119"/>
      <c r="NP58" s="119"/>
      <c r="NQ58" s="119"/>
      <c r="NR58" s="119"/>
      <c r="NS58" s="119"/>
      <c r="NT58" s="119"/>
      <c r="NU58" s="119"/>
      <c r="NV58" s="119"/>
      <c r="NW58" s="119"/>
      <c r="NX58" s="119"/>
      <c r="NY58" s="119"/>
      <c r="NZ58" s="119"/>
      <c r="OA58" s="119"/>
    </row>
    <row r="59" spans="1:391" ht="13.9" customHeight="1" x14ac:dyDescent="0.2">
      <c r="A59" s="500"/>
      <c r="B59" s="548" t="s">
        <v>352</v>
      </c>
      <c r="C59" s="187"/>
      <c r="D59" s="187"/>
      <c r="E59" s="187"/>
      <c r="F59" s="564">
        <f t="shared" ca="1" si="0"/>
        <v>-43388</v>
      </c>
      <c r="G59" s="556"/>
      <c r="H59" s="556"/>
      <c r="I59" s="556"/>
      <c r="J59" s="38" t="str">
        <f t="shared" ca="1" si="4"/>
        <v>OVERDUE</v>
      </c>
      <c r="K59" s="557"/>
      <c r="BN59" s="119"/>
      <c r="BO59" s="119"/>
      <c r="BP59" s="119"/>
      <c r="BQ59" s="119"/>
      <c r="BR59" s="119"/>
      <c r="BS59" s="119"/>
      <c r="BT59" s="119"/>
      <c r="BU59" s="119"/>
      <c r="BV59" s="119"/>
      <c r="BW59" s="119"/>
      <c r="BX59" s="119"/>
      <c r="BY59" s="119"/>
      <c r="BZ59" s="119"/>
      <c r="CA59" s="119"/>
      <c r="CB59" s="119"/>
      <c r="CC59" s="119"/>
      <c r="CD59" s="119"/>
      <c r="CE59" s="119"/>
      <c r="CF59" s="119"/>
      <c r="CG59" s="119"/>
      <c r="CH59" s="119"/>
      <c r="CI59" s="119"/>
      <c r="CJ59" s="119"/>
      <c r="CK59" s="119"/>
      <c r="CL59" s="119"/>
      <c r="CM59" s="119"/>
      <c r="CN59" s="119"/>
      <c r="CO59" s="119"/>
      <c r="CP59" s="119"/>
      <c r="CQ59" s="119"/>
      <c r="CR59" s="119"/>
      <c r="CS59" s="119"/>
      <c r="CT59" s="119"/>
      <c r="CU59" s="119"/>
      <c r="CV59" s="119"/>
      <c r="CW59" s="119"/>
      <c r="CX59" s="119"/>
      <c r="CY59" s="119"/>
      <c r="CZ59" s="119"/>
      <c r="DA59" s="119"/>
      <c r="DB59" s="119"/>
      <c r="DC59" s="119"/>
      <c r="DD59" s="119"/>
      <c r="DE59" s="119"/>
      <c r="DF59" s="119"/>
      <c r="DG59" s="119"/>
      <c r="DH59" s="119"/>
      <c r="DI59" s="119"/>
      <c r="DJ59" s="119"/>
      <c r="DK59" s="119"/>
      <c r="DL59" s="119"/>
      <c r="DM59" s="119"/>
      <c r="DN59" s="119"/>
      <c r="DO59" s="119"/>
      <c r="DP59" s="119"/>
      <c r="DQ59" s="119"/>
      <c r="DR59" s="119"/>
      <c r="DS59" s="119"/>
      <c r="DT59" s="119"/>
      <c r="DU59" s="119"/>
      <c r="DV59" s="119"/>
      <c r="DW59" s="119"/>
      <c r="DX59" s="119"/>
      <c r="DY59" s="119"/>
      <c r="DZ59" s="119"/>
      <c r="EA59" s="119"/>
      <c r="EB59" s="119"/>
      <c r="EC59" s="119"/>
      <c r="ED59" s="119"/>
      <c r="EE59" s="119"/>
      <c r="EF59" s="119"/>
      <c r="EG59" s="119"/>
      <c r="EH59" s="119"/>
      <c r="EI59" s="119"/>
      <c r="EJ59" s="119"/>
      <c r="EK59" s="119"/>
      <c r="EL59" s="119"/>
      <c r="EM59" s="119"/>
      <c r="EN59" s="119"/>
      <c r="EO59" s="119"/>
      <c r="EP59" s="119"/>
      <c r="EQ59" s="119"/>
      <c r="ER59" s="119"/>
      <c r="ES59" s="119"/>
      <c r="ET59" s="119"/>
      <c r="EU59" s="119"/>
      <c r="EV59" s="119"/>
      <c r="EW59" s="119"/>
      <c r="EX59" s="119"/>
      <c r="EY59" s="119"/>
      <c r="EZ59" s="119"/>
      <c r="FA59" s="119"/>
      <c r="FB59" s="119"/>
      <c r="FC59" s="119"/>
      <c r="FD59" s="119"/>
      <c r="FE59" s="119"/>
      <c r="FF59" s="119"/>
      <c r="FG59" s="119"/>
      <c r="FH59" s="119"/>
      <c r="FI59" s="119"/>
      <c r="FJ59" s="119"/>
      <c r="FK59" s="119"/>
      <c r="FL59" s="119"/>
      <c r="FM59" s="119"/>
      <c r="FN59" s="119"/>
      <c r="FO59" s="119"/>
      <c r="FP59" s="119"/>
      <c r="FQ59" s="119"/>
      <c r="FR59" s="119"/>
      <c r="FS59" s="119"/>
      <c r="FT59" s="119"/>
      <c r="FU59" s="119"/>
      <c r="FV59" s="119"/>
      <c r="FW59" s="119"/>
      <c r="FX59" s="119"/>
      <c r="FY59" s="119"/>
      <c r="FZ59" s="119"/>
      <c r="GA59" s="119"/>
      <c r="GB59" s="119"/>
      <c r="GC59" s="119"/>
      <c r="GD59" s="119"/>
      <c r="GE59" s="119"/>
      <c r="GF59" s="119"/>
      <c r="GG59" s="119"/>
      <c r="GH59" s="119"/>
      <c r="GI59" s="119"/>
      <c r="GJ59" s="119"/>
      <c r="GK59" s="119"/>
      <c r="GL59" s="119"/>
      <c r="GM59" s="119"/>
      <c r="GN59" s="119"/>
      <c r="GO59" s="119"/>
      <c r="GP59" s="119"/>
      <c r="GQ59" s="119"/>
      <c r="GR59" s="119"/>
      <c r="GS59" s="119"/>
      <c r="GT59" s="119"/>
      <c r="GU59" s="119"/>
      <c r="GV59" s="119"/>
      <c r="GW59" s="119"/>
      <c r="GX59" s="119"/>
      <c r="GY59" s="119"/>
      <c r="GZ59" s="119"/>
      <c r="HA59" s="119"/>
      <c r="HB59" s="119"/>
      <c r="HC59" s="119"/>
      <c r="HD59" s="119"/>
      <c r="HE59" s="119"/>
      <c r="HF59" s="119"/>
      <c r="HG59" s="119"/>
      <c r="HH59" s="119"/>
      <c r="HI59" s="119"/>
      <c r="HJ59" s="119"/>
      <c r="HK59" s="119"/>
      <c r="HL59" s="119"/>
      <c r="HM59" s="119"/>
      <c r="HN59" s="119"/>
      <c r="HO59" s="119"/>
      <c r="HP59" s="119"/>
      <c r="HQ59" s="119"/>
      <c r="HR59" s="119"/>
      <c r="HS59" s="119"/>
      <c r="HT59" s="119"/>
      <c r="HU59" s="119"/>
      <c r="HV59" s="119"/>
      <c r="HW59" s="119"/>
      <c r="HX59" s="119"/>
      <c r="HY59" s="119"/>
      <c r="HZ59" s="119"/>
      <c r="IA59" s="119"/>
      <c r="IB59" s="119"/>
      <c r="IC59" s="119"/>
      <c r="ID59" s="119"/>
      <c r="IE59" s="119"/>
      <c r="IF59" s="119"/>
      <c r="IG59" s="119"/>
      <c r="IH59" s="119"/>
      <c r="II59" s="119"/>
      <c r="IJ59" s="119"/>
      <c r="IK59" s="119"/>
      <c r="IL59" s="119"/>
      <c r="IM59" s="119"/>
      <c r="IN59" s="119"/>
      <c r="IO59" s="119"/>
      <c r="IP59" s="119"/>
      <c r="IQ59" s="119"/>
      <c r="IR59" s="119"/>
      <c r="IS59" s="119"/>
      <c r="IT59" s="119"/>
      <c r="IU59" s="119"/>
      <c r="IV59" s="119"/>
      <c r="IW59" s="119"/>
      <c r="IX59" s="119"/>
      <c r="IY59" s="119"/>
      <c r="IZ59" s="119"/>
      <c r="JA59" s="119"/>
      <c r="JB59" s="119"/>
      <c r="JC59" s="119"/>
      <c r="JD59" s="119"/>
      <c r="JE59" s="119"/>
      <c r="JF59" s="119"/>
      <c r="JG59" s="119"/>
      <c r="JH59" s="119"/>
      <c r="JI59" s="119"/>
      <c r="JJ59" s="119"/>
      <c r="JK59" s="119"/>
      <c r="JL59" s="119"/>
      <c r="JM59" s="119"/>
      <c r="JN59" s="119"/>
      <c r="JO59" s="119"/>
      <c r="JP59" s="119"/>
      <c r="JQ59" s="119"/>
      <c r="JR59" s="119"/>
      <c r="JS59" s="119"/>
      <c r="JT59" s="119"/>
      <c r="JU59" s="119"/>
      <c r="JV59" s="119"/>
      <c r="JW59" s="119"/>
      <c r="JX59" s="119"/>
      <c r="JY59" s="119"/>
      <c r="JZ59" s="119"/>
      <c r="KA59" s="119"/>
      <c r="KB59" s="119"/>
      <c r="KC59" s="119"/>
      <c r="KD59" s="119"/>
      <c r="KE59" s="119"/>
      <c r="KF59" s="119"/>
      <c r="KG59" s="119"/>
      <c r="KH59" s="119"/>
      <c r="KI59" s="119"/>
      <c r="KJ59" s="119"/>
      <c r="KK59" s="119"/>
      <c r="KL59" s="119"/>
      <c r="KM59" s="119"/>
      <c r="KN59" s="119"/>
      <c r="KO59" s="119"/>
      <c r="KP59" s="119"/>
      <c r="KQ59" s="119"/>
      <c r="KR59" s="119"/>
      <c r="KS59" s="119"/>
      <c r="KT59" s="119"/>
      <c r="KU59" s="119"/>
      <c r="KV59" s="119"/>
      <c r="KW59" s="119"/>
      <c r="KX59" s="119"/>
      <c r="KY59" s="119"/>
      <c r="KZ59" s="119"/>
      <c r="LA59" s="119"/>
      <c r="LB59" s="119"/>
      <c r="LC59" s="119"/>
      <c r="LD59" s="119"/>
      <c r="LE59" s="119"/>
      <c r="LF59" s="119"/>
      <c r="LG59" s="119"/>
      <c r="LH59" s="119"/>
      <c r="LI59" s="119"/>
      <c r="LJ59" s="119"/>
      <c r="LK59" s="119"/>
      <c r="LL59" s="119"/>
      <c r="LM59" s="119"/>
      <c r="LN59" s="119"/>
      <c r="LO59" s="119"/>
      <c r="LP59" s="119"/>
      <c r="LQ59" s="119"/>
      <c r="LR59" s="119"/>
      <c r="LS59" s="119"/>
      <c r="LT59" s="119"/>
      <c r="LU59" s="119"/>
      <c r="LV59" s="119"/>
      <c r="LW59" s="119"/>
      <c r="LX59" s="119"/>
      <c r="LY59" s="119"/>
      <c r="LZ59" s="119"/>
      <c r="MA59" s="119"/>
      <c r="MB59" s="119"/>
      <c r="MC59" s="119"/>
      <c r="MD59" s="119"/>
      <c r="ME59" s="119"/>
      <c r="MF59" s="119"/>
      <c r="MG59" s="119"/>
      <c r="MH59" s="119"/>
      <c r="MI59" s="119"/>
      <c r="MJ59" s="119"/>
      <c r="MK59" s="119"/>
      <c r="ML59" s="119"/>
      <c r="MM59" s="119"/>
      <c r="MN59" s="119"/>
      <c r="MO59" s="119"/>
      <c r="MP59" s="119"/>
      <c r="MQ59" s="119"/>
      <c r="MR59" s="119"/>
      <c r="MS59" s="119"/>
      <c r="MT59" s="119"/>
      <c r="MU59" s="119"/>
      <c r="MV59" s="119"/>
      <c r="MW59" s="119"/>
      <c r="MX59" s="119"/>
      <c r="MY59" s="119"/>
      <c r="MZ59" s="119"/>
      <c r="NA59" s="119"/>
      <c r="NB59" s="119"/>
      <c r="NC59" s="119"/>
      <c r="ND59" s="119"/>
      <c r="NE59" s="119"/>
      <c r="NF59" s="119"/>
      <c r="NG59" s="119"/>
      <c r="NH59" s="119"/>
      <c r="NI59" s="119"/>
      <c r="NJ59" s="119"/>
      <c r="NK59" s="119"/>
      <c r="NL59" s="119"/>
      <c r="NM59" s="119"/>
      <c r="NN59" s="119"/>
      <c r="NO59" s="119"/>
      <c r="NP59" s="119"/>
      <c r="NQ59" s="119"/>
      <c r="NR59" s="119"/>
      <c r="NS59" s="119"/>
      <c r="NT59" s="119"/>
      <c r="NU59" s="119"/>
      <c r="NV59" s="119"/>
      <c r="NW59" s="119"/>
      <c r="NX59" s="119"/>
      <c r="NY59" s="119"/>
      <c r="NZ59" s="119"/>
      <c r="OA59" s="119"/>
    </row>
    <row r="60" spans="1:391" ht="13.9" customHeight="1" x14ac:dyDescent="0.25">
      <c r="A60" s="500"/>
      <c r="B60" s="550" t="s">
        <v>1013</v>
      </c>
      <c r="C60" s="187"/>
      <c r="D60" s="551"/>
      <c r="E60" s="551"/>
      <c r="F60" s="564">
        <f t="shared" ca="1" si="0"/>
        <v>-43388</v>
      </c>
      <c r="G60" s="556"/>
      <c r="H60" s="556"/>
      <c r="I60" s="556"/>
      <c r="J60" s="38" t="str">
        <f ca="1">IF(AND(J61="completed",J62="completed",J63="completed",J64="completed",J65="completed"),"Deliverable Completed","DELIVERABLE STILL IN PROGRESS")</f>
        <v>DELIVERABLE STILL IN PROGRESS</v>
      </c>
      <c r="K60" s="557"/>
      <c r="BN60" s="119"/>
      <c r="BO60" s="119"/>
      <c r="BP60" s="119"/>
      <c r="BQ60" s="119"/>
      <c r="BR60" s="119"/>
      <c r="BS60" s="119"/>
      <c r="BT60" s="119"/>
      <c r="BU60" s="119"/>
      <c r="BV60" s="119"/>
      <c r="BW60" s="119"/>
      <c r="BX60" s="119"/>
      <c r="BY60" s="119"/>
      <c r="BZ60" s="119"/>
      <c r="CA60" s="119"/>
      <c r="CB60" s="119"/>
      <c r="CC60" s="119"/>
      <c r="CD60" s="119"/>
      <c r="CE60" s="119"/>
      <c r="CF60" s="119"/>
      <c r="CG60" s="119"/>
      <c r="CH60" s="119"/>
      <c r="CI60" s="119"/>
      <c r="CJ60" s="119"/>
      <c r="CK60" s="119"/>
      <c r="CL60" s="119"/>
      <c r="CM60" s="119"/>
      <c r="CN60" s="119"/>
      <c r="CO60" s="119"/>
      <c r="CP60" s="119"/>
      <c r="CQ60" s="119"/>
      <c r="CR60" s="119"/>
      <c r="CS60" s="119"/>
      <c r="CT60" s="119"/>
      <c r="CU60" s="119"/>
      <c r="CV60" s="119"/>
      <c r="CW60" s="119"/>
      <c r="CX60" s="119"/>
      <c r="CY60" s="119"/>
      <c r="CZ60" s="119"/>
      <c r="DA60" s="119"/>
      <c r="DB60" s="119"/>
      <c r="DC60" s="119"/>
      <c r="DD60" s="119"/>
      <c r="DE60" s="119"/>
      <c r="DF60" s="119"/>
      <c r="DG60" s="119"/>
      <c r="DH60" s="119"/>
      <c r="DI60" s="119"/>
      <c r="DJ60" s="119"/>
      <c r="DK60" s="119"/>
      <c r="DL60" s="119"/>
      <c r="DM60" s="119"/>
      <c r="DN60" s="119"/>
      <c r="DO60" s="119"/>
      <c r="DP60" s="119"/>
      <c r="DQ60" s="119"/>
      <c r="DR60" s="119"/>
      <c r="DS60" s="119"/>
      <c r="DT60" s="119"/>
      <c r="DU60" s="119"/>
      <c r="DV60" s="119"/>
      <c r="DW60" s="119"/>
      <c r="DX60" s="119"/>
      <c r="DY60" s="119"/>
      <c r="DZ60" s="119"/>
      <c r="EA60" s="119"/>
      <c r="EB60" s="119"/>
      <c r="EC60" s="119"/>
      <c r="ED60" s="119"/>
      <c r="EE60" s="119"/>
      <c r="EF60" s="119"/>
      <c r="EG60" s="119"/>
      <c r="EH60" s="119"/>
      <c r="EI60" s="119"/>
      <c r="EJ60" s="119"/>
      <c r="EK60" s="119"/>
      <c r="EL60" s="119"/>
      <c r="EM60" s="119"/>
      <c r="EN60" s="119"/>
      <c r="EO60" s="119"/>
      <c r="EP60" s="119"/>
      <c r="EQ60" s="119"/>
      <c r="ER60" s="119"/>
      <c r="ES60" s="119"/>
      <c r="ET60" s="119"/>
      <c r="EU60" s="119"/>
      <c r="EV60" s="119"/>
      <c r="EW60" s="119"/>
      <c r="EX60" s="119"/>
      <c r="EY60" s="119"/>
      <c r="EZ60" s="119"/>
      <c r="FA60" s="119"/>
      <c r="FB60" s="119"/>
      <c r="FC60" s="119"/>
      <c r="FD60" s="119"/>
      <c r="FE60" s="119"/>
      <c r="FF60" s="119"/>
      <c r="FG60" s="119"/>
      <c r="FH60" s="119"/>
      <c r="FI60" s="119"/>
      <c r="FJ60" s="119"/>
      <c r="FK60" s="119"/>
      <c r="FL60" s="119"/>
      <c r="FM60" s="119"/>
      <c r="FN60" s="119"/>
      <c r="FO60" s="119"/>
      <c r="FP60" s="119"/>
      <c r="FQ60" s="119"/>
      <c r="FR60" s="119"/>
      <c r="FS60" s="119"/>
      <c r="FT60" s="119"/>
      <c r="FU60" s="119"/>
      <c r="FV60" s="119"/>
      <c r="FW60" s="119"/>
      <c r="FX60" s="119"/>
      <c r="FY60" s="119"/>
      <c r="FZ60" s="119"/>
      <c r="GA60" s="119"/>
      <c r="GB60" s="119"/>
      <c r="GC60" s="119"/>
      <c r="GD60" s="119"/>
      <c r="GE60" s="119"/>
      <c r="GF60" s="119"/>
      <c r="GG60" s="119"/>
      <c r="GH60" s="119"/>
      <c r="GI60" s="119"/>
      <c r="GJ60" s="119"/>
      <c r="GK60" s="119"/>
      <c r="GL60" s="119"/>
      <c r="GM60" s="119"/>
      <c r="GN60" s="119"/>
      <c r="GO60" s="119"/>
      <c r="GP60" s="119"/>
      <c r="GQ60" s="119"/>
      <c r="GR60" s="119"/>
      <c r="GS60" s="119"/>
      <c r="GT60" s="119"/>
      <c r="GU60" s="119"/>
      <c r="GV60" s="119"/>
      <c r="GW60" s="119"/>
      <c r="GX60" s="119"/>
      <c r="GY60" s="119"/>
      <c r="GZ60" s="119"/>
      <c r="HA60" s="119"/>
      <c r="HB60" s="119"/>
      <c r="HC60" s="119"/>
      <c r="HD60" s="119"/>
      <c r="HE60" s="119"/>
      <c r="HF60" s="119"/>
      <c r="HG60" s="119"/>
      <c r="HH60" s="119"/>
      <c r="HI60" s="119"/>
      <c r="HJ60" s="119"/>
      <c r="HK60" s="119"/>
      <c r="HL60" s="119"/>
      <c r="HM60" s="119"/>
      <c r="HN60" s="119"/>
      <c r="HO60" s="119"/>
      <c r="HP60" s="119"/>
      <c r="HQ60" s="119"/>
      <c r="HR60" s="119"/>
      <c r="HS60" s="119"/>
      <c r="HT60" s="119"/>
      <c r="HU60" s="119"/>
      <c r="HV60" s="119"/>
      <c r="HW60" s="119"/>
      <c r="HX60" s="119"/>
      <c r="HY60" s="119"/>
      <c r="HZ60" s="119"/>
      <c r="IA60" s="119"/>
      <c r="IB60" s="119"/>
      <c r="IC60" s="119"/>
      <c r="ID60" s="119"/>
      <c r="IE60" s="119"/>
      <c r="IF60" s="119"/>
      <c r="IG60" s="119"/>
      <c r="IH60" s="119"/>
      <c r="II60" s="119"/>
      <c r="IJ60" s="119"/>
      <c r="IK60" s="119"/>
      <c r="IL60" s="119"/>
      <c r="IM60" s="119"/>
      <c r="IN60" s="119"/>
      <c r="IO60" s="119"/>
      <c r="IP60" s="119"/>
      <c r="IQ60" s="119"/>
      <c r="IR60" s="119"/>
      <c r="IS60" s="119"/>
      <c r="IT60" s="119"/>
      <c r="IU60" s="119"/>
      <c r="IV60" s="119"/>
      <c r="IW60" s="119"/>
      <c r="IX60" s="119"/>
      <c r="IY60" s="119"/>
      <c r="IZ60" s="119"/>
      <c r="JA60" s="119"/>
      <c r="JB60" s="119"/>
      <c r="JC60" s="119"/>
      <c r="JD60" s="119"/>
      <c r="JE60" s="119"/>
      <c r="JF60" s="119"/>
      <c r="JG60" s="119"/>
      <c r="JH60" s="119"/>
      <c r="JI60" s="119"/>
      <c r="JJ60" s="119"/>
      <c r="JK60" s="119"/>
      <c r="JL60" s="119"/>
      <c r="JM60" s="119"/>
      <c r="JN60" s="119"/>
      <c r="JO60" s="119"/>
      <c r="JP60" s="119"/>
      <c r="JQ60" s="119"/>
      <c r="JR60" s="119"/>
      <c r="JS60" s="119"/>
      <c r="JT60" s="119"/>
      <c r="JU60" s="119"/>
      <c r="JV60" s="119"/>
      <c r="JW60" s="119"/>
      <c r="JX60" s="119"/>
      <c r="JY60" s="119"/>
      <c r="JZ60" s="119"/>
      <c r="KA60" s="119"/>
      <c r="KB60" s="119"/>
      <c r="KC60" s="119"/>
      <c r="KD60" s="119"/>
      <c r="KE60" s="119"/>
      <c r="KF60" s="119"/>
      <c r="KG60" s="119"/>
      <c r="KH60" s="119"/>
      <c r="KI60" s="119"/>
      <c r="KJ60" s="119"/>
      <c r="KK60" s="119"/>
      <c r="KL60" s="119"/>
      <c r="KM60" s="119"/>
      <c r="KN60" s="119"/>
      <c r="KO60" s="119"/>
      <c r="KP60" s="119"/>
      <c r="KQ60" s="119"/>
      <c r="KR60" s="119"/>
      <c r="KS60" s="119"/>
      <c r="KT60" s="119"/>
      <c r="KU60" s="119"/>
      <c r="KV60" s="119"/>
      <c r="KW60" s="119"/>
      <c r="KX60" s="119"/>
      <c r="KY60" s="119"/>
      <c r="KZ60" s="119"/>
      <c r="LA60" s="119"/>
      <c r="LB60" s="119"/>
      <c r="LC60" s="119"/>
      <c r="LD60" s="119"/>
      <c r="LE60" s="119"/>
      <c r="LF60" s="119"/>
      <c r="LG60" s="119"/>
      <c r="LH60" s="119"/>
      <c r="LI60" s="119"/>
      <c r="LJ60" s="119"/>
      <c r="LK60" s="119"/>
      <c r="LL60" s="119"/>
      <c r="LM60" s="119"/>
      <c r="LN60" s="119"/>
      <c r="LO60" s="119"/>
      <c r="LP60" s="119"/>
      <c r="LQ60" s="119"/>
      <c r="LR60" s="119"/>
      <c r="LS60" s="119"/>
      <c r="LT60" s="119"/>
      <c r="LU60" s="119"/>
      <c r="LV60" s="119"/>
      <c r="LW60" s="119"/>
      <c r="LX60" s="119"/>
      <c r="LY60" s="119"/>
      <c r="LZ60" s="119"/>
      <c r="MA60" s="119"/>
      <c r="MB60" s="119"/>
      <c r="MC60" s="119"/>
      <c r="MD60" s="119"/>
      <c r="ME60" s="119"/>
      <c r="MF60" s="119"/>
      <c r="MG60" s="119"/>
      <c r="MH60" s="119"/>
      <c r="MI60" s="119"/>
      <c r="MJ60" s="119"/>
      <c r="MK60" s="119"/>
      <c r="ML60" s="119"/>
      <c r="MM60" s="119"/>
      <c r="MN60" s="119"/>
      <c r="MO60" s="119"/>
      <c r="MP60" s="119"/>
      <c r="MQ60" s="119"/>
      <c r="MR60" s="119"/>
      <c r="MS60" s="119"/>
      <c r="MT60" s="119"/>
      <c r="MU60" s="119"/>
      <c r="MV60" s="119"/>
      <c r="MW60" s="119"/>
      <c r="MX60" s="119"/>
      <c r="MY60" s="119"/>
      <c r="MZ60" s="119"/>
      <c r="NA60" s="119"/>
      <c r="NB60" s="119"/>
      <c r="NC60" s="119"/>
      <c r="ND60" s="119"/>
      <c r="NE60" s="119"/>
      <c r="NF60" s="119"/>
      <c r="NG60" s="119"/>
      <c r="NH60" s="119"/>
      <c r="NI60" s="119"/>
      <c r="NJ60" s="119"/>
      <c r="NK60" s="119"/>
      <c r="NL60" s="119"/>
      <c r="NM60" s="119"/>
      <c r="NN60" s="119"/>
      <c r="NO60" s="119"/>
      <c r="NP60" s="119"/>
      <c r="NQ60" s="119"/>
      <c r="NR60" s="119"/>
      <c r="NS60" s="119"/>
      <c r="NT60" s="119"/>
      <c r="NU60" s="119"/>
      <c r="NV60" s="119"/>
      <c r="NW60" s="119"/>
      <c r="NX60" s="119"/>
      <c r="NY60" s="119"/>
      <c r="NZ60" s="119"/>
      <c r="OA60" s="119"/>
    </row>
    <row r="61" spans="1:391" ht="13.9" customHeight="1" x14ac:dyDescent="0.2">
      <c r="A61" s="500"/>
      <c r="B61" s="548" t="s">
        <v>353</v>
      </c>
      <c r="C61" s="187"/>
      <c r="D61" s="187"/>
      <c r="E61" s="187"/>
      <c r="F61" s="564">
        <f t="shared" ca="1" si="0"/>
        <v>-43388</v>
      </c>
      <c r="G61" s="556"/>
      <c r="H61" s="556"/>
      <c r="I61" s="556"/>
      <c r="J61" s="38" t="str">
        <f ca="1">IF(G61&gt;0,"COMPLETED",(IF(I61&gt;0,"ISSUE IDENTIFIED",(IF(TODAY()&gt;E61,"OVERDUE","In Progress")))))</f>
        <v>OVERDUE</v>
      </c>
      <c r="K61" s="557"/>
      <c r="BN61" s="119"/>
      <c r="BO61" s="119"/>
      <c r="BP61" s="119"/>
      <c r="BQ61" s="119"/>
      <c r="BR61" s="119"/>
      <c r="BS61" s="119"/>
      <c r="BT61" s="119"/>
      <c r="BU61" s="119"/>
      <c r="BV61" s="119"/>
      <c r="BW61" s="119"/>
      <c r="BX61" s="119"/>
      <c r="BY61" s="119"/>
      <c r="BZ61" s="119"/>
      <c r="CA61" s="119"/>
      <c r="CB61" s="119"/>
      <c r="CC61" s="119"/>
      <c r="CD61" s="119"/>
      <c r="CE61" s="119"/>
      <c r="CF61" s="119"/>
      <c r="CG61" s="119"/>
      <c r="CH61" s="119"/>
      <c r="CI61" s="119"/>
      <c r="CJ61" s="119"/>
      <c r="CK61" s="119"/>
      <c r="CL61" s="119"/>
      <c r="CM61" s="119"/>
      <c r="CN61" s="119"/>
      <c r="CO61" s="119"/>
      <c r="CP61" s="119"/>
      <c r="CQ61" s="119"/>
      <c r="CR61" s="119"/>
      <c r="CS61" s="119"/>
      <c r="CT61" s="119"/>
      <c r="CU61" s="119"/>
      <c r="CV61" s="119"/>
      <c r="CW61" s="119"/>
      <c r="CX61" s="119"/>
      <c r="CY61" s="119"/>
      <c r="CZ61" s="119"/>
      <c r="DA61" s="119"/>
      <c r="DB61" s="119"/>
      <c r="DC61" s="119"/>
      <c r="DD61" s="119"/>
      <c r="DE61" s="119"/>
      <c r="DF61" s="119"/>
      <c r="DG61" s="119"/>
      <c r="DH61" s="119"/>
      <c r="DI61" s="119"/>
      <c r="DJ61" s="119"/>
      <c r="DK61" s="119"/>
      <c r="DL61" s="119"/>
      <c r="DM61" s="119"/>
      <c r="DN61" s="119"/>
      <c r="DO61" s="119"/>
      <c r="DP61" s="119"/>
      <c r="DQ61" s="119"/>
      <c r="DR61" s="119"/>
      <c r="DS61" s="119"/>
      <c r="DT61" s="119"/>
      <c r="DU61" s="119"/>
      <c r="DV61" s="119"/>
      <c r="DW61" s="119"/>
      <c r="DX61" s="119"/>
      <c r="DY61" s="119"/>
      <c r="DZ61" s="119"/>
      <c r="EA61" s="119"/>
      <c r="EB61" s="119"/>
      <c r="EC61" s="119"/>
      <c r="ED61" s="119"/>
      <c r="EE61" s="119"/>
      <c r="EF61" s="119"/>
      <c r="EG61" s="119"/>
      <c r="EH61" s="119"/>
      <c r="EI61" s="119"/>
      <c r="EJ61" s="119"/>
      <c r="EK61" s="119"/>
      <c r="EL61" s="119"/>
      <c r="EM61" s="119"/>
      <c r="EN61" s="119"/>
      <c r="EO61" s="119"/>
      <c r="EP61" s="119"/>
      <c r="EQ61" s="119"/>
      <c r="ER61" s="119"/>
      <c r="ES61" s="119"/>
      <c r="ET61" s="119"/>
      <c r="EU61" s="119"/>
      <c r="EV61" s="119"/>
      <c r="EW61" s="119"/>
      <c r="EX61" s="119"/>
      <c r="EY61" s="119"/>
      <c r="EZ61" s="119"/>
      <c r="FA61" s="119"/>
      <c r="FB61" s="119"/>
      <c r="FC61" s="119"/>
      <c r="FD61" s="119"/>
      <c r="FE61" s="119"/>
      <c r="FF61" s="119"/>
      <c r="FG61" s="119"/>
      <c r="FH61" s="119"/>
      <c r="FI61" s="119"/>
      <c r="FJ61" s="119"/>
      <c r="FK61" s="119"/>
      <c r="FL61" s="119"/>
      <c r="FM61" s="119"/>
      <c r="FN61" s="119"/>
      <c r="FO61" s="119"/>
      <c r="FP61" s="119"/>
      <c r="FQ61" s="119"/>
      <c r="FR61" s="119"/>
      <c r="FS61" s="119"/>
      <c r="FT61" s="119"/>
      <c r="FU61" s="119"/>
      <c r="FV61" s="119"/>
      <c r="FW61" s="119"/>
      <c r="FX61" s="119"/>
      <c r="FY61" s="119"/>
      <c r="FZ61" s="119"/>
      <c r="GA61" s="119"/>
      <c r="GB61" s="119"/>
      <c r="GC61" s="119"/>
      <c r="GD61" s="119"/>
      <c r="GE61" s="119"/>
      <c r="GF61" s="119"/>
      <c r="GG61" s="119"/>
      <c r="GH61" s="119"/>
      <c r="GI61" s="119"/>
      <c r="GJ61" s="119"/>
      <c r="GK61" s="119"/>
      <c r="GL61" s="119"/>
      <c r="GM61" s="119"/>
      <c r="GN61" s="119"/>
      <c r="GO61" s="119"/>
      <c r="GP61" s="119"/>
      <c r="GQ61" s="119"/>
      <c r="GR61" s="119"/>
      <c r="GS61" s="119"/>
      <c r="GT61" s="119"/>
      <c r="GU61" s="119"/>
      <c r="GV61" s="119"/>
      <c r="GW61" s="119"/>
      <c r="GX61" s="119"/>
      <c r="GY61" s="119"/>
      <c r="GZ61" s="119"/>
      <c r="HA61" s="119"/>
      <c r="HB61" s="119"/>
      <c r="HC61" s="119"/>
      <c r="HD61" s="119"/>
      <c r="HE61" s="119"/>
      <c r="HF61" s="119"/>
      <c r="HG61" s="119"/>
      <c r="HH61" s="119"/>
      <c r="HI61" s="119"/>
      <c r="HJ61" s="119"/>
      <c r="HK61" s="119"/>
      <c r="HL61" s="119"/>
      <c r="HM61" s="119"/>
      <c r="HN61" s="119"/>
      <c r="HO61" s="119"/>
      <c r="HP61" s="119"/>
      <c r="HQ61" s="119"/>
      <c r="HR61" s="119"/>
      <c r="HS61" s="119"/>
      <c r="HT61" s="119"/>
      <c r="HU61" s="119"/>
      <c r="HV61" s="119"/>
      <c r="HW61" s="119"/>
      <c r="HX61" s="119"/>
      <c r="HY61" s="119"/>
      <c r="HZ61" s="119"/>
      <c r="IA61" s="119"/>
      <c r="IB61" s="119"/>
      <c r="IC61" s="119"/>
      <c r="ID61" s="119"/>
      <c r="IE61" s="119"/>
      <c r="IF61" s="119"/>
      <c r="IG61" s="119"/>
      <c r="IH61" s="119"/>
      <c r="II61" s="119"/>
      <c r="IJ61" s="119"/>
      <c r="IK61" s="119"/>
      <c r="IL61" s="119"/>
      <c r="IM61" s="119"/>
      <c r="IN61" s="119"/>
      <c r="IO61" s="119"/>
      <c r="IP61" s="119"/>
      <c r="IQ61" s="119"/>
      <c r="IR61" s="119"/>
      <c r="IS61" s="119"/>
      <c r="IT61" s="119"/>
      <c r="IU61" s="119"/>
      <c r="IV61" s="119"/>
      <c r="IW61" s="119"/>
      <c r="IX61" s="119"/>
      <c r="IY61" s="119"/>
      <c r="IZ61" s="119"/>
      <c r="JA61" s="119"/>
      <c r="JB61" s="119"/>
      <c r="JC61" s="119"/>
      <c r="JD61" s="119"/>
      <c r="JE61" s="119"/>
      <c r="JF61" s="119"/>
      <c r="JG61" s="119"/>
      <c r="JH61" s="119"/>
      <c r="JI61" s="119"/>
      <c r="JJ61" s="119"/>
      <c r="JK61" s="119"/>
      <c r="JL61" s="119"/>
      <c r="JM61" s="119"/>
      <c r="JN61" s="119"/>
      <c r="JO61" s="119"/>
      <c r="JP61" s="119"/>
      <c r="JQ61" s="119"/>
      <c r="JR61" s="119"/>
      <c r="JS61" s="119"/>
      <c r="JT61" s="119"/>
      <c r="JU61" s="119"/>
      <c r="JV61" s="119"/>
      <c r="JW61" s="119"/>
      <c r="JX61" s="119"/>
      <c r="JY61" s="119"/>
      <c r="JZ61" s="119"/>
      <c r="KA61" s="119"/>
      <c r="KB61" s="119"/>
      <c r="KC61" s="119"/>
      <c r="KD61" s="119"/>
      <c r="KE61" s="119"/>
      <c r="KF61" s="119"/>
      <c r="KG61" s="119"/>
      <c r="KH61" s="119"/>
      <c r="KI61" s="119"/>
      <c r="KJ61" s="119"/>
      <c r="KK61" s="119"/>
      <c r="KL61" s="119"/>
      <c r="KM61" s="119"/>
      <c r="KN61" s="119"/>
      <c r="KO61" s="119"/>
      <c r="KP61" s="119"/>
      <c r="KQ61" s="119"/>
      <c r="KR61" s="119"/>
      <c r="KS61" s="119"/>
      <c r="KT61" s="119"/>
      <c r="KU61" s="119"/>
      <c r="KV61" s="119"/>
      <c r="KW61" s="119"/>
      <c r="KX61" s="119"/>
      <c r="KY61" s="119"/>
      <c r="KZ61" s="119"/>
      <c r="LA61" s="119"/>
      <c r="LB61" s="119"/>
      <c r="LC61" s="119"/>
      <c r="LD61" s="119"/>
      <c r="LE61" s="119"/>
      <c r="LF61" s="119"/>
      <c r="LG61" s="119"/>
      <c r="LH61" s="119"/>
      <c r="LI61" s="119"/>
      <c r="LJ61" s="119"/>
      <c r="LK61" s="119"/>
      <c r="LL61" s="119"/>
      <c r="LM61" s="119"/>
      <c r="LN61" s="119"/>
      <c r="LO61" s="119"/>
      <c r="LP61" s="119"/>
      <c r="LQ61" s="119"/>
      <c r="LR61" s="119"/>
      <c r="LS61" s="119"/>
      <c r="LT61" s="119"/>
      <c r="LU61" s="119"/>
      <c r="LV61" s="119"/>
      <c r="LW61" s="119"/>
      <c r="LX61" s="119"/>
      <c r="LY61" s="119"/>
      <c r="LZ61" s="119"/>
      <c r="MA61" s="119"/>
      <c r="MB61" s="119"/>
      <c r="MC61" s="119"/>
      <c r="MD61" s="119"/>
      <c r="ME61" s="119"/>
      <c r="MF61" s="119"/>
      <c r="MG61" s="119"/>
      <c r="MH61" s="119"/>
      <c r="MI61" s="119"/>
      <c r="MJ61" s="119"/>
      <c r="MK61" s="119"/>
      <c r="ML61" s="119"/>
      <c r="MM61" s="119"/>
      <c r="MN61" s="119"/>
      <c r="MO61" s="119"/>
      <c r="MP61" s="119"/>
      <c r="MQ61" s="119"/>
      <c r="MR61" s="119"/>
      <c r="MS61" s="119"/>
      <c r="MT61" s="119"/>
      <c r="MU61" s="119"/>
      <c r="MV61" s="119"/>
      <c r="MW61" s="119"/>
      <c r="MX61" s="119"/>
      <c r="MY61" s="119"/>
      <c r="MZ61" s="119"/>
      <c r="NA61" s="119"/>
      <c r="NB61" s="119"/>
      <c r="NC61" s="119"/>
      <c r="ND61" s="119"/>
      <c r="NE61" s="119"/>
      <c r="NF61" s="119"/>
      <c r="NG61" s="119"/>
      <c r="NH61" s="119"/>
      <c r="NI61" s="119"/>
      <c r="NJ61" s="119"/>
      <c r="NK61" s="119"/>
      <c r="NL61" s="119"/>
      <c r="NM61" s="119"/>
      <c r="NN61" s="119"/>
      <c r="NO61" s="119"/>
      <c r="NP61" s="119"/>
      <c r="NQ61" s="119"/>
      <c r="NR61" s="119"/>
      <c r="NS61" s="119"/>
      <c r="NT61" s="119"/>
      <c r="NU61" s="119"/>
      <c r="NV61" s="119"/>
      <c r="NW61" s="119"/>
      <c r="NX61" s="119"/>
      <c r="NY61" s="119"/>
      <c r="NZ61" s="119"/>
      <c r="OA61" s="119"/>
    </row>
    <row r="62" spans="1:391" ht="13.9" customHeight="1" x14ac:dyDescent="0.2">
      <c r="A62" s="500"/>
      <c r="B62" s="548" t="s">
        <v>1014</v>
      </c>
      <c r="C62" s="187"/>
      <c r="D62" s="187"/>
      <c r="E62" s="187"/>
      <c r="F62" s="564">
        <f t="shared" ca="1" si="0"/>
        <v>-43388</v>
      </c>
      <c r="G62" s="556"/>
      <c r="H62" s="556"/>
      <c r="I62" s="556"/>
      <c r="J62" s="38" t="str">
        <f ca="1">IF(G62&gt;0,"COMPLETED",(IF(I62&gt;0,"ISSUE IDENTIFIED",(IF(TODAY()&gt;E62,"OVERDUE","In Progress")))))</f>
        <v>OVERDUE</v>
      </c>
      <c r="K62" s="557"/>
      <c r="BN62" s="119"/>
      <c r="BO62" s="119"/>
      <c r="BP62" s="119"/>
      <c r="BQ62" s="119"/>
      <c r="BR62" s="119"/>
      <c r="BS62" s="119"/>
      <c r="BT62" s="119"/>
      <c r="BU62" s="119"/>
      <c r="BV62" s="119"/>
      <c r="BW62" s="119"/>
      <c r="BX62" s="119"/>
      <c r="BY62" s="119"/>
      <c r="BZ62" s="119"/>
      <c r="CA62" s="119"/>
      <c r="CB62" s="119"/>
      <c r="CC62" s="119"/>
      <c r="CD62" s="119"/>
      <c r="CE62" s="119"/>
      <c r="CF62" s="119"/>
      <c r="CG62" s="119"/>
      <c r="CH62" s="119"/>
      <c r="CI62" s="119"/>
      <c r="CJ62" s="119"/>
      <c r="CK62" s="119"/>
      <c r="CL62" s="119"/>
      <c r="CM62" s="119"/>
      <c r="CN62" s="119"/>
      <c r="CO62" s="119"/>
      <c r="CP62" s="119"/>
      <c r="CQ62" s="119"/>
      <c r="CR62" s="119"/>
      <c r="CS62" s="119"/>
      <c r="CT62" s="119"/>
      <c r="CU62" s="119"/>
      <c r="CV62" s="119"/>
      <c r="CW62" s="119"/>
      <c r="CX62" s="119"/>
      <c r="CY62" s="119"/>
      <c r="CZ62" s="119"/>
      <c r="DA62" s="119"/>
      <c r="DB62" s="119"/>
      <c r="DC62" s="119"/>
      <c r="DD62" s="119"/>
      <c r="DE62" s="119"/>
      <c r="DF62" s="119"/>
      <c r="DG62" s="119"/>
      <c r="DH62" s="119"/>
      <c r="DI62" s="119"/>
      <c r="DJ62" s="119"/>
      <c r="DK62" s="119"/>
      <c r="DL62" s="119"/>
      <c r="DM62" s="119"/>
      <c r="DN62" s="119"/>
      <c r="DO62" s="119"/>
      <c r="DP62" s="119"/>
      <c r="DQ62" s="119"/>
      <c r="DR62" s="119"/>
      <c r="DS62" s="119"/>
      <c r="DT62" s="119"/>
      <c r="DU62" s="119"/>
      <c r="DV62" s="119"/>
      <c r="DW62" s="119"/>
      <c r="DX62" s="119"/>
      <c r="DY62" s="119"/>
      <c r="DZ62" s="119"/>
      <c r="EA62" s="119"/>
      <c r="EB62" s="119"/>
      <c r="EC62" s="119"/>
      <c r="ED62" s="119"/>
      <c r="EE62" s="119"/>
      <c r="EF62" s="119"/>
      <c r="EG62" s="119"/>
      <c r="EH62" s="119"/>
      <c r="EI62" s="119"/>
      <c r="EJ62" s="119"/>
      <c r="EK62" s="119"/>
      <c r="EL62" s="119"/>
      <c r="EM62" s="119"/>
      <c r="EN62" s="119"/>
      <c r="EO62" s="119"/>
      <c r="EP62" s="119"/>
      <c r="EQ62" s="119"/>
      <c r="ER62" s="119"/>
      <c r="ES62" s="119"/>
      <c r="ET62" s="119"/>
      <c r="EU62" s="119"/>
      <c r="EV62" s="119"/>
      <c r="EW62" s="119"/>
      <c r="EX62" s="119"/>
      <c r="EY62" s="119"/>
      <c r="EZ62" s="119"/>
      <c r="FA62" s="119"/>
      <c r="FB62" s="119"/>
      <c r="FC62" s="119"/>
      <c r="FD62" s="119"/>
      <c r="FE62" s="119"/>
      <c r="FF62" s="119"/>
      <c r="FG62" s="119"/>
      <c r="FH62" s="119"/>
      <c r="FI62" s="119"/>
      <c r="FJ62" s="119"/>
      <c r="FK62" s="119"/>
      <c r="FL62" s="119"/>
      <c r="FM62" s="119"/>
      <c r="FN62" s="119"/>
      <c r="FO62" s="119"/>
      <c r="FP62" s="119"/>
      <c r="FQ62" s="119"/>
      <c r="FR62" s="119"/>
      <c r="FS62" s="119"/>
      <c r="FT62" s="119"/>
      <c r="FU62" s="119"/>
      <c r="FV62" s="119"/>
      <c r="FW62" s="119"/>
      <c r="FX62" s="119"/>
      <c r="FY62" s="119"/>
      <c r="FZ62" s="119"/>
      <c r="GA62" s="119"/>
      <c r="GB62" s="119"/>
      <c r="GC62" s="119"/>
      <c r="GD62" s="119"/>
      <c r="GE62" s="119"/>
      <c r="GF62" s="119"/>
      <c r="GG62" s="119"/>
      <c r="GH62" s="119"/>
      <c r="GI62" s="119"/>
      <c r="GJ62" s="119"/>
      <c r="GK62" s="119"/>
      <c r="GL62" s="119"/>
      <c r="GM62" s="119"/>
      <c r="GN62" s="119"/>
      <c r="GO62" s="119"/>
      <c r="GP62" s="119"/>
      <c r="GQ62" s="119"/>
      <c r="GR62" s="119"/>
      <c r="GS62" s="119"/>
      <c r="GT62" s="119"/>
      <c r="GU62" s="119"/>
      <c r="GV62" s="119"/>
      <c r="GW62" s="119"/>
      <c r="GX62" s="119"/>
      <c r="GY62" s="119"/>
      <c r="GZ62" s="119"/>
      <c r="HA62" s="119"/>
      <c r="HB62" s="119"/>
      <c r="HC62" s="119"/>
      <c r="HD62" s="119"/>
      <c r="HE62" s="119"/>
      <c r="HF62" s="119"/>
      <c r="HG62" s="119"/>
      <c r="HH62" s="119"/>
      <c r="HI62" s="119"/>
      <c r="HJ62" s="119"/>
      <c r="HK62" s="119"/>
      <c r="HL62" s="119"/>
      <c r="HM62" s="119"/>
      <c r="HN62" s="119"/>
      <c r="HO62" s="119"/>
      <c r="HP62" s="119"/>
      <c r="HQ62" s="119"/>
      <c r="HR62" s="119"/>
      <c r="HS62" s="119"/>
      <c r="HT62" s="119"/>
      <c r="HU62" s="119"/>
      <c r="HV62" s="119"/>
      <c r="HW62" s="119"/>
      <c r="HX62" s="119"/>
      <c r="HY62" s="119"/>
      <c r="HZ62" s="119"/>
      <c r="IA62" s="119"/>
      <c r="IB62" s="119"/>
      <c r="IC62" s="119"/>
      <c r="ID62" s="119"/>
      <c r="IE62" s="119"/>
      <c r="IF62" s="119"/>
      <c r="IG62" s="119"/>
      <c r="IH62" s="119"/>
      <c r="II62" s="119"/>
      <c r="IJ62" s="119"/>
      <c r="IK62" s="119"/>
      <c r="IL62" s="119"/>
      <c r="IM62" s="119"/>
      <c r="IN62" s="119"/>
      <c r="IO62" s="119"/>
      <c r="IP62" s="119"/>
      <c r="IQ62" s="119"/>
      <c r="IR62" s="119"/>
      <c r="IS62" s="119"/>
      <c r="IT62" s="119"/>
      <c r="IU62" s="119"/>
      <c r="IV62" s="119"/>
      <c r="IW62" s="119"/>
      <c r="IX62" s="119"/>
      <c r="IY62" s="119"/>
      <c r="IZ62" s="119"/>
      <c r="JA62" s="119"/>
      <c r="JB62" s="119"/>
      <c r="JC62" s="119"/>
      <c r="JD62" s="119"/>
      <c r="JE62" s="119"/>
      <c r="JF62" s="119"/>
      <c r="JG62" s="119"/>
      <c r="JH62" s="119"/>
      <c r="JI62" s="119"/>
      <c r="JJ62" s="119"/>
      <c r="JK62" s="119"/>
      <c r="JL62" s="119"/>
      <c r="JM62" s="119"/>
      <c r="JN62" s="119"/>
      <c r="JO62" s="119"/>
      <c r="JP62" s="119"/>
      <c r="JQ62" s="119"/>
      <c r="JR62" s="119"/>
      <c r="JS62" s="119"/>
      <c r="JT62" s="119"/>
      <c r="JU62" s="119"/>
      <c r="JV62" s="119"/>
      <c r="JW62" s="119"/>
      <c r="JX62" s="119"/>
      <c r="JY62" s="119"/>
      <c r="JZ62" s="119"/>
      <c r="KA62" s="119"/>
      <c r="KB62" s="119"/>
      <c r="KC62" s="119"/>
      <c r="KD62" s="119"/>
      <c r="KE62" s="119"/>
      <c r="KF62" s="119"/>
      <c r="KG62" s="119"/>
      <c r="KH62" s="119"/>
      <c r="KI62" s="119"/>
      <c r="KJ62" s="119"/>
      <c r="KK62" s="119"/>
      <c r="KL62" s="119"/>
      <c r="KM62" s="119"/>
      <c r="KN62" s="119"/>
      <c r="KO62" s="119"/>
      <c r="KP62" s="119"/>
      <c r="KQ62" s="119"/>
      <c r="KR62" s="119"/>
      <c r="KS62" s="119"/>
      <c r="KT62" s="119"/>
      <c r="KU62" s="119"/>
      <c r="KV62" s="119"/>
      <c r="KW62" s="119"/>
      <c r="KX62" s="119"/>
      <c r="KY62" s="119"/>
      <c r="KZ62" s="119"/>
      <c r="LA62" s="119"/>
      <c r="LB62" s="119"/>
      <c r="LC62" s="119"/>
      <c r="LD62" s="119"/>
      <c r="LE62" s="119"/>
      <c r="LF62" s="119"/>
      <c r="LG62" s="119"/>
      <c r="LH62" s="119"/>
      <c r="LI62" s="119"/>
      <c r="LJ62" s="119"/>
      <c r="LK62" s="119"/>
      <c r="LL62" s="119"/>
      <c r="LM62" s="119"/>
      <c r="LN62" s="119"/>
      <c r="LO62" s="119"/>
      <c r="LP62" s="119"/>
      <c r="LQ62" s="119"/>
      <c r="LR62" s="119"/>
      <c r="LS62" s="119"/>
      <c r="LT62" s="119"/>
      <c r="LU62" s="119"/>
      <c r="LV62" s="119"/>
      <c r="LW62" s="119"/>
      <c r="LX62" s="119"/>
      <c r="LY62" s="119"/>
      <c r="LZ62" s="119"/>
      <c r="MA62" s="119"/>
      <c r="MB62" s="119"/>
      <c r="MC62" s="119"/>
      <c r="MD62" s="119"/>
      <c r="ME62" s="119"/>
      <c r="MF62" s="119"/>
      <c r="MG62" s="119"/>
      <c r="MH62" s="119"/>
      <c r="MI62" s="119"/>
      <c r="MJ62" s="119"/>
      <c r="MK62" s="119"/>
      <c r="ML62" s="119"/>
      <c r="MM62" s="119"/>
      <c r="MN62" s="119"/>
      <c r="MO62" s="119"/>
      <c r="MP62" s="119"/>
      <c r="MQ62" s="119"/>
      <c r="MR62" s="119"/>
      <c r="MS62" s="119"/>
      <c r="MT62" s="119"/>
      <c r="MU62" s="119"/>
      <c r="MV62" s="119"/>
      <c r="MW62" s="119"/>
      <c r="MX62" s="119"/>
      <c r="MY62" s="119"/>
      <c r="MZ62" s="119"/>
      <c r="NA62" s="119"/>
      <c r="NB62" s="119"/>
      <c r="NC62" s="119"/>
      <c r="ND62" s="119"/>
      <c r="NE62" s="119"/>
      <c r="NF62" s="119"/>
      <c r="NG62" s="119"/>
      <c r="NH62" s="119"/>
      <c r="NI62" s="119"/>
      <c r="NJ62" s="119"/>
      <c r="NK62" s="119"/>
      <c r="NL62" s="119"/>
      <c r="NM62" s="119"/>
      <c r="NN62" s="119"/>
      <c r="NO62" s="119"/>
      <c r="NP62" s="119"/>
      <c r="NQ62" s="119"/>
      <c r="NR62" s="119"/>
      <c r="NS62" s="119"/>
      <c r="NT62" s="119"/>
      <c r="NU62" s="119"/>
      <c r="NV62" s="119"/>
      <c r="NW62" s="119"/>
      <c r="NX62" s="119"/>
      <c r="NY62" s="119"/>
      <c r="NZ62" s="119"/>
      <c r="OA62" s="119"/>
    </row>
    <row r="63" spans="1:391" x14ac:dyDescent="0.2">
      <c r="A63" s="500"/>
      <c r="B63" s="548" t="s">
        <v>354</v>
      </c>
      <c r="C63" s="187"/>
      <c r="D63" s="187"/>
      <c r="E63" s="187"/>
      <c r="F63" s="564">
        <f t="shared" ca="1" si="0"/>
        <v>-43388</v>
      </c>
      <c r="G63" s="556"/>
      <c r="H63" s="556"/>
      <c r="I63" s="556"/>
      <c r="J63" s="38" t="str">
        <f ca="1">IF(G63&gt;0,"COMPLETED",(IF(I63&gt;0,"ISSUE IDENTIFIED",(IF(TODAY()&gt;E63,"OVERDUE","In Progress")))))</f>
        <v>OVERDUE</v>
      </c>
      <c r="K63" s="557"/>
      <c r="BN63" s="119"/>
      <c r="BO63" s="119"/>
      <c r="BP63" s="119"/>
      <c r="BQ63" s="119"/>
      <c r="BR63" s="119"/>
      <c r="BS63" s="119"/>
      <c r="BT63" s="119"/>
      <c r="BU63" s="119"/>
      <c r="BV63" s="119"/>
      <c r="BW63" s="119"/>
      <c r="BX63" s="119"/>
      <c r="BY63" s="119"/>
      <c r="BZ63" s="119"/>
      <c r="CA63" s="119"/>
      <c r="CB63" s="119"/>
      <c r="CC63" s="119"/>
      <c r="CD63" s="119"/>
      <c r="CE63" s="119"/>
      <c r="CF63" s="119"/>
      <c r="CG63" s="119"/>
      <c r="CH63" s="119"/>
      <c r="CI63" s="119"/>
      <c r="CJ63" s="119"/>
      <c r="CK63" s="119"/>
      <c r="CL63" s="119"/>
      <c r="CM63" s="119"/>
      <c r="CN63" s="119"/>
      <c r="CO63" s="119"/>
      <c r="CP63" s="119"/>
      <c r="CQ63" s="119"/>
      <c r="CR63" s="119"/>
      <c r="CS63" s="119"/>
      <c r="CT63" s="119"/>
      <c r="CU63" s="119"/>
      <c r="CV63" s="119"/>
      <c r="CW63" s="119"/>
      <c r="CX63" s="119"/>
      <c r="CY63" s="119"/>
      <c r="CZ63" s="119"/>
      <c r="DA63" s="119"/>
      <c r="DB63" s="119"/>
      <c r="DC63" s="119"/>
      <c r="DD63" s="119"/>
      <c r="DE63" s="119"/>
      <c r="DF63" s="119"/>
      <c r="DG63" s="119"/>
      <c r="DH63" s="119"/>
      <c r="DI63" s="119"/>
      <c r="DJ63" s="119"/>
      <c r="DK63" s="119"/>
      <c r="DL63" s="119"/>
      <c r="DM63" s="119"/>
      <c r="DN63" s="119"/>
      <c r="DO63" s="119"/>
      <c r="DP63" s="119"/>
      <c r="DQ63" s="119"/>
      <c r="DR63" s="119"/>
      <c r="DS63" s="119"/>
      <c r="DT63" s="119"/>
      <c r="DU63" s="119"/>
      <c r="DV63" s="119"/>
      <c r="DW63" s="119"/>
      <c r="DX63" s="119"/>
      <c r="DY63" s="119"/>
      <c r="DZ63" s="119"/>
      <c r="EA63" s="119"/>
      <c r="EB63" s="119"/>
      <c r="EC63" s="119"/>
      <c r="ED63" s="119"/>
      <c r="EE63" s="119"/>
      <c r="EF63" s="119"/>
      <c r="EG63" s="119"/>
      <c r="EH63" s="119"/>
      <c r="EI63" s="119"/>
      <c r="EJ63" s="119"/>
      <c r="EK63" s="119"/>
      <c r="EL63" s="119"/>
      <c r="EM63" s="119"/>
      <c r="EN63" s="119"/>
      <c r="EO63" s="119"/>
      <c r="EP63" s="119"/>
      <c r="EQ63" s="119"/>
      <c r="ER63" s="119"/>
      <c r="ES63" s="119"/>
      <c r="ET63" s="119"/>
      <c r="EU63" s="119"/>
      <c r="EV63" s="119"/>
      <c r="EW63" s="119"/>
      <c r="EX63" s="119"/>
      <c r="EY63" s="119"/>
      <c r="EZ63" s="119"/>
      <c r="FA63" s="119"/>
      <c r="FB63" s="119"/>
      <c r="FC63" s="119"/>
      <c r="FD63" s="119"/>
      <c r="FE63" s="119"/>
      <c r="FF63" s="119"/>
      <c r="FG63" s="119"/>
      <c r="FH63" s="119"/>
      <c r="FI63" s="119"/>
      <c r="FJ63" s="119"/>
      <c r="FK63" s="119"/>
      <c r="FL63" s="119"/>
      <c r="FM63" s="119"/>
      <c r="FN63" s="119"/>
      <c r="FO63" s="119"/>
      <c r="FP63" s="119"/>
      <c r="FQ63" s="119"/>
      <c r="FR63" s="119"/>
      <c r="FS63" s="119"/>
      <c r="FT63" s="119"/>
      <c r="FU63" s="119"/>
      <c r="FV63" s="119"/>
      <c r="FW63" s="119"/>
      <c r="FX63" s="119"/>
      <c r="FY63" s="119"/>
      <c r="FZ63" s="119"/>
      <c r="GA63" s="119"/>
      <c r="GB63" s="119"/>
      <c r="GC63" s="119"/>
      <c r="GD63" s="119"/>
      <c r="GE63" s="119"/>
      <c r="GF63" s="119"/>
      <c r="GG63" s="119"/>
      <c r="GH63" s="119"/>
      <c r="GI63" s="119"/>
      <c r="GJ63" s="119"/>
      <c r="GK63" s="119"/>
      <c r="GL63" s="119"/>
      <c r="GM63" s="119"/>
      <c r="GN63" s="119"/>
      <c r="GO63" s="119"/>
      <c r="GP63" s="119"/>
      <c r="GQ63" s="119"/>
      <c r="GR63" s="119"/>
      <c r="GS63" s="119"/>
      <c r="GT63" s="119"/>
      <c r="GU63" s="119"/>
      <c r="GV63" s="119"/>
      <c r="GW63" s="119"/>
      <c r="GX63" s="119"/>
      <c r="GY63" s="119"/>
      <c r="GZ63" s="119"/>
      <c r="HA63" s="119"/>
      <c r="HB63" s="119"/>
      <c r="HC63" s="119"/>
      <c r="HD63" s="119"/>
      <c r="HE63" s="119"/>
      <c r="HF63" s="119"/>
      <c r="HG63" s="119"/>
      <c r="HH63" s="119"/>
      <c r="HI63" s="119"/>
      <c r="HJ63" s="119"/>
      <c r="HK63" s="119"/>
      <c r="HL63" s="119"/>
      <c r="HM63" s="119"/>
      <c r="HN63" s="119"/>
      <c r="HO63" s="119"/>
      <c r="HP63" s="119"/>
      <c r="HQ63" s="119"/>
      <c r="HR63" s="119"/>
      <c r="HS63" s="119"/>
      <c r="HT63" s="119"/>
      <c r="HU63" s="119"/>
      <c r="HV63" s="119"/>
      <c r="HW63" s="119"/>
      <c r="HX63" s="119"/>
      <c r="HY63" s="119"/>
      <c r="HZ63" s="119"/>
      <c r="IA63" s="119"/>
      <c r="IB63" s="119"/>
      <c r="IC63" s="119"/>
      <c r="ID63" s="119"/>
      <c r="IE63" s="119"/>
      <c r="IF63" s="119"/>
      <c r="IG63" s="119"/>
      <c r="IH63" s="119"/>
      <c r="II63" s="119"/>
      <c r="IJ63" s="119"/>
      <c r="IK63" s="119"/>
      <c r="IL63" s="119"/>
      <c r="IM63" s="119"/>
      <c r="IN63" s="119"/>
      <c r="IO63" s="119"/>
      <c r="IP63" s="119"/>
      <c r="IQ63" s="119"/>
      <c r="IR63" s="119"/>
      <c r="IS63" s="119"/>
      <c r="IT63" s="119"/>
      <c r="IU63" s="119"/>
      <c r="IV63" s="119"/>
      <c r="IW63" s="119"/>
      <c r="IX63" s="119"/>
      <c r="IY63" s="119"/>
      <c r="IZ63" s="119"/>
      <c r="JA63" s="119"/>
      <c r="JB63" s="119"/>
      <c r="JC63" s="119"/>
      <c r="JD63" s="119"/>
      <c r="JE63" s="119"/>
      <c r="JF63" s="119"/>
      <c r="JG63" s="119"/>
      <c r="JH63" s="119"/>
      <c r="JI63" s="119"/>
      <c r="JJ63" s="119"/>
      <c r="JK63" s="119"/>
      <c r="JL63" s="119"/>
      <c r="JM63" s="119"/>
      <c r="JN63" s="119"/>
      <c r="JO63" s="119"/>
      <c r="JP63" s="119"/>
      <c r="JQ63" s="119"/>
      <c r="JR63" s="119"/>
      <c r="JS63" s="119"/>
      <c r="JT63" s="119"/>
      <c r="JU63" s="119"/>
      <c r="JV63" s="119"/>
      <c r="JW63" s="119"/>
      <c r="JX63" s="119"/>
      <c r="JY63" s="119"/>
      <c r="JZ63" s="119"/>
      <c r="KA63" s="119"/>
      <c r="KB63" s="119"/>
      <c r="KC63" s="119"/>
      <c r="KD63" s="119"/>
      <c r="KE63" s="119"/>
      <c r="KF63" s="119"/>
      <c r="KG63" s="119"/>
      <c r="KH63" s="119"/>
      <c r="KI63" s="119"/>
      <c r="KJ63" s="119"/>
      <c r="KK63" s="119"/>
      <c r="KL63" s="119"/>
      <c r="KM63" s="119"/>
      <c r="KN63" s="119"/>
      <c r="KO63" s="119"/>
      <c r="KP63" s="119"/>
      <c r="KQ63" s="119"/>
      <c r="KR63" s="119"/>
      <c r="KS63" s="119"/>
      <c r="KT63" s="119"/>
      <c r="KU63" s="119"/>
      <c r="KV63" s="119"/>
      <c r="KW63" s="119"/>
      <c r="KX63" s="119"/>
      <c r="KY63" s="119"/>
      <c r="KZ63" s="119"/>
      <c r="LA63" s="119"/>
      <c r="LB63" s="119"/>
      <c r="LC63" s="119"/>
      <c r="LD63" s="119"/>
      <c r="LE63" s="119"/>
      <c r="LF63" s="119"/>
      <c r="LG63" s="119"/>
      <c r="LH63" s="119"/>
      <c r="LI63" s="119"/>
      <c r="LJ63" s="119"/>
      <c r="LK63" s="119"/>
      <c r="LL63" s="119"/>
      <c r="LM63" s="119"/>
      <c r="LN63" s="119"/>
      <c r="LO63" s="119"/>
      <c r="LP63" s="119"/>
      <c r="LQ63" s="119"/>
      <c r="LR63" s="119"/>
      <c r="LS63" s="119"/>
      <c r="LT63" s="119"/>
      <c r="LU63" s="119"/>
      <c r="LV63" s="119"/>
      <c r="LW63" s="119"/>
      <c r="LX63" s="119"/>
      <c r="LY63" s="119"/>
      <c r="LZ63" s="119"/>
      <c r="MA63" s="119"/>
      <c r="MB63" s="119"/>
      <c r="MC63" s="119"/>
      <c r="MD63" s="119"/>
      <c r="ME63" s="119"/>
      <c r="MF63" s="119"/>
      <c r="MG63" s="119"/>
      <c r="MH63" s="119"/>
      <c r="MI63" s="119"/>
      <c r="MJ63" s="119"/>
      <c r="MK63" s="119"/>
      <c r="ML63" s="119"/>
      <c r="MM63" s="119"/>
      <c r="MN63" s="119"/>
      <c r="MO63" s="119"/>
      <c r="MP63" s="119"/>
      <c r="MQ63" s="119"/>
      <c r="MR63" s="119"/>
      <c r="MS63" s="119"/>
      <c r="MT63" s="119"/>
      <c r="MU63" s="119"/>
      <c r="MV63" s="119"/>
      <c r="MW63" s="119"/>
      <c r="MX63" s="119"/>
      <c r="MY63" s="119"/>
      <c r="MZ63" s="119"/>
      <c r="NA63" s="119"/>
      <c r="NB63" s="119"/>
      <c r="NC63" s="119"/>
      <c r="ND63" s="119"/>
      <c r="NE63" s="119"/>
      <c r="NF63" s="119"/>
      <c r="NG63" s="119"/>
      <c r="NH63" s="119"/>
      <c r="NI63" s="119"/>
      <c r="NJ63" s="119"/>
      <c r="NK63" s="119"/>
      <c r="NL63" s="119"/>
      <c r="NM63" s="119"/>
      <c r="NN63" s="119"/>
      <c r="NO63" s="119"/>
      <c r="NP63" s="119"/>
      <c r="NQ63" s="119"/>
      <c r="NR63" s="119"/>
      <c r="NS63" s="119"/>
      <c r="NT63" s="119"/>
      <c r="NU63" s="119"/>
      <c r="NV63" s="119"/>
      <c r="NW63" s="119"/>
      <c r="NX63" s="119"/>
      <c r="NY63" s="119"/>
      <c r="NZ63" s="119"/>
      <c r="OA63" s="119"/>
    </row>
    <row r="64" spans="1:391" x14ac:dyDescent="0.2">
      <c r="A64" s="500"/>
      <c r="B64" s="548" t="s">
        <v>355</v>
      </c>
      <c r="C64" s="187"/>
      <c r="D64" s="187"/>
      <c r="E64" s="187"/>
      <c r="F64" s="564">
        <f t="shared" ca="1" si="0"/>
        <v>-43388</v>
      </c>
      <c r="G64" s="556"/>
      <c r="H64" s="556"/>
      <c r="I64" s="556"/>
      <c r="J64" s="38" t="str">
        <f ca="1">IF(G64&gt;0,"COMPLETED",(IF(I64&gt;0,"ISSUE IDENTIFIED",(IF(TODAY()&gt;E64,"OVERDUE","In Progress")))))</f>
        <v>OVERDUE</v>
      </c>
      <c r="K64" s="557"/>
      <c r="BN64" s="119"/>
      <c r="BO64" s="119"/>
      <c r="BP64" s="119"/>
      <c r="BQ64" s="119"/>
      <c r="BR64" s="119"/>
      <c r="BS64" s="119"/>
      <c r="BT64" s="119"/>
      <c r="BU64" s="119"/>
      <c r="BV64" s="119"/>
      <c r="BW64" s="119"/>
      <c r="BX64" s="119"/>
      <c r="BY64" s="119"/>
      <c r="BZ64" s="119"/>
      <c r="CA64" s="119"/>
      <c r="CB64" s="119"/>
      <c r="CC64" s="119"/>
      <c r="CD64" s="119"/>
      <c r="CE64" s="119"/>
      <c r="CF64" s="119"/>
      <c r="CG64" s="119"/>
      <c r="CH64" s="119"/>
      <c r="CI64" s="119"/>
      <c r="CJ64" s="119"/>
      <c r="CK64" s="119"/>
      <c r="CL64" s="119"/>
      <c r="CM64" s="119"/>
      <c r="CN64" s="119"/>
      <c r="CO64" s="119"/>
      <c r="CP64" s="119"/>
      <c r="CQ64" s="119"/>
      <c r="CR64" s="119"/>
      <c r="CS64" s="119"/>
      <c r="CT64" s="119"/>
      <c r="CU64" s="119"/>
      <c r="CV64" s="119"/>
      <c r="CW64" s="119"/>
      <c r="CX64" s="119"/>
      <c r="CY64" s="119"/>
      <c r="CZ64" s="119"/>
      <c r="DA64" s="119"/>
      <c r="DB64" s="119"/>
      <c r="DC64" s="119"/>
      <c r="DD64" s="119"/>
      <c r="DE64" s="119"/>
      <c r="DF64" s="119"/>
      <c r="DG64" s="119"/>
      <c r="DH64" s="119"/>
      <c r="DI64" s="119"/>
      <c r="DJ64" s="119"/>
      <c r="DK64" s="119"/>
      <c r="DL64" s="119"/>
      <c r="DM64" s="119"/>
      <c r="DN64" s="119"/>
      <c r="DO64" s="119"/>
      <c r="DP64" s="119"/>
      <c r="DQ64" s="119"/>
      <c r="DR64" s="119"/>
      <c r="DS64" s="119"/>
      <c r="DT64" s="119"/>
      <c r="DU64" s="119"/>
      <c r="DV64" s="119"/>
      <c r="DW64" s="119"/>
      <c r="DX64" s="119"/>
      <c r="DY64" s="119"/>
      <c r="DZ64" s="119"/>
      <c r="EA64" s="119"/>
      <c r="EB64" s="119"/>
      <c r="EC64" s="119"/>
      <c r="ED64" s="119"/>
      <c r="EE64" s="119"/>
      <c r="EF64" s="119"/>
      <c r="EG64" s="119"/>
      <c r="EH64" s="119"/>
      <c r="EI64" s="119"/>
      <c r="EJ64" s="119"/>
      <c r="EK64" s="119"/>
      <c r="EL64" s="119"/>
      <c r="EM64" s="119"/>
      <c r="EN64" s="119"/>
      <c r="EO64" s="119"/>
      <c r="EP64" s="119"/>
      <c r="EQ64" s="119"/>
      <c r="ER64" s="119"/>
      <c r="ES64" s="119"/>
      <c r="ET64" s="119"/>
      <c r="EU64" s="119"/>
      <c r="EV64" s="119"/>
      <c r="EW64" s="119"/>
      <c r="EX64" s="119"/>
      <c r="EY64" s="119"/>
      <c r="EZ64" s="119"/>
      <c r="FA64" s="119"/>
      <c r="FB64" s="119"/>
      <c r="FC64" s="119"/>
      <c r="FD64" s="119"/>
      <c r="FE64" s="119"/>
      <c r="FF64" s="119"/>
      <c r="FG64" s="119"/>
      <c r="FH64" s="119"/>
      <c r="FI64" s="119"/>
      <c r="FJ64" s="119"/>
      <c r="FK64" s="119"/>
      <c r="FL64" s="119"/>
      <c r="FM64" s="119"/>
      <c r="FN64" s="119"/>
      <c r="FO64" s="119"/>
      <c r="FP64" s="119"/>
      <c r="FQ64" s="119"/>
      <c r="FR64" s="119"/>
      <c r="FS64" s="119"/>
      <c r="FT64" s="119"/>
      <c r="FU64" s="119"/>
      <c r="FV64" s="119"/>
      <c r="FW64" s="119"/>
      <c r="FX64" s="119"/>
      <c r="FY64" s="119"/>
      <c r="FZ64" s="119"/>
      <c r="GA64" s="119"/>
      <c r="GB64" s="119"/>
      <c r="GC64" s="119"/>
      <c r="GD64" s="119"/>
      <c r="GE64" s="119"/>
      <c r="GF64" s="119"/>
      <c r="GG64" s="119"/>
      <c r="GH64" s="119"/>
      <c r="GI64" s="119"/>
      <c r="GJ64" s="119"/>
      <c r="GK64" s="119"/>
      <c r="GL64" s="119"/>
      <c r="GM64" s="119"/>
      <c r="GN64" s="119"/>
      <c r="GO64" s="119"/>
      <c r="GP64" s="119"/>
      <c r="GQ64" s="119"/>
      <c r="GR64" s="119"/>
      <c r="GS64" s="119"/>
      <c r="GT64" s="119"/>
      <c r="GU64" s="119"/>
      <c r="GV64" s="119"/>
      <c r="GW64" s="119"/>
      <c r="GX64" s="119"/>
      <c r="GY64" s="119"/>
      <c r="GZ64" s="119"/>
      <c r="HA64" s="119"/>
      <c r="HB64" s="119"/>
      <c r="HC64" s="119"/>
      <c r="HD64" s="119"/>
      <c r="HE64" s="119"/>
      <c r="HF64" s="119"/>
      <c r="HG64" s="119"/>
      <c r="HH64" s="119"/>
      <c r="HI64" s="119"/>
      <c r="HJ64" s="119"/>
      <c r="HK64" s="119"/>
      <c r="HL64" s="119"/>
      <c r="HM64" s="119"/>
      <c r="HN64" s="119"/>
      <c r="HO64" s="119"/>
      <c r="HP64" s="119"/>
      <c r="HQ64" s="119"/>
      <c r="HR64" s="119"/>
      <c r="HS64" s="119"/>
      <c r="HT64" s="119"/>
      <c r="HU64" s="119"/>
      <c r="HV64" s="119"/>
      <c r="HW64" s="119"/>
      <c r="HX64" s="119"/>
      <c r="HY64" s="119"/>
      <c r="HZ64" s="119"/>
      <c r="IA64" s="119"/>
      <c r="IB64" s="119"/>
      <c r="IC64" s="119"/>
      <c r="ID64" s="119"/>
      <c r="IE64" s="119"/>
      <c r="IF64" s="119"/>
      <c r="IG64" s="119"/>
      <c r="IH64" s="119"/>
      <c r="II64" s="119"/>
      <c r="IJ64" s="119"/>
      <c r="IK64" s="119"/>
      <c r="IL64" s="119"/>
      <c r="IM64" s="119"/>
      <c r="IN64" s="119"/>
      <c r="IO64" s="119"/>
      <c r="IP64" s="119"/>
      <c r="IQ64" s="119"/>
      <c r="IR64" s="119"/>
      <c r="IS64" s="119"/>
      <c r="IT64" s="119"/>
      <c r="IU64" s="119"/>
      <c r="IV64" s="119"/>
      <c r="IW64" s="119"/>
      <c r="IX64" s="119"/>
      <c r="IY64" s="119"/>
      <c r="IZ64" s="119"/>
      <c r="JA64" s="119"/>
      <c r="JB64" s="119"/>
      <c r="JC64" s="119"/>
      <c r="JD64" s="119"/>
      <c r="JE64" s="119"/>
      <c r="JF64" s="119"/>
      <c r="JG64" s="119"/>
      <c r="JH64" s="119"/>
      <c r="JI64" s="119"/>
      <c r="JJ64" s="119"/>
      <c r="JK64" s="119"/>
      <c r="JL64" s="119"/>
      <c r="JM64" s="119"/>
      <c r="JN64" s="119"/>
      <c r="JO64" s="119"/>
      <c r="JP64" s="119"/>
      <c r="JQ64" s="119"/>
      <c r="JR64" s="119"/>
      <c r="JS64" s="119"/>
      <c r="JT64" s="119"/>
      <c r="JU64" s="119"/>
      <c r="JV64" s="119"/>
      <c r="JW64" s="119"/>
      <c r="JX64" s="119"/>
      <c r="JY64" s="119"/>
      <c r="JZ64" s="119"/>
      <c r="KA64" s="119"/>
      <c r="KB64" s="119"/>
      <c r="KC64" s="119"/>
      <c r="KD64" s="119"/>
      <c r="KE64" s="119"/>
      <c r="KF64" s="119"/>
      <c r="KG64" s="119"/>
      <c r="KH64" s="119"/>
      <c r="KI64" s="119"/>
      <c r="KJ64" s="119"/>
      <c r="KK64" s="119"/>
      <c r="KL64" s="119"/>
      <c r="KM64" s="119"/>
      <c r="KN64" s="119"/>
      <c r="KO64" s="119"/>
      <c r="KP64" s="119"/>
      <c r="KQ64" s="119"/>
      <c r="KR64" s="119"/>
      <c r="KS64" s="119"/>
      <c r="KT64" s="119"/>
      <c r="KU64" s="119"/>
      <c r="KV64" s="119"/>
      <c r="KW64" s="119"/>
      <c r="KX64" s="119"/>
      <c r="KY64" s="119"/>
      <c r="KZ64" s="119"/>
      <c r="LA64" s="119"/>
      <c r="LB64" s="119"/>
      <c r="LC64" s="119"/>
      <c r="LD64" s="119"/>
      <c r="LE64" s="119"/>
      <c r="LF64" s="119"/>
      <c r="LG64" s="119"/>
      <c r="LH64" s="119"/>
      <c r="LI64" s="119"/>
      <c r="LJ64" s="119"/>
      <c r="LK64" s="119"/>
      <c r="LL64" s="119"/>
      <c r="LM64" s="119"/>
      <c r="LN64" s="119"/>
      <c r="LO64" s="119"/>
      <c r="LP64" s="119"/>
      <c r="LQ64" s="119"/>
      <c r="LR64" s="119"/>
      <c r="LS64" s="119"/>
      <c r="LT64" s="119"/>
      <c r="LU64" s="119"/>
      <c r="LV64" s="119"/>
      <c r="LW64" s="119"/>
      <c r="LX64" s="119"/>
      <c r="LY64" s="119"/>
      <c r="LZ64" s="119"/>
      <c r="MA64" s="119"/>
      <c r="MB64" s="119"/>
      <c r="MC64" s="119"/>
      <c r="MD64" s="119"/>
      <c r="ME64" s="119"/>
      <c r="MF64" s="119"/>
      <c r="MG64" s="119"/>
      <c r="MH64" s="119"/>
      <c r="MI64" s="119"/>
      <c r="MJ64" s="119"/>
      <c r="MK64" s="119"/>
      <c r="ML64" s="119"/>
      <c r="MM64" s="119"/>
      <c r="MN64" s="119"/>
      <c r="MO64" s="119"/>
      <c r="MP64" s="119"/>
      <c r="MQ64" s="119"/>
      <c r="MR64" s="119"/>
      <c r="MS64" s="119"/>
      <c r="MT64" s="119"/>
      <c r="MU64" s="119"/>
      <c r="MV64" s="119"/>
      <c r="MW64" s="119"/>
      <c r="MX64" s="119"/>
      <c r="MY64" s="119"/>
      <c r="MZ64" s="119"/>
      <c r="NA64" s="119"/>
      <c r="NB64" s="119"/>
      <c r="NC64" s="119"/>
      <c r="ND64" s="119"/>
      <c r="NE64" s="119"/>
      <c r="NF64" s="119"/>
      <c r="NG64" s="119"/>
      <c r="NH64" s="119"/>
      <c r="NI64" s="119"/>
      <c r="NJ64" s="119"/>
      <c r="NK64" s="119"/>
      <c r="NL64" s="119"/>
      <c r="NM64" s="119"/>
      <c r="NN64" s="119"/>
      <c r="NO64" s="119"/>
      <c r="NP64" s="119"/>
      <c r="NQ64" s="119"/>
      <c r="NR64" s="119"/>
      <c r="NS64" s="119"/>
      <c r="NT64" s="119"/>
      <c r="NU64" s="119"/>
      <c r="NV64" s="119"/>
      <c r="NW64" s="119"/>
      <c r="NX64" s="119"/>
      <c r="NY64" s="119"/>
      <c r="NZ64" s="119"/>
      <c r="OA64" s="119"/>
    </row>
    <row r="65" spans="1:391" ht="13.9" customHeight="1" x14ac:dyDescent="0.2">
      <c r="A65" s="500"/>
      <c r="B65" s="548" t="s">
        <v>1015</v>
      </c>
      <c r="C65" s="187"/>
      <c r="D65" s="187"/>
      <c r="E65" s="187"/>
      <c r="F65" s="564">
        <f t="shared" ca="1" si="0"/>
        <v>-43388</v>
      </c>
      <c r="G65" s="556"/>
      <c r="H65" s="556"/>
      <c r="I65" s="556"/>
      <c r="J65" s="38" t="str">
        <f ca="1">IF(G65&gt;0,"COMPLETED",(IF(I65&gt;0,"ISSUE IDENTIFIED",(IF(TODAY()&gt;E65,"OVERDUE","In Progress")))))</f>
        <v>OVERDUE</v>
      </c>
      <c r="K65" s="557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119"/>
      <c r="IM65" s="119"/>
      <c r="IN65" s="119"/>
      <c r="IO65" s="119"/>
      <c r="IP65" s="119"/>
      <c r="IQ65" s="119"/>
      <c r="IR65" s="119"/>
      <c r="IS65" s="119"/>
      <c r="IT65" s="119"/>
      <c r="IU65" s="119"/>
      <c r="IV65" s="119"/>
      <c r="IW65" s="119"/>
      <c r="IX65" s="119"/>
      <c r="IY65" s="119"/>
      <c r="IZ65" s="119"/>
      <c r="JA65" s="119"/>
      <c r="JB65" s="119"/>
      <c r="JC65" s="119"/>
      <c r="JD65" s="119"/>
      <c r="JE65" s="119"/>
      <c r="JF65" s="119"/>
      <c r="JG65" s="119"/>
      <c r="JH65" s="119"/>
      <c r="JI65" s="119"/>
      <c r="JJ65" s="119"/>
      <c r="JK65" s="119"/>
      <c r="JL65" s="119"/>
      <c r="JM65" s="119"/>
      <c r="JN65" s="119"/>
      <c r="JO65" s="119"/>
      <c r="JP65" s="119"/>
      <c r="JQ65" s="119"/>
      <c r="JR65" s="119"/>
      <c r="JS65" s="119"/>
      <c r="JT65" s="119"/>
      <c r="JU65" s="119"/>
      <c r="JV65" s="119"/>
      <c r="JW65" s="119"/>
      <c r="JX65" s="119"/>
      <c r="JY65" s="119"/>
      <c r="JZ65" s="119"/>
      <c r="KA65" s="119"/>
      <c r="KB65" s="119"/>
      <c r="KC65" s="119"/>
      <c r="KD65" s="119"/>
      <c r="KE65" s="119"/>
      <c r="KF65" s="119"/>
      <c r="KG65" s="119"/>
      <c r="KH65" s="119"/>
      <c r="KI65" s="119"/>
      <c r="KJ65" s="119"/>
      <c r="KK65" s="119"/>
      <c r="KL65" s="119"/>
      <c r="KM65" s="119"/>
      <c r="KN65" s="119"/>
      <c r="KO65" s="119"/>
      <c r="KP65" s="119"/>
      <c r="KQ65" s="119"/>
      <c r="KR65" s="119"/>
      <c r="KS65" s="119"/>
      <c r="KT65" s="119"/>
      <c r="KU65" s="119"/>
      <c r="KV65" s="119"/>
      <c r="KW65" s="119"/>
      <c r="KX65" s="119"/>
      <c r="KY65" s="119"/>
      <c r="KZ65" s="119"/>
      <c r="LA65" s="119"/>
      <c r="LB65" s="119"/>
      <c r="LC65" s="119"/>
      <c r="LD65" s="119"/>
      <c r="LE65" s="119"/>
      <c r="LF65" s="119"/>
      <c r="LG65" s="119"/>
      <c r="LH65" s="119"/>
      <c r="LI65" s="119"/>
      <c r="LJ65" s="119"/>
      <c r="LK65" s="119"/>
      <c r="LL65" s="119"/>
      <c r="LM65" s="119"/>
      <c r="LN65" s="119"/>
      <c r="LO65" s="119"/>
      <c r="LP65" s="119"/>
      <c r="LQ65" s="119"/>
      <c r="LR65" s="119"/>
      <c r="LS65" s="119"/>
      <c r="LT65" s="119"/>
      <c r="LU65" s="119"/>
      <c r="LV65" s="119"/>
      <c r="LW65" s="119"/>
      <c r="LX65" s="119"/>
      <c r="LY65" s="119"/>
      <c r="LZ65" s="119"/>
      <c r="MA65" s="119"/>
      <c r="MB65" s="119"/>
      <c r="MC65" s="119"/>
      <c r="MD65" s="119"/>
      <c r="ME65" s="119"/>
      <c r="MF65" s="119"/>
      <c r="MG65" s="119"/>
      <c r="MH65" s="119"/>
      <c r="MI65" s="119"/>
      <c r="MJ65" s="119"/>
      <c r="MK65" s="119"/>
      <c r="ML65" s="119"/>
      <c r="MM65" s="119"/>
      <c r="MN65" s="119"/>
      <c r="MO65" s="119"/>
      <c r="MP65" s="119"/>
      <c r="MQ65" s="119"/>
      <c r="MR65" s="119"/>
      <c r="MS65" s="119"/>
      <c r="MT65" s="119"/>
      <c r="MU65" s="119"/>
      <c r="MV65" s="119"/>
      <c r="MW65" s="119"/>
      <c r="MX65" s="119"/>
      <c r="MY65" s="119"/>
      <c r="MZ65" s="119"/>
      <c r="NA65" s="119"/>
      <c r="NB65" s="119"/>
      <c r="NC65" s="119"/>
      <c r="ND65" s="119"/>
      <c r="NE65" s="119"/>
      <c r="NF65" s="119"/>
      <c r="NG65" s="119"/>
      <c r="NH65" s="119"/>
      <c r="NI65" s="119"/>
      <c r="NJ65" s="119"/>
      <c r="NK65" s="119"/>
      <c r="NL65" s="119"/>
      <c r="NM65" s="119"/>
      <c r="NN65" s="119"/>
      <c r="NO65" s="119"/>
      <c r="NP65" s="119"/>
      <c r="NQ65" s="119"/>
      <c r="NR65" s="119"/>
      <c r="NS65" s="119"/>
      <c r="NT65" s="119"/>
      <c r="NU65" s="119"/>
      <c r="NV65" s="119"/>
      <c r="NW65" s="119"/>
      <c r="NX65" s="119"/>
      <c r="NY65" s="119"/>
      <c r="NZ65" s="119"/>
      <c r="OA65" s="119"/>
    </row>
    <row r="66" spans="1:391" ht="15" x14ac:dyDescent="0.25">
      <c r="A66" s="500"/>
      <c r="B66" s="550" t="s">
        <v>356</v>
      </c>
      <c r="C66" s="187"/>
      <c r="D66" s="551"/>
      <c r="E66" s="551"/>
      <c r="F66" s="564">
        <f t="shared" ca="1" si="0"/>
        <v>-43388</v>
      </c>
      <c r="G66" s="556"/>
      <c r="H66" s="556"/>
      <c r="I66" s="556"/>
      <c r="J66" s="38" t="str">
        <f ca="1">IF(AND(J67="completed",J68="completed",J69="completed",J70="completed",J71="completed",J72="completed",J73="completed"),"Deliverable Completed","DELIVERABLE STILL IN PROGRESS")</f>
        <v>DELIVERABLE STILL IN PROGRESS</v>
      </c>
      <c r="K66" s="557"/>
      <c r="BN66" s="119"/>
      <c r="BO66" s="119"/>
      <c r="BP66" s="119"/>
      <c r="BQ66" s="119"/>
      <c r="BR66" s="119"/>
      <c r="BS66" s="119"/>
      <c r="BT66" s="119"/>
      <c r="BU66" s="119"/>
      <c r="BV66" s="119"/>
      <c r="BW66" s="119"/>
      <c r="BX66" s="119"/>
      <c r="BY66" s="119"/>
      <c r="BZ66" s="119"/>
      <c r="CA66" s="119"/>
      <c r="CB66" s="119"/>
      <c r="CC66" s="119"/>
      <c r="CD66" s="119"/>
      <c r="CE66" s="119"/>
      <c r="CF66" s="119"/>
      <c r="CG66" s="119"/>
      <c r="CH66" s="119"/>
      <c r="CI66" s="119"/>
      <c r="CJ66" s="119"/>
      <c r="CK66" s="119"/>
      <c r="CL66" s="119"/>
      <c r="CM66" s="119"/>
      <c r="CN66" s="119"/>
      <c r="CO66" s="119"/>
      <c r="CP66" s="119"/>
      <c r="CQ66" s="119"/>
      <c r="CR66" s="119"/>
      <c r="CS66" s="119"/>
      <c r="CT66" s="119"/>
      <c r="CU66" s="119"/>
      <c r="CV66" s="119"/>
      <c r="CW66" s="119"/>
      <c r="CX66" s="119"/>
      <c r="CY66" s="119"/>
      <c r="CZ66" s="119"/>
      <c r="DA66" s="119"/>
      <c r="DB66" s="119"/>
      <c r="DC66" s="119"/>
      <c r="DD66" s="119"/>
      <c r="DE66" s="119"/>
      <c r="DF66" s="119"/>
      <c r="DG66" s="119"/>
      <c r="DH66" s="119"/>
      <c r="DI66" s="119"/>
      <c r="DJ66" s="119"/>
      <c r="DK66" s="119"/>
      <c r="DL66" s="119"/>
      <c r="DM66" s="119"/>
      <c r="DN66" s="119"/>
      <c r="DO66" s="119"/>
      <c r="DP66" s="119"/>
      <c r="DQ66" s="119"/>
      <c r="DR66" s="119"/>
      <c r="DS66" s="119"/>
      <c r="DT66" s="119"/>
      <c r="DU66" s="119"/>
      <c r="DV66" s="119"/>
      <c r="DW66" s="119"/>
      <c r="DX66" s="119"/>
      <c r="DY66" s="119"/>
      <c r="DZ66" s="119"/>
      <c r="EA66" s="119"/>
      <c r="EB66" s="119"/>
      <c r="EC66" s="119"/>
      <c r="ED66" s="119"/>
      <c r="EE66" s="119"/>
      <c r="EF66" s="119"/>
      <c r="EG66" s="119"/>
      <c r="EH66" s="119"/>
      <c r="EI66" s="119"/>
      <c r="EJ66" s="119"/>
      <c r="EK66" s="119"/>
      <c r="EL66" s="119"/>
      <c r="EM66" s="119"/>
      <c r="EN66" s="119"/>
      <c r="EO66" s="119"/>
      <c r="EP66" s="119"/>
      <c r="EQ66" s="119"/>
      <c r="ER66" s="119"/>
      <c r="ES66" s="119"/>
      <c r="ET66" s="119"/>
      <c r="EU66" s="119"/>
      <c r="EV66" s="119"/>
      <c r="EW66" s="119"/>
      <c r="EX66" s="119"/>
      <c r="EY66" s="119"/>
      <c r="EZ66" s="119"/>
      <c r="FA66" s="119"/>
      <c r="FB66" s="119"/>
      <c r="FC66" s="119"/>
      <c r="FD66" s="119"/>
      <c r="FE66" s="119"/>
      <c r="FF66" s="119"/>
      <c r="FG66" s="119"/>
      <c r="FH66" s="119"/>
      <c r="FI66" s="119"/>
      <c r="FJ66" s="119"/>
      <c r="FK66" s="119"/>
      <c r="FL66" s="119"/>
      <c r="FM66" s="119"/>
      <c r="FN66" s="119"/>
      <c r="FO66" s="119"/>
      <c r="FP66" s="119"/>
      <c r="FQ66" s="119"/>
      <c r="FR66" s="119"/>
      <c r="FS66" s="119"/>
      <c r="FT66" s="119"/>
      <c r="FU66" s="119"/>
      <c r="FV66" s="119"/>
      <c r="FW66" s="119"/>
      <c r="FX66" s="119"/>
      <c r="FY66" s="119"/>
      <c r="FZ66" s="119"/>
      <c r="GA66" s="119"/>
      <c r="GB66" s="119"/>
      <c r="GC66" s="119"/>
      <c r="GD66" s="119"/>
      <c r="GE66" s="119"/>
      <c r="GF66" s="119"/>
      <c r="GG66" s="119"/>
      <c r="GH66" s="119"/>
      <c r="GI66" s="119"/>
      <c r="GJ66" s="119"/>
      <c r="GK66" s="119"/>
      <c r="GL66" s="119"/>
      <c r="GM66" s="119"/>
      <c r="GN66" s="119"/>
      <c r="GO66" s="119"/>
      <c r="GP66" s="119"/>
      <c r="GQ66" s="119"/>
      <c r="GR66" s="119"/>
      <c r="GS66" s="119"/>
      <c r="GT66" s="119"/>
      <c r="GU66" s="119"/>
      <c r="GV66" s="119"/>
      <c r="GW66" s="119"/>
      <c r="GX66" s="119"/>
      <c r="GY66" s="119"/>
      <c r="GZ66" s="119"/>
      <c r="HA66" s="119"/>
      <c r="HB66" s="119"/>
      <c r="HC66" s="119"/>
      <c r="HD66" s="119"/>
      <c r="HE66" s="119"/>
      <c r="HF66" s="119"/>
      <c r="HG66" s="119"/>
      <c r="HH66" s="119"/>
      <c r="HI66" s="119"/>
      <c r="HJ66" s="119"/>
      <c r="HK66" s="119"/>
      <c r="HL66" s="119"/>
      <c r="HM66" s="119"/>
      <c r="HN66" s="119"/>
      <c r="HO66" s="119"/>
      <c r="HP66" s="119"/>
      <c r="HQ66" s="119"/>
      <c r="HR66" s="119"/>
      <c r="HS66" s="119"/>
      <c r="HT66" s="119"/>
      <c r="HU66" s="119"/>
      <c r="HV66" s="119"/>
      <c r="HW66" s="119"/>
      <c r="HX66" s="119"/>
      <c r="HY66" s="119"/>
      <c r="HZ66" s="119"/>
      <c r="IA66" s="119"/>
      <c r="IB66" s="119"/>
      <c r="IC66" s="119"/>
      <c r="ID66" s="119"/>
      <c r="IE66" s="119"/>
      <c r="IF66" s="119"/>
      <c r="IG66" s="119"/>
      <c r="IH66" s="119"/>
      <c r="II66" s="119"/>
      <c r="IJ66" s="119"/>
      <c r="IK66" s="119"/>
      <c r="IL66" s="119"/>
      <c r="IM66" s="119"/>
      <c r="IN66" s="119"/>
      <c r="IO66" s="119"/>
      <c r="IP66" s="119"/>
      <c r="IQ66" s="119"/>
      <c r="IR66" s="119"/>
      <c r="IS66" s="119"/>
      <c r="IT66" s="119"/>
      <c r="IU66" s="119"/>
      <c r="IV66" s="119"/>
      <c r="IW66" s="119"/>
      <c r="IX66" s="119"/>
      <c r="IY66" s="119"/>
      <c r="IZ66" s="119"/>
      <c r="JA66" s="119"/>
      <c r="JB66" s="119"/>
      <c r="JC66" s="119"/>
      <c r="JD66" s="119"/>
      <c r="JE66" s="119"/>
      <c r="JF66" s="119"/>
      <c r="JG66" s="119"/>
      <c r="JH66" s="119"/>
      <c r="JI66" s="119"/>
      <c r="JJ66" s="119"/>
      <c r="JK66" s="119"/>
      <c r="JL66" s="119"/>
      <c r="JM66" s="119"/>
      <c r="JN66" s="119"/>
      <c r="JO66" s="119"/>
      <c r="JP66" s="119"/>
      <c r="JQ66" s="119"/>
      <c r="JR66" s="119"/>
      <c r="JS66" s="119"/>
      <c r="JT66" s="119"/>
      <c r="JU66" s="119"/>
      <c r="JV66" s="119"/>
      <c r="JW66" s="119"/>
      <c r="JX66" s="119"/>
      <c r="JY66" s="119"/>
      <c r="JZ66" s="119"/>
      <c r="KA66" s="119"/>
      <c r="KB66" s="119"/>
      <c r="KC66" s="119"/>
      <c r="KD66" s="119"/>
      <c r="KE66" s="119"/>
      <c r="KF66" s="119"/>
      <c r="KG66" s="119"/>
      <c r="KH66" s="119"/>
      <c r="KI66" s="119"/>
      <c r="KJ66" s="119"/>
      <c r="KK66" s="119"/>
      <c r="KL66" s="119"/>
      <c r="KM66" s="119"/>
      <c r="KN66" s="119"/>
      <c r="KO66" s="119"/>
      <c r="KP66" s="119"/>
      <c r="KQ66" s="119"/>
      <c r="KR66" s="119"/>
      <c r="KS66" s="119"/>
      <c r="KT66" s="119"/>
      <c r="KU66" s="119"/>
      <c r="KV66" s="119"/>
      <c r="KW66" s="119"/>
      <c r="KX66" s="119"/>
      <c r="KY66" s="119"/>
      <c r="KZ66" s="119"/>
      <c r="LA66" s="119"/>
      <c r="LB66" s="119"/>
      <c r="LC66" s="119"/>
      <c r="LD66" s="119"/>
      <c r="LE66" s="119"/>
      <c r="LF66" s="119"/>
      <c r="LG66" s="119"/>
      <c r="LH66" s="119"/>
      <c r="LI66" s="119"/>
      <c r="LJ66" s="119"/>
      <c r="LK66" s="119"/>
      <c r="LL66" s="119"/>
      <c r="LM66" s="119"/>
      <c r="LN66" s="119"/>
      <c r="LO66" s="119"/>
      <c r="LP66" s="119"/>
      <c r="LQ66" s="119"/>
      <c r="LR66" s="119"/>
      <c r="LS66" s="119"/>
      <c r="LT66" s="119"/>
      <c r="LU66" s="119"/>
      <c r="LV66" s="119"/>
      <c r="LW66" s="119"/>
      <c r="LX66" s="119"/>
      <c r="LY66" s="119"/>
      <c r="LZ66" s="119"/>
      <c r="MA66" s="119"/>
      <c r="MB66" s="119"/>
      <c r="MC66" s="119"/>
      <c r="MD66" s="119"/>
      <c r="ME66" s="119"/>
      <c r="MF66" s="119"/>
      <c r="MG66" s="119"/>
      <c r="MH66" s="119"/>
      <c r="MI66" s="119"/>
      <c r="MJ66" s="119"/>
      <c r="MK66" s="119"/>
      <c r="ML66" s="119"/>
      <c r="MM66" s="119"/>
      <c r="MN66" s="119"/>
      <c r="MO66" s="119"/>
      <c r="MP66" s="119"/>
      <c r="MQ66" s="119"/>
      <c r="MR66" s="119"/>
      <c r="MS66" s="119"/>
      <c r="MT66" s="119"/>
      <c r="MU66" s="119"/>
      <c r="MV66" s="119"/>
      <c r="MW66" s="119"/>
      <c r="MX66" s="119"/>
      <c r="MY66" s="119"/>
      <c r="MZ66" s="119"/>
      <c r="NA66" s="119"/>
      <c r="NB66" s="119"/>
      <c r="NC66" s="119"/>
      <c r="ND66" s="119"/>
      <c r="NE66" s="119"/>
      <c r="NF66" s="119"/>
      <c r="NG66" s="119"/>
      <c r="NH66" s="119"/>
      <c r="NI66" s="119"/>
      <c r="NJ66" s="119"/>
      <c r="NK66" s="119"/>
      <c r="NL66" s="119"/>
      <c r="NM66" s="119"/>
      <c r="NN66" s="119"/>
      <c r="NO66" s="119"/>
      <c r="NP66" s="119"/>
      <c r="NQ66" s="119"/>
      <c r="NR66" s="119"/>
      <c r="NS66" s="119"/>
      <c r="NT66" s="119"/>
      <c r="NU66" s="119"/>
      <c r="NV66" s="119"/>
      <c r="NW66" s="119"/>
      <c r="NX66" s="119"/>
      <c r="NY66" s="119"/>
      <c r="NZ66" s="119"/>
      <c r="OA66" s="119"/>
    </row>
    <row r="67" spans="1:391" ht="13.9" customHeight="1" x14ac:dyDescent="0.2">
      <c r="A67" s="500"/>
      <c r="B67" s="548" t="s">
        <v>357</v>
      </c>
      <c r="C67" s="187"/>
      <c r="D67" s="187"/>
      <c r="E67" s="187"/>
      <c r="F67" s="564">
        <f t="shared" ca="1" si="0"/>
        <v>-43388</v>
      </c>
      <c r="G67" s="556"/>
      <c r="H67" s="556"/>
      <c r="I67" s="556"/>
      <c r="J67" s="38" t="str">
        <f t="shared" ref="J67:J73" ca="1" si="5">IF(G67&gt;0,"COMPLETED",(IF(I67&gt;0,"ISSUE IDENTIFIED",(IF(TODAY()&gt;E67,"OVERDUE","In Progress")))))</f>
        <v>OVERDUE</v>
      </c>
      <c r="K67" s="557"/>
      <c r="BN67" s="119"/>
      <c r="BO67" s="119"/>
      <c r="BP67" s="119"/>
      <c r="BQ67" s="119"/>
      <c r="BR67" s="119"/>
      <c r="BS67" s="119"/>
      <c r="BT67" s="119"/>
      <c r="BU67" s="119"/>
      <c r="BV67" s="119"/>
      <c r="BW67" s="119"/>
      <c r="BX67" s="119"/>
      <c r="BY67" s="119"/>
      <c r="BZ67" s="119"/>
      <c r="CA67" s="119"/>
      <c r="CB67" s="119"/>
      <c r="CC67" s="119"/>
      <c r="CD67" s="119"/>
      <c r="CE67" s="119"/>
      <c r="CF67" s="119"/>
      <c r="CG67" s="119"/>
      <c r="CH67" s="119"/>
      <c r="CI67" s="119"/>
      <c r="CJ67" s="119"/>
      <c r="CK67" s="119"/>
      <c r="CL67" s="119"/>
      <c r="CM67" s="119"/>
      <c r="CN67" s="119"/>
      <c r="CO67" s="119"/>
      <c r="CP67" s="119"/>
      <c r="CQ67" s="119"/>
      <c r="CR67" s="119"/>
      <c r="CS67" s="119"/>
      <c r="CT67" s="119"/>
      <c r="CU67" s="119"/>
      <c r="CV67" s="119"/>
      <c r="CW67" s="119"/>
      <c r="CX67" s="119"/>
      <c r="CY67" s="119"/>
      <c r="CZ67" s="119"/>
      <c r="DA67" s="119"/>
      <c r="DB67" s="119"/>
      <c r="DC67" s="119"/>
      <c r="DD67" s="119"/>
      <c r="DE67" s="119"/>
      <c r="DF67" s="119"/>
      <c r="DG67" s="119"/>
      <c r="DH67" s="119"/>
      <c r="DI67" s="119"/>
      <c r="DJ67" s="119"/>
      <c r="DK67" s="119"/>
      <c r="DL67" s="119"/>
      <c r="DM67" s="119"/>
      <c r="DN67" s="119"/>
      <c r="DO67" s="119"/>
      <c r="DP67" s="119"/>
      <c r="DQ67" s="119"/>
      <c r="DR67" s="119"/>
      <c r="DS67" s="119"/>
      <c r="DT67" s="119"/>
      <c r="DU67" s="119"/>
      <c r="DV67" s="119"/>
      <c r="DW67" s="119"/>
      <c r="DX67" s="119"/>
      <c r="DY67" s="119"/>
      <c r="DZ67" s="119"/>
      <c r="EA67" s="119"/>
      <c r="EB67" s="119"/>
      <c r="EC67" s="119"/>
      <c r="ED67" s="119"/>
      <c r="EE67" s="119"/>
      <c r="EF67" s="119"/>
      <c r="EG67" s="119"/>
      <c r="EH67" s="119"/>
      <c r="EI67" s="119"/>
      <c r="EJ67" s="119"/>
      <c r="EK67" s="119"/>
      <c r="EL67" s="119"/>
      <c r="EM67" s="119"/>
      <c r="EN67" s="119"/>
      <c r="EO67" s="119"/>
      <c r="EP67" s="119"/>
      <c r="EQ67" s="119"/>
      <c r="ER67" s="119"/>
      <c r="ES67" s="119"/>
      <c r="ET67" s="119"/>
      <c r="EU67" s="119"/>
      <c r="EV67" s="119"/>
      <c r="EW67" s="119"/>
      <c r="EX67" s="119"/>
      <c r="EY67" s="119"/>
      <c r="EZ67" s="119"/>
      <c r="FA67" s="119"/>
      <c r="FB67" s="119"/>
      <c r="FC67" s="119"/>
      <c r="FD67" s="119"/>
      <c r="FE67" s="119"/>
      <c r="FF67" s="119"/>
      <c r="FG67" s="119"/>
      <c r="FH67" s="119"/>
      <c r="FI67" s="119"/>
      <c r="FJ67" s="119"/>
      <c r="FK67" s="119"/>
      <c r="FL67" s="119"/>
      <c r="FM67" s="119"/>
      <c r="FN67" s="119"/>
      <c r="FO67" s="119"/>
      <c r="FP67" s="119"/>
      <c r="FQ67" s="119"/>
      <c r="FR67" s="119"/>
      <c r="FS67" s="119"/>
      <c r="FT67" s="119"/>
      <c r="FU67" s="119"/>
      <c r="FV67" s="119"/>
      <c r="FW67" s="119"/>
      <c r="FX67" s="119"/>
      <c r="FY67" s="119"/>
      <c r="FZ67" s="119"/>
      <c r="GA67" s="119"/>
      <c r="GB67" s="119"/>
      <c r="GC67" s="119"/>
      <c r="GD67" s="119"/>
      <c r="GE67" s="119"/>
      <c r="GF67" s="119"/>
      <c r="GG67" s="119"/>
      <c r="GH67" s="119"/>
      <c r="GI67" s="119"/>
      <c r="GJ67" s="119"/>
      <c r="GK67" s="119"/>
      <c r="GL67" s="119"/>
      <c r="GM67" s="119"/>
      <c r="GN67" s="119"/>
      <c r="GO67" s="119"/>
      <c r="GP67" s="119"/>
      <c r="GQ67" s="119"/>
      <c r="GR67" s="119"/>
      <c r="GS67" s="119"/>
      <c r="GT67" s="119"/>
      <c r="GU67" s="119"/>
      <c r="GV67" s="119"/>
      <c r="GW67" s="119"/>
      <c r="GX67" s="119"/>
      <c r="GY67" s="119"/>
      <c r="GZ67" s="119"/>
      <c r="HA67" s="119"/>
      <c r="HB67" s="119"/>
      <c r="HC67" s="119"/>
      <c r="HD67" s="119"/>
      <c r="HE67" s="119"/>
      <c r="HF67" s="119"/>
      <c r="HG67" s="119"/>
      <c r="HH67" s="119"/>
      <c r="HI67" s="119"/>
      <c r="HJ67" s="119"/>
      <c r="HK67" s="119"/>
      <c r="HL67" s="119"/>
      <c r="HM67" s="119"/>
      <c r="HN67" s="119"/>
      <c r="HO67" s="119"/>
      <c r="HP67" s="119"/>
      <c r="HQ67" s="119"/>
      <c r="HR67" s="119"/>
      <c r="HS67" s="119"/>
      <c r="HT67" s="119"/>
      <c r="HU67" s="119"/>
      <c r="HV67" s="119"/>
      <c r="HW67" s="119"/>
      <c r="HX67" s="119"/>
      <c r="HY67" s="119"/>
      <c r="HZ67" s="119"/>
      <c r="IA67" s="119"/>
      <c r="IB67" s="119"/>
      <c r="IC67" s="119"/>
      <c r="ID67" s="119"/>
      <c r="IE67" s="119"/>
      <c r="IF67" s="119"/>
      <c r="IG67" s="119"/>
      <c r="IH67" s="119"/>
      <c r="II67" s="119"/>
      <c r="IJ67" s="119"/>
      <c r="IK67" s="119"/>
      <c r="IL67" s="119"/>
      <c r="IM67" s="119"/>
      <c r="IN67" s="119"/>
      <c r="IO67" s="119"/>
      <c r="IP67" s="119"/>
      <c r="IQ67" s="119"/>
      <c r="IR67" s="119"/>
      <c r="IS67" s="119"/>
      <c r="IT67" s="119"/>
      <c r="IU67" s="119"/>
      <c r="IV67" s="119"/>
      <c r="IW67" s="119"/>
      <c r="IX67" s="119"/>
      <c r="IY67" s="119"/>
      <c r="IZ67" s="119"/>
      <c r="JA67" s="119"/>
      <c r="JB67" s="119"/>
      <c r="JC67" s="119"/>
      <c r="JD67" s="119"/>
      <c r="JE67" s="119"/>
      <c r="JF67" s="119"/>
      <c r="JG67" s="119"/>
      <c r="JH67" s="119"/>
      <c r="JI67" s="119"/>
      <c r="JJ67" s="119"/>
      <c r="JK67" s="119"/>
      <c r="JL67" s="119"/>
      <c r="JM67" s="119"/>
      <c r="JN67" s="119"/>
      <c r="JO67" s="119"/>
      <c r="JP67" s="119"/>
      <c r="JQ67" s="119"/>
      <c r="JR67" s="119"/>
      <c r="JS67" s="119"/>
      <c r="JT67" s="119"/>
      <c r="JU67" s="119"/>
      <c r="JV67" s="119"/>
      <c r="JW67" s="119"/>
      <c r="JX67" s="119"/>
      <c r="JY67" s="119"/>
      <c r="JZ67" s="119"/>
      <c r="KA67" s="119"/>
      <c r="KB67" s="119"/>
      <c r="KC67" s="119"/>
      <c r="KD67" s="119"/>
      <c r="KE67" s="119"/>
      <c r="KF67" s="119"/>
      <c r="KG67" s="119"/>
      <c r="KH67" s="119"/>
      <c r="KI67" s="119"/>
      <c r="KJ67" s="119"/>
      <c r="KK67" s="119"/>
      <c r="KL67" s="119"/>
      <c r="KM67" s="119"/>
      <c r="KN67" s="119"/>
      <c r="KO67" s="119"/>
      <c r="KP67" s="119"/>
      <c r="KQ67" s="119"/>
      <c r="KR67" s="119"/>
      <c r="KS67" s="119"/>
      <c r="KT67" s="119"/>
      <c r="KU67" s="119"/>
      <c r="KV67" s="119"/>
      <c r="KW67" s="119"/>
      <c r="KX67" s="119"/>
      <c r="KY67" s="119"/>
      <c r="KZ67" s="119"/>
      <c r="LA67" s="119"/>
      <c r="LB67" s="119"/>
      <c r="LC67" s="119"/>
      <c r="LD67" s="119"/>
      <c r="LE67" s="119"/>
      <c r="LF67" s="119"/>
      <c r="LG67" s="119"/>
      <c r="LH67" s="119"/>
      <c r="LI67" s="119"/>
      <c r="LJ67" s="119"/>
      <c r="LK67" s="119"/>
      <c r="LL67" s="119"/>
      <c r="LM67" s="119"/>
      <c r="LN67" s="119"/>
      <c r="LO67" s="119"/>
      <c r="LP67" s="119"/>
      <c r="LQ67" s="119"/>
      <c r="LR67" s="119"/>
      <c r="LS67" s="119"/>
      <c r="LT67" s="119"/>
      <c r="LU67" s="119"/>
      <c r="LV67" s="119"/>
      <c r="LW67" s="119"/>
      <c r="LX67" s="119"/>
      <c r="LY67" s="119"/>
      <c r="LZ67" s="119"/>
      <c r="MA67" s="119"/>
      <c r="MB67" s="119"/>
      <c r="MC67" s="119"/>
      <c r="MD67" s="119"/>
      <c r="ME67" s="119"/>
      <c r="MF67" s="119"/>
      <c r="MG67" s="119"/>
      <c r="MH67" s="119"/>
      <c r="MI67" s="119"/>
      <c r="MJ67" s="119"/>
      <c r="MK67" s="119"/>
      <c r="ML67" s="119"/>
      <c r="MM67" s="119"/>
      <c r="MN67" s="119"/>
      <c r="MO67" s="119"/>
      <c r="MP67" s="119"/>
      <c r="MQ67" s="119"/>
      <c r="MR67" s="119"/>
      <c r="MS67" s="119"/>
      <c r="MT67" s="119"/>
      <c r="MU67" s="119"/>
      <c r="MV67" s="119"/>
      <c r="MW67" s="119"/>
      <c r="MX67" s="119"/>
      <c r="MY67" s="119"/>
      <c r="MZ67" s="119"/>
      <c r="NA67" s="119"/>
      <c r="NB67" s="119"/>
      <c r="NC67" s="119"/>
      <c r="ND67" s="119"/>
      <c r="NE67" s="119"/>
      <c r="NF67" s="119"/>
      <c r="NG67" s="119"/>
      <c r="NH67" s="119"/>
      <c r="NI67" s="119"/>
      <c r="NJ67" s="119"/>
      <c r="NK67" s="119"/>
      <c r="NL67" s="119"/>
      <c r="NM67" s="119"/>
      <c r="NN67" s="119"/>
      <c r="NO67" s="119"/>
      <c r="NP67" s="119"/>
      <c r="NQ67" s="119"/>
      <c r="NR67" s="119"/>
      <c r="NS67" s="119"/>
      <c r="NT67" s="119"/>
      <c r="NU67" s="119"/>
      <c r="NV67" s="119"/>
      <c r="NW67" s="119"/>
      <c r="NX67" s="119"/>
      <c r="NY67" s="119"/>
      <c r="NZ67" s="119"/>
      <c r="OA67" s="119"/>
    </row>
    <row r="68" spans="1:391" ht="13.9" customHeight="1" x14ac:dyDescent="0.2">
      <c r="A68" s="500"/>
      <c r="B68" s="548" t="s">
        <v>358</v>
      </c>
      <c r="C68" s="187"/>
      <c r="D68" s="187"/>
      <c r="E68" s="187"/>
      <c r="F68" s="564">
        <f t="shared" ca="1" si="0"/>
        <v>-43388</v>
      </c>
      <c r="G68" s="556"/>
      <c r="H68" s="556"/>
      <c r="I68" s="556"/>
      <c r="J68" s="38" t="str">
        <f t="shared" ca="1" si="5"/>
        <v>OVERDUE</v>
      </c>
      <c r="K68" s="557"/>
      <c r="BN68" s="119"/>
      <c r="BO68" s="119"/>
      <c r="BP68" s="119"/>
      <c r="BQ68" s="119"/>
      <c r="BR68" s="119"/>
      <c r="BS68" s="119"/>
      <c r="BT68" s="119"/>
      <c r="BU68" s="119"/>
      <c r="BV68" s="119"/>
      <c r="BW68" s="119"/>
      <c r="BX68" s="119"/>
      <c r="BY68" s="119"/>
      <c r="BZ68" s="119"/>
      <c r="CA68" s="119"/>
      <c r="CB68" s="119"/>
      <c r="CC68" s="119"/>
      <c r="CD68" s="119"/>
      <c r="CE68" s="119"/>
      <c r="CF68" s="119"/>
      <c r="CG68" s="119"/>
      <c r="CH68" s="119"/>
      <c r="CI68" s="119"/>
      <c r="CJ68" s="119"/>
      <c r="CK68" s="119"/>
      <c r="CL68" s="119"/>
      <c r="CM68" s="119"/>
      <c r="CN68" s="119"/>
      <c r="CO68" s="119"/>
      <c r="CP68" s="119"/>
      <c r="CQ68" s="119"/>
      <c r="CR68" s="119"/>
      <c r="CS68" s="119"/>
      <c r="CT68" s="119"/>
      <c r="CU68" s="119"/>
      <c r="CV68" s="119"/>
      <c r="CW68" s="119"/>
      <c r="CX68" s="119"/>
      <c r="CY68" s="119"/>
      <c r="CZ68" s="119"/>
      <c r="DA68" s="119"/>
      <c r="DB68" s="119"/>
      <c r="DC68" s="119"/>
      <c r="DD68" s="119"/>
      <c r="DE68" s="119"/>
      <c r="DF68" s="119"/>
      <c r="DG68" s="119"/>
      <c r="DH68" s="119"/>
      <c r="DI68" s="119"/>
      <c r="DJ68" s="119"/>
      <c r="DK68" s="119"/>
      <c r="DL68" s="119"/>
      <c r="DM68" s="119"/>
      <c r="DN68" s="119"/>
      <c r="DO68" s="119"/>
      <c r="DP68" s="119"/>
      <c r="DQ68" s="119"/>
      <c r="DR68" s="119"/>
      <c r="DS68" s="119"/>
      <c r="DT68" s="119"/>
      <c r="DU68" s="119"/>
      <c r="DV68" s="119"/>
      <c r="DW68" s="119"/>
      <c r="DX68" s="119"/>
      <c r="DY68" s="119"/>
      <c r="DZ68" s="119"/>
      <c r="EA68" s="119"/>
      <c r="EB68" s="119"/>
      <c r="EC68" s="119"/>
      <c r="ED68" s="119"/>
      <c r="EE68" s="119"/>
      <c r="EF68" s="119"/>
      <c r="EG68" s="119"/>
      <c r="EH68" s="119"/>
      <c r="EI68" s="119"/>
      <c r="EJ68" s="119"/>
      <c r="EK68" s="119"/>
      <c r="EL68" s="119"/>
      <c r="EM68" s="119"/>
      <c r="EN68" s="119"/>
      <c r="EO68" s="119"/>
      <c r="EP68" s="119"/>
      <c r="EQ68" s="119"/>
      <c r="ER68" s="119"/>
      <c r="ES68" s="119"/>
      <c r="ET68" s="119"/>
      <c r="EU68" s="119"/>
      <c r="EV68" s="119"/>
      <c r="EW68" s="119"/>
      <c r="EX68" s="119"/>
      <c r="EY68" s="119"/>
      <c r="EZ68" s="119"/>
      <c r="FA68" s="119"/>
      <c r="FB68" s="119"/>
      <c r="FC68" s="119"/>
      <c r="FD68" s="119"/>
      <c r="FE68" s="119"/>
      <c r="FF68" s="119"/>
      <c r="FG68" s="119"/>
      <c r="FH68" s="119"/>
      <c r="FI68" s="119"/>
      <c r="FJ68" s="119"/>
      <c r="FK68" s="119"/>
      <c r="FL68" s="119"/>
      <c r="FM68" s="119"/>
      <c r="FN68" s="119"/>
      <c r="FO68" s="119"/>
      <c r="FP68" s="119"/>
      <c r="FQ68" s="119"/>
      <c r="FR68" s="119"/>
      <c r="FS68" s="119"/>
      <c r="FT68" s="119"/>
      <c r="FU68" s="119"/>
      <c r="FV68" s="119"/>
      <c r="FW68" s="119"/>
      <c r="FX68" s="119"/>
      <c r="FY68" s="119"/>
      <c r="FZ68" s="119"/>
      <c r="GA68" s="119"/>
      <c r="GB68" s="119"/>
      <c r="GC68" s="119"/>
      <c r="GD68" s="119"/>
      <c r="GE68" s="119"/>
      <c r="GF68" s="119"/>
      <c r="GG68" s="119"/>
      <c r="GH68" s="119"/>
      <c r="GI68" s="119"/>
      <c r="GJ68" s="119"/>
      <c r="GK68" s="119"/>
      <c r="GL68" s="119"/>
      <c r="GM68" s="119"/>
      <c r="GN68" s="119"/>
      <c r="GO68" s="119"/>
      <c r="GP68" s="119"/>
      <c r="GQ68" s="119"/>
      <c r="GR68" s="119"/>
      <c r="GS68" s="119"/>
      <c r="GT68" s="119"/>
      <c r="GU68" s="119"/>
      <c r="GV68" s="119"/>
      <c r="GW68" s="119"/>
      <c r="GX68" s="119"/>
      <c r="GY68" s="119"/>
      <c r="GZ68" s="119"/>
      <c r="HA68" s="119"/>
      <c r="HB68" s="119"/>
      <c r="HC68" s="119"/>
      <c r="HD68" s="119"/>
      <c r="HE68" s="119"/>
      <c r="HF68" s="119"/>
      <c r="HG68" s="119"/>
      <c r="HH68" s="119"/>
      <c r="HI68" s="119"/>
      <c r="HJ68" s="119"/>
      <c r="HK68" s="119"/>
      <c r="HL68" s="119"/>
      <c r="HM68" s="119"/>
      <c r="HN68" s="119"/>
      <c r="HO68" s="119"/>
      <c r="HP68" s="119"/>
      <c r="HQ68" s="119"/>
      <c r="HR68" s="119"/>
      <c r="HS68" s="119"/>
      <c r="HT68" s="119"/>
      <c r="HU68" s="119"/>
      <c r="HV68" s="119"/>
      <c r="HW68" s="119"/>
      <c r="HX68" s="119"/>
      <c r="HY68" s="119"/>
      <c r="HZ68" s="119"/>
      <c r="IA68" s="119"/>
      <c r="IB68" s="119"/>
      <c r="IC68" s="119"/>
      <c r="ID68" s="119"/>
      <c r="IE68" s="119"/>
      <c r="IF68" s="119"/>
      <c r="IG68" s="119"/>
      <c r="IH68" s="119"/>
      <c r="II68" s="119"/>
      <c r="IJ68" s="119"/>
      <c r="IK68" s="119"/>
      <c r="IL68" s="119"/>
      <c r="IM68" s="119"/>
      <c r="IN68" s="119"/>
      <c r="IO68" s="119"/>
      <c r="IP68" s="119"/>
      <c r="IQ68" s="119"/>
      <c r="IR68" s="119"/>
      <c r="IS68" s="119"/>
      <c r="IT68" s="119"/>
      <c r="IU68" s="119"/>
      <c r="IV68" s="119"/>
      <c r="IW68" s="119"/>
      <c r="IX68" s="119"/>
      <c r="IY68" s="119"/>
      <c r="IZ68" s="119"/>
      <c r="JA68" s="119"/>
      <c r="JB68" s="119"/>
      <c r="JC68" s="119"/>
      <c r="JD68" s="119"/>
      <c r="JE68" s="119"/>
      <c r="JF68" s="119"/>
      <c r="JG68" s="119"/>
      <c r="JH68" s="119"/>
      <c r="JI68" s="119"/>
      <c r="JJ68" s="119"/>
      <c r="JK68" s="119"/>
      <c r="JL68" s="119"/>
      <c r="JM68" s="119"/>
      <c r="JN68" s="119"/>
      <c r="JO68" s="119"/>
      <c r="JP68" s="119"/>
      <c r="JQ68" s="119"/>
      <c r="JR68" s="119"/>
      <c r="JS68" s="119"/>
      <c r="JT68" s="119"/>
      <c r="JU68" s="119"/>
      <c r="JV68" s="119"/>
      <c r="JW68" s="119"/>
      <c r="JX68" s="119"/>
      <c r="JY68" s="119"/>
      <c r="JZ68" s="119"/>
      <c r="KA68" s="119"/>
      <c r="KB68" s="119"/>
      <c r="KC68" s="119"/>
      <c r="KD68" s="119"/>
      <c r="KE68" s="119"/>
      <c r="KF68" s="119"/>
      <c r="KG68" s="119"/>
      <c r="KH68" s="119"/>
      <c r="KI68" s="119"/>
      <c r="KJ68" s="119"/>
      <c r="KK68" s="119"/>
      <c r="KL68" s="119"/>
      <c r="KM68" s="119"/>
      <c r="KN68" s="119"/>
      <c r="KO68" s="119"/>
      <c r="KP68" s="119"/>
      <c r="KQ68" s="119"/>
      <c r="KR68" s="119"/>
      <c r="KS68" s="119"/>
      <c r="KT68" s="119"/>
      <c r="KU68" s="119"/>
      <c r="KV68" s="119"/>
      <c r="KW68" s="119"/>
      <c r="KX68" s="119"/>
      <c r="KY68" s="119"/>
      <c r="KZ68" s="119"/>
      <c r="LA68" s="119"/>
      <c r="LB68" s="119"/>
      <c r="LC68" s="119"/>
      <c r="LD68" s="119"/>
      <c r="LE68" s="119"/>
      <c r="LF68" s="119"/>
      <c r="LG68" s="119"/>
      <c r="LH68" s="119"/>
      <c r="LI68" s="119"/>
      <c r="LJ68" s="119"/>
      <c r="LK68" s="119"/>
      <c r="LL68" s="119"/>
      <c r="LM68" s="119"/>
      <c r="LN68" s="119"/>
      <c r="LO68" s="119"/>
      <c r="LP68" s="119"/>
      <c r="LQ68" s="119"/>
      <c r="LR68" s="119"/>
      <c r="LS68" s="119"/>
      <c r="LT68" s="119"/>
      <c r="LU68" s="119"/>
      <c r="LV68" s="119"/>
      <c r="LW68" s="119"/>
      <c r="LX68" s="119"/>
      <c r="LY68" s="119"/>
      <c r="LZ68" s="119"/>
      <c r="MA68" s="119"/>
      <c r="MB68" s="119"/>
      <c r="MC68" s="119"/>
      <c r="MD68" s="119"/>
      <c r="ME68" s="119"/>
      <c r="MF68" s="119"/>
      <c r="MG68" s="119"/>
      <c r="MH68" s="119"/>
      <c r="MI68" s="119"/>
      <c r="MJ68" s="119"/>
      <c r="MK68" s="119"/>
      <c r="ML68" s="119"/>
      <c r="MM68" s="119"/>
      <c r="MN68" s="119"/>
      <c r="MO68" s="119"/>
      <c r="MP68" s="119"/>
      <c r="MQ68" s="119"/>
      <c r="MR68" s="119"/>
      <c r="MS68" s="119"/>
      <c r="MT68" s="119"/>
      <c r="MU68" s="119"/>
      <c r="MV68" s="119"/>
      <c r="MW68" s="119"/>
      <c r="MX68" s="119"/>
      <c r="MY68" s="119"/>
      <c r="MZ68" s="119"/>
      <c r="NA68" s="119"/>
      <c r="NB68" s="119"/>
      <c r="NC68" s="119"/>
      <c r="ND68" s="119"/>
      <c r="NE68" s="119"/>
      <c r="NF68" s="119"/>
      <c r="NG68" s="119"/>
      <c r="NH68" s="119"/>
      <c r="NI68" s="119"/>
      <c r="NJ68" s="119"/>
      <c r="NK68" s="119"/>
      <c r="NL68" s="119"/>
      <c r="NM68" s="119"/>
      <c r="NN68" s="119"/>
      <c r="NO68" s="119"/>
      <c r="NP68" s="119"/>
      <c r="NQ68" s="119"/>
      <c r="NR68" s="119"/>
      <c r="NS68" s="119"/>
      <c r="NT68" s="119"/>
      <c r="NU68" s="119"/>
      <c r="NV68" s="119"/>
      <c r="NW68" s="119"/>
      <c r="NX68" s="119"/>
      <c r="NY68" s="119"/>
      <c r="NZ68" s="119"/>
      <c r="OA68" s="119"/>
    </row>
    <row r="69" spans="1:391" x14ac:dyDescent="0.2">
      <c r="A69" s="500"/>
      <c r="B69" s="548" t="s">
        <v>359</v>
      </c>
      <c r="C69" s="187"/>
      <c r="D69" s="187"/>
      <c r="E69" s="187"/>
      <c r="F69" s="564">
        <f t="shared" ca="1" si="0"/>
        <v>-43388</v>
      </c>
      <c r="G69" s="556"/>
      <c r="H69" s="556"/>
      <c r="I69" s="556"/>
      <c r="J69" s="38" t="str">
        <f t="shared" ca="1" si="5"/>
        <v>OVERDUE</v>
      </c>
      <c r="K69" s="557"/>
      <c r="BN69" s="119"/>
      <c r="BO69" s="119"/>
      <c r="BP69" s="119"/>
      <c r="BQ69" s="119"/>
      <c r="BR69" s="119"/>
      <c r="BS69" s="119"/>
      <c r="BT69" s="119"/>
      <c r="BU69" s="119"/>
      <c r="BV69" s="119"/>
      <c r="BW69" s="119"/>
      <c r="BX69" s="119"/>
      <c r="BY69" s="119"/>
      <c r="BZ69" s="119"/>
      <c r="CA69" s="119"/>
      <c r="CB69" s="119"/>
      <c r="CC69" s="119"/>
      <c r="CD69" s="119"/>
      <c r="CE69" s="119"/>
      <c r="CF69" s="119"/>
      <c r="CG69" s="119"/>
      <c r="CH69" s="119"/>
      <c r="CI69" s="119"/>
      <c r="CJ69" s="119"/>
      <c r="CK69" s="119"/>
      <c r="CL69" s="119"/>
      <c r="CM69" s="119"/>
      <c r="CN69" s="119"/>
      <c r="CO69" s="119"/>
      <c r="CP69" s="119"/>
      <c r="CQ69" s="119"/>
      <c r="CR69" s="119"/>
      <c r="CS69" s="119"/>
      <c r="CT69" s="119"/>
      <c r="CU69" s="119"/>
      <c r="CV69" s="119"/>
      <c r="CW69" s="119"/>
      <c r="CX69" s="119"/>
      <c r="CY69" s="119"/>
      <c r="CZ69" s="119"/>
      <c r="DA69" s="119"/>
      <c r="DB69" s="119"/>
      <c r="DC69" s="119"/>
      <c r="DD69" s="119"/>
      <c r="DE69" s="119"/>
      <c r="DF69" s="119"/>
      <c r="DG69" s="119"/>
      <c r="DH69" s="119"/>
      <c r="DI69" s="119"/>
      <c r="DJ69" s="119"/>
      <c r="DK69" s="119"/>
      <c r="DL69" s="119"/>
      <c r="DM69" s="119"/>
      <c r="DN69" s="119"/>
      <c r="DO69" s="119"/>
      <c r="DP69" s="119"/>
      <c r="DQ69" s="119"/>
      <c r="DR69" s="119"/>
      <c r="DS69" s="119"/>
      <c r="DT69" s="119"/>
      <c r="DU69" s="119"/>
      <c r="DV69" s="119"/>
      <c r="DW69" s="119"/>
      <c r="DX69" s="119"/>
      <c r="DY69" s="119"/>
      <c r="DZ69" s="119"/>
      <c r="EA69" s="119"/>
      <c r="EB69" s="119"/>
      <c r="EC69" s="119"/>
      <c r="ED69" s="119"/>
      <c r="EE69" s="119"/>
      <c r="EF69" s="119"/>
      <c r="EG69" s="119"/>
      <c r="EH69" s="119"/>
      <c r="EI69" s="119"/>
      <c r="EJ69" s="119"/>
      <c r="EK69" s="119"/>
      <c r="EL69" s="119"/>
      <c r="EM69" s="119"/>
      <c r="EN69" s="119"/>
      <c r="EO69" s="119"/>
      <c r="EP69" s="119"/>
      <c r="EQ69" s="119"/>
      <c r="ER69" s="119"/>
      <c r="ES69" s="119"/>
      <c r="ET69" s="119"/>
      <c r="EU69" s="119"/>
      <c r="EV69" s="119"/>
      <c r="EW69" s="119"/>
      <c r="EX69" s="119"/>
      <c r="EY69" s="119"/>
      <c r="EZ69" s="119"/>
      <c r="FA69" s="119"/>
      <c r="FB69" s="119"/>
      <c r="FC69" s="119"/>
      <c r="FD69" s="119"/>
      <c r="FE69" s="119"/>
      <c r="FF69" s="119"/>
      <c r="FG69" s="119"/>
      <c r="FH69" s="119"/>
      <c r="FI69" s="119"/>
      <c r="FJ69" s="119"/>
      <c r="FK69" s="119"/>
      <c r="FL69" s="119"/>
      <c r="FM69" s="119"/>
      <c r="FN69" s="119"/>
      <c r="FO69" s="119"/>
      <c r="FP69" s="119"/>
      <c r="FQ69" s="119"/>
      <c r="FR69" s="119"/>
      <c r="FS69" s="119"/>
      <c r="FT69" s="119"/>
      <c r="FU69" s="119"/>
      <c r="FV69" s="119"/>
      <c r="FW69" s="119"/>
      <c r="FX69" s="119"/>
      <c r="FY69" s="119"/>
      <c r="FZ69" s="119"/>
      <c r="GA69" s="119"/>
      <c r="GB69" s="119"/>
      <c r="GC69" s="119"/>
      <c r="GD69" s="119"/>
      <c r="GE69" s="119"/>
      <c r="GF69" s="119"/>
      <c r="GG69" s="119"/>
      <c r="GH69" s="119"/>
      <c r="GI69" s="119"/>
      <c r="GJ69" s="119"/>
      <c r="GK69" s="119"/>
      <c r="GL69" s="119"/>
      <c r="GM69" s="119"/>
      <c r="GN69" s="119"/>
      <c r="GO69" s="119"/>
      <c r="GP69" s="119"/>
      <c r="GQ69" s="119"/>
      <c r="GR69" s="119"/>
      <c r="GS69" s="119"/>
      <c r="GT69" s="119"/>
      <c r="GU69" s="119"/>
      <c r="GV69" s="119"/>
      <c r="GW69" s="119"/>
      <c r="GX69" s="119"/>
      <c r="GY69" s="119"/>
      <c r="GZ69" s="119"/>
      <c r="HA69" s="119"/>
      <c r="HB69" s="119"/>
      <c r="HC69" s="119"/>
      <c r="HD69" s="119"/>
      <c r="HE69" s="119"/>
      <c r="HF69" s="119"/>
      <c r="HG69" s="119"/>
      <c r="HH69" s="119"/>
      <c r="HI69" s="119"/>
      <c r="HJ69" s="119"/>
      <c r="HK69" s="119"/>
      <c r="HL69" s="119"/>
      <c r="HM69" s="119"/>
      <c r="HN69" s="119"/>
      <c r="HO69" s="119"/>
      <c r="HP69" s="119"/>
      <c r="HQ69" s="119"/>
      <c r="HR69" s="119"/>
      <c r="HS69" s="119"/>
      <c r="HT69" s="119"/>
      <c r="HU69" s="119"/>
      <c r="HV69" s="119"/>
      <c r="HW69" s="119"/>
      <c r="HX69" s="119"/>
      <c r="HY69" s="119"/>
      <c r="HZ69" s="119"/>
      <c r="IA69" s="119"/>
      <c r="IB69" s="119"/>
      <c r="IC69" s="119"/>
      <c r="ID69" s="119"/>
      <c r="IE69" s="119"/>
      <c r="IF69" s="119"/>
      <c r="IG69" s="119"/>
      <c r="IH69" s="119"/>
      <c r="II69" s="119"/>
      <c r="IJ69" s="119"/>
      <c r="IK69" s="119"/>
      <c r="IL69" s="119"/>
      <c r="IM69" s="119"/>
      <c r="IN69" s="119"/>
      <c r="IO69" s="119"/>
      <c r="IP69" s="119"/>
      <c r="IQ69" s="119"/>
      <c r="IR69" s="119"/>
      <c r="IS69" s="119"/>
      <c r="IT69" s="119"/>
      <c r="IU69" s="119"/>
      <c r="IV69" s="119"/>
      <c r="IW69" s="119"/>
      <c r="IX69" s="119"/>
      <c r="IY69" s="119"/>
      <c r="IZ69" s="119"/>
      <c r="JA69" s="119"/>
      <c r="JB69" s="119"/>
      <c r="JC69" s="119"/>
      <c r="JD69" s="119"/>
      <c r="JE69" s="119"/>
      <c r="JF69" s="119"/>
      <c r="JG69" s="119"/>
      <c r="JH69" s="119"/>
      <c r="JI69" s="119"/>
      <c r="JJ69" s="119"/>
      <c r="JK69" s="119"/>
      <c r="JL69" s="119"/>
      <c r="JM69" s="119"/>
      <c r="JN69" s="119"/>
      <c r="JO69" s="119"/>
      <c r="JP69" s="119"/>
      <c r="JQ69" s="119"/>
      <c r="JR69" s="119"/>
      <c r="JS69" s="119"/>
      <c r="JT69" s="119"/>
      <c r="JU69" s="119"/>
      <c r="JV69" s="119"/>
      <c r="JW69" s="119"/>
      <c r="JX69" s="119"/>
      <c r="JY69" s="119"/>
      <c r="JZ69" s="119"/>
      <c r="KA69" s="119"/>
      <c r="KB69" s="119"/>
      <c r="KC69" s="119"/>
      <c r="KD69" s="119"/>
      <c r="KE69" s="119"/>
      <c r="KF69" s="119"/>
      <c r="KG69" s="119"/>
      <c r="KH69" s="119"/>
      <c r="KI69" s="119"/>
      <c r="KJ69" s="119"/>
      <c r="KK69" s="119"/>
      <c r="KL69" s="119"/>
      <c r="KM69" s="119"/>
      <c r="KN69" s="119"/>
      <c r="KO69" s="119"/>
      <c r="KP69" s="119"/>
      <c r="KQ69" s="119"/>
      <c r="KR69" s="119"/>
      <c r="KS69" s="119"/>
      <c r="KT69" s="119"/>
      <c r="KU69" s="119"/>
      <c r="KV69" s="119"/>
      <c r="KW69" s="119"/>
      <c r="KX69" s="119"/>
      <c r="KY69" s="119"/>
      <c r="KZ69" s="119"/>
      <c r="LA69" s="119"/>
      <c r="LB69" s="119"/>
      <c r="LC69" s="119"/>
      <c r="LD69" s="119"/>
      <c r="LE69" s="119"/>
      <c r="LF69" s="119"/>
      <c r="LG69" s="119"/>
      <c r="LH69" s="119"/>
      <c r="LI69" s="119"/>
      <c r="LJ69" s="119"/>
      <c r="LK69" s="119"/>
      <c r="LL69" s="119"/>
      <c r="LM69" s="119"/>
      <c r="LN69" s="119"/>
      <c r="LO69" s="119"/>
      <c r="LP69" s="119"/>
      <c r="LQ69" s="119"/>
      <c r="LR69" s="119"/>
      <c r="LS69" s="119"/>
      <c r="LT69" s="119"/>
      <c r="LU69" s="119"/>
      <c r="LV69" s="119"/>
      <c r="LW69" s="119"/>
      <c r="LX69" s="119"/>
      <c r="LY69" s="119"/>
      <c r="LZ69" s="119"/>
      <c r="MA69" s="119"/>
      <c r="MB69" s="119"/>
      <c r="MC69" s="119"/>
      <c r="MD69" s="119"/>
      <c r="ME69" s="119"/>
      <c r="MF69" s="119"/>
      <c r="MG69" s="119"/>
      <c r="MH69" s="119"/>
      <c r="MI69" s="119"/>
      <c r="MJ69" s="119"/>
      <c r="MK69" s="119"/>
      <c r="ML69" s="119"/>
      <c r="MM69" s="119"/>
      <c r="MN69" s="119"/>
      <c r="MO69" s="119"/>
      <c r="MP69" s="119"/>
      <c r="MQ69" s="119"/>
      <c r="MR69" s="119"/>
      <c r="MS69" s="119"/>
      <c r="MT69" s="119"/>
      <c r="MU69" s="119"/>
      <c r="MV69" s="119"/>
      <c r="MW69" s="119"/>
      <c r="MX69" s="119"/>
      <c r="MY69" s="119"/>
      <c r="MZ69" s="119"/>
      <c r="NA69" s="119"/>
      <c r="NB69" s="119"/>
      <c r="NC69" s="119"/>
      <c r="ND69" s="119"/>
      <c r="NE69" s="119"/>
      <c r="NF69" s="119"/>
      <c r="NG69" s="119"/>
      <c r="NH69" s="119"/>
      <c r="NI69" s="119"/>
      <c r="NJ69" s="119"/>
      <c r="NK69" s="119"/>
      <c r="NL69" s="119"/>
      <c r="NM69" s="119"/>
      <c r="NN69" s="119"/>
      <c r="NO69" s="119"/>
      <c r="NP69" s="119"/>
      <c r="NQ69" s="119"/>
      <c r="NR69" s="119"/>
      <c r="NS69" s="119"/>
      <c r="NT69" s="119"/>
      <c r="NU69" s="119"/>
      <c r="NV69" s="119"/>
      <c r="NW69" s="119"/>
      <c r="NX69" s="119"/>
      <c r="NY69" s="119"/>
      <c r="NZ69" s="119"/>
      <c r="OA69" s="119"/>
    </row>
    <row r="70" spans="1:391" x14ac:dyDescent="0.2">
      <c r="A70" s="500"/>
      <c r="B70" s="548" t="s">
        <v>360</v>
      </c>
      <c r="C70" s="187"/>
      <c r="D70" s="187"/>
      <c r="E70" s="187"/>
      <c r="F70" s="564">
        <f t="shared" ca="1" si="0"/>
        <v>-43388</v>
      </c>
      <c r="G70" s="556"/>
      <c r="H70" s="556"/>
      <c r="I70" s="556"/>
      <c r="J70" s="38" t="str">
        <f t="shared" ca="1" si="5"/>
        <v>OVERDUE</v>
      </c>
      <c r="K70" s="557"/>
      <c r="BN70" s="119"/>
      <c r="BO70" s="119"/>
      <c r="BP70" s="119"/>
      <c r="BQ70" s="119"/>
      <c r="BR70" s="119"/>
      <c r="BS70" s="119"/>
      <c r="BT70" s="119"/>
      <c r="BU70" s="119"/>
      <c r="BV70" s="119"/>
      <c r="BW70" s="119"/>
      <c r="BX70" s="119"/>
      <c r="BY70" s="119"/>
      <c r="BZ70" s="119"/>
      <c r="CA70" s="119"/>
      <c r="CB70" s="119"/>
      <c r="CC70" s="119"/>
      <c r="CD70" s="119"/>
      <c r="CE70" s="119"/>
      <c r="CF70" s="119"/>
      <c r="CG70" s="119"/>
      <c r="CH70" s="119"/>
      <c r="CI70" s="119"/>
      <c r="CJ70" s="119"/>
      <c r="CK70" s="119"/>
      <c r="CL70" s="119"/>
      <c r="CM70" s="119"/>
      <c r="CN70" s="119"/>
      <c r="CO70" s="119"/>
      <c r="CP70" s="119"/>
      <c r="CQ70" s="119"/>
      <c r="CR70" s="119"/>
      <c r="CS70" s="119"/>
      <c r="CT70" s="119"/>
      <c r="CU70" s="119"/>
      <c r="CV70" s="119"/>
      <c r="CW70" s="119"/>
      <c r="CX70" s="119"/>
      <c r="CY70" s="119"/>
      <c r="CZ70" s="119"/>
      <c r="DA70" s="119"/>
      <c r="DB70" s="119"/>
      <c r="DC70" s="119"/>
      <c r="DD70" s="119"/>
      <c r="DE70" s="119"/>
      <c r="DF70" s="119"/>
      <c r="DG70" s="119"/>
      <c r="DH70" s="119"/>
      <c r="DI70" s="119"/>
      <c r="DJ70" s="119"/>
      <c r="DK70" s="119"/>
      <c r="DL70" s="119"/>
      <c r="DM70" s="119"/>
      <c r="DN70" s="119"/>
      <c r="DO70" s="119"/>
      <c r="DP70" s="119"/>
      <c r="DQ70" s="119"/>
      <c r="DR70" s="119"/>
      <c r="DS70" s="119"/>
      <c r="DT70" s="119"/>
      <c r="DU70" s="119"/>
      <c r="DV70" s="119"/>
      <c r="DW70" s="119"/>
      <c r="DX70" s="119"/>
      <c r="DY70" s="119"/>
      <c r="DZ70" s="119"/>
      <c r="EA70" s="119"/>
      <c r="EB70" s="119"/>
      <c r="EC70" s="119"/>
      <c r="ED70" s="119"/>
      <c r="EE70" s="119"/>
      <c r="EF70" s="119"/>
      <c r="EG70" s="119"/>
      <c r="EH70" s="119"/>
      <c r="EI70" s="119"/>
      <c r="EJ70" s="119"/>
      <c r="EK70" s="119"/>
      <c r="EL70" s="119"/>
      <c r="EM70" s="119"/>
      <c r="EN70" s="119"/>
      <c r="EO70" s="119"/>
      <c r="EP70" s="119"/>
      <c r="EQ70" s="119"/>
      <c r="ER70" s="119"/>
      <c r="ES70" s="119"/>
      <c r="ET70" s="119"/>
      <c r="EU70" s="119"/>
      <c r="EV70" s="119"/>
      <c r="EW70" s="119"/>
      <c r="EX70" s="119"/>
      <c r="EY70" s="119"/>
      <c r="EZ70" s="119"/>
      <c r="FA70" s="119"/>
      <c r="FB70" s="119"/>
      <c r="FC70" s="119"/>
      <c r="FD70" s="119"/>
      <c r="FE70" s="119"/>
      <c r="FF70" s="119"/>
      <c r="FG70" s="119"/>
      <c r="FH70" s="119"/>
      <c r="FI70" s="119"/>
      <c r="FJ70" s="119"/>
      <c r="FK70" s="119"/>
      <c r="FL70" s="119"/>
      <c r="FM70" s="119"/>
      <c r="FN70" s="119"/>
      <c r="FO70" s="119"/>
      <c r="FP70" s="119"/>
      <c r="FQ70" s="119"/>
      <c r="FR70" s="119"/>
      <c r="FS70" s="119"/>
      <c r="FT70" s="119"/>
      <c r="FU70" s="119"/>
      <c r="FV70" s="119"/>
      <c r="FW70" s="119"/>
      <c r="FX70" s="119"/>
      <c r="FY70" s="119"/>
      <c r="FZ70" s="119"/>
      <c r="GA70" s="119"/>
      <c r="GB70" s="119"/>
      <c r="GC70" s="119"/>
      <c r="GD70" s="119"/>
      <c r="GE70" s="119"/>
      <c r="GF70" s="119"/>
      <c r="GG70" s="119"/>
      <c r="GH70" s="119"/>
      <c r="GI70" s="119"/>
      <c r="GJ70" s="119"/>
      <c r="GK70" s="119"/>
      <c r="GL70" s="119"/>
      <c r="GM70" s="119"/>
      <c r="GN70" s="119"/>
      <c r="GO70" s="119"/>
      <c r="GP70" s="119"/>
      <c r="GQ70" s="119"/>
      <c r="GR70" s="119"/>
      <c r="GS70" s="119"/>
      <c r="GT70" s="119"/>
      <c r="GU70" s="119"/>
      <c r="GV70" s="119"/>
      <c r="GW70" s="119"/>
      <c r="GX70" s="119"/>
      <c r="GY70" s="119"/>
      <c r="GZ70" s="119"/>
      <c r="HA70" s="119"/>
      <c r="HB70" s="119"/>
      <c r="HC70" s="119"/>
      <c r="HD70" s="119"/>
      <c r="HE70" s="119"/>
      <c r="HF70" s="119"/>
      <c r="HG70" s="119"/>
      <c r="HH70" s="119"/>
      <c r="HI70" s="119"/>
      <c r="HJ70" s="119"/>
      <c r="HK70" s="119"/>
      <c r="HL70" s="119"/>
      <c r="HM70" s="119"/>
      <c r="HN70" s="119"/>
      <c r="HO70" s="119"/>
      <c r="HP70" s="119"/>
      <c r="HQ70" s="119"/>
      <c r="HR70" s="119"/>
      <c r="HS70" s="119"/>
      <c r="HT70" s="119"/>
      <c r="HU70" s="119"/>
      <c r="HV70" s="119"/>
      <c r="HW70" s="119"/>
      <c r="HX70" s="119"/>
      <c r="HY70" s="119"/>
      <c r="HZ70" s="119"/>
      <c r="IA70" s="119"/>
      <c r="IB70" s="119"/>
      <c r="IC70" s="119"/>
      <c r="ID70" s="119"/>
      <c r="IE70" s="119"/>
      <c r="IF70" s="119"/>
      <c r="IG70" s="119"/>
      <c r="IH70" s="119"/>
      <c r="II70" s="119"/>
      <c r="IJ70" s="119"/>
      <c r="IK70" s="119"/>
      <c r="IL70" s="119"/>
      <c r="IM70" s="119"/>
      <c r="IN70" s="119"/>
      <c r="IO70" s="119"/>
      <c r="IP70" s="119"/>
      <c r="IQ70" s="119"/>
      <c r="IR70" s="119"/>
      <c r="IS70" s="119"/>
      <c r="IT70" s="119"/>
      <c r="IU70" s="119"/>
      <c r="IV70" s="119"/>
      <c r="IW70" s="119"/>
      <c r="IX70" s="119"/>
      <c r="IY70" s="119"/>
      <c r="IZ70" s="119"/>
      <c r="JA70" s="119"/>
      <c r="JB70" s="119"/>
      <c r="JC70" s="119"/>
      <c r="JD70" s="119"/>
      <c r="JE70" s="119"/>
      <c r="JF70" s="119"/>
      <c r="JG70" s="119"/>
      <c r="JH70" s="119"/>
      <c r="JI70" s="119"/>
      <c r="JJ70" s="119"/>
      <c r="JK70" s="119"/>
      <c r="JL70" s="119"/>
      <c r="JM70" s="119"/>
      <c r="JN70" s="119"/>
      <c r="JO70" s="119"/>
      <c r="JP70" s="119"/>
      <c r="JQ70" s="119"/>
      <c r="JR70" s="119"/>
      <c r="JS70" s="119"/>
      <c r="JT70" s="119"/>
      <c r="JU70" s="119"/>
      <c r="JV70" s="119"/>
      <c r="JW70" s="119"/>
      <c r="JX70" s="119"/>
      <c r="JY70" s="119"/>
      <c r="JZ70" s="119"/>
      <c r="KA70" s="119"/>
      <c r="KB70" s="119"/>
      <c r="KC70" s="119"/>
      <c r="KD70" s="119"/>
      <c r="KE70" s="119"/>
      <c r="KF70" s="119"/>
      <c r="KG70" s="119"/>
      <c r="KH70" s="119"/>
      <c r="KI70" s="119"/>
      <c r="KJ70" s="119"/>
      <c r="KK70" s="119"/>
      <c r="KL70" s="119"/>
      <c r="KM70" s="119"/>
      <c r="KN70" s="119"/>
      <c r="KO70" s="119"/>
      <c r="KP70" s="119"/>
      <c r="KQ70" s="119"/>
      <c r="KR70" s="119"/>
      <c r="KS70" s="119"/>
      <c r="KT70" s="119"/>
      <c r="KU70" s="119"/>
      <c r="KV70" s="119"/>
      <c r="KW70" s="119"/>
      <c r="KX70" s="119"/>
      <c r="KY70" s="119"/>
      <c r="KZ70" s="119"/>
      <c r="LA70" s="119"/>
      <c r="LB70" s="119"/>
      <c r="LC70" s="119"/>
      <c r="LD70" s="119"/>
      <c r="LE70" s="119"/>
      <c r="LF70" s="119"/>
      <c r="LG70" s="119"/>
      <c r="LH70" s="119"/>
      <c r="LI70" s="119"/>
      <c r="LJ70" s="119"/>
      <c r="LK70" s="119"/>
      <c r="LL70" s="119"/>
      <c r="LM70" s="119"/>
      <c r="LN70" s="119"/>
      <c r="LO70" s="119"/>
      <c r="LP70" s="119"/>
      <c r="LQ70" s="119"/>
      <c r="LR70" s="119"/>
      <c r="LS70" s="119"/>
      <c r="LT70" s="119"/>
      <c r="LU70" s="119"/>
      <c r="LV70" s="119"/>
      <c r="LW70" s="119"/>
      <c r="LX70" s="119"/>
      <c r="LY70" s="119"/>
      <c r="LZ70" s="119"/>
      <c r="MA70" s="119"/>
      <c r="MB70" s="119"/>
      <c r="MC70" s="119"/>
      <c r="MD70" s="119"/>
      <c r="ME70" s="119"/>
      <c r="MF70" s="119"/>
      <c r="MG70" s="119"/>
      <c r="MH70" s="119"/>
      <c r="MI70" s="119"/>
      <c r="MJ70" s="119"/>
      <c r="MK70" s="119"/>
      <c r="ML70" s="119"/>
      <c r="MM70" s="119"/>
      <c r="MN70" s="119"/>
      <c r="MO70" s="119"/>
      <c r="MP70" s="119"/>
      <c r="MQ70" s="119"/>
      <c r="MR70" s="119"/>
      <c r="MS70" s="119"/>
      <c r="MT70" s="119"/>
      <c r="MU70" s="119"/>
      <c r="MV70" s="119"/>
      <c r="MW70" s="119"/>
      <c r="MX70" s="119"/>
      <c r="MY70" s="119"/>
      <c r="MZ70" s="119"/>
      <c r="NA70" s="119"/>
      <c r="NB70" s="119"/>
      <c r="NC70" s="119"/>
      <c r="ND70" s="119"/>
      <c r="NE70" s="119"/>
      <c r="NF70" s="119"/>
      <c r="NG70" s="119"/>
      <c r="NH70" s="119"/>
      <c r="NI70" s="119"/>
      <c r="NJ70" s="119"/>
      <c r="NK70" s="119"/>
      <c r="NL70" s="119"/>
      <c r="NM70" s="119"/>
      <c r="NN70" s="119"/>
      <c r="NO70" s="119"/>
      <c r="NP70" s="119"/>
      <c r="NQ70" s="119"/>
      <c r="NR70" s="119"/>
      <c r="NS70" s="119"/>
      <c r="NT70" s="119"/>
      <c r="NU70" s="119"/>
      <c r="NV70" s="119"/>
      <c r="NW70" s="119"/>
      <c r="NX70" s="119"/>
      <c r="NY70" s="119"/>
      <c r="NZ70" s="119"/>
      <c r="OA70" s="119"/>
    </row>
    <row r="71" spans="1:391" x14ac:dyDescent="0.2">
      <c r="A71" s="500"/>
      <c r="B71" s="548" t="s">
        <v>361</v>
      </c>
      <c r="C71" s="187"/>
      <c r="D71" s="187"/>
      <c r="E71" s="187"/>
      <c r="F71" s="564">
        <f t="shared" ca="1" si="0"/>
        <v>-43388</v>
      </c>
      <c r="G71" s="556"/>
      <c r="H71" s="556"/>
      <c r="I71" s="556"/>
      <c r="J71" s="38" t="str">
        <f t="shared" ca="1" si="5"/>
        <v>OVERDUE</v>
      </c>
      <c r="K71" s="557"/>
      <c r="BN71" s="119"/>
      <c r="BO71" s="119"/>
      <c r="BP71" s="119"/>
      <c r="BQ71" s="119"/>
      <c r="BR71" s="119"/>
      <c r="BS71" s="119"/>
      <c r="BT71" s="119"/>
      <c r="BU71" s="119"/>
      <c r="BV71" s="119"/>
      <c r="BW71" s="119"/>
      <c r="BX71" s="119"/>
      <c r="BY71" s="119"/>
      <c r="BZ71" s="119"/>
      <c r="CA71" s="119"/>
      <c r="CB71" s="119"/>
      <c r="CC71" s="119"/>
      <c r="CD71" s="119"/>
      <c r="CE71" s="119"/>
      <c r="CF71" s="119"/>
      <c r="CG71" s="119"/>
      <c r="CH71" s="119"/>
      <c r="CI71" s="119"/>
      <c r="CJ71" s="119"/>
      <c r="CK71" s="119"/>
      <c r="CL71" s="119"/>
      <c r="CM71" s="119"/>
      <c r="CN71" s="119"/>
      <c r="CO71" s="119"/>
      <c r="CP71" s="119"/>
      <c r="CQ71" s="119"/>
      <c r="CR71" s="119"/>
      <c r="CS71" s="119"/>
      <c r="CT71" s="119"/>
      <c r="CU71" s="119"/>
      <c r="CV71" s="119"/>
      <c r="CW71" s="119"/>
      <c r="CX71" s="119"/>
      <c r="CY71" s="119"/>
      <c r="CZ71" s="119"/>
      <c r="DA71" s="119"/>
      <c r="DB71" s="119"/>
      <c r="DC71" s="119"/>
      <c r="DD71" s="119"/>
      <c r="DE71" s="119"/>
      <c r="DF71" s="119"/>
      <c r="DG71" s="119"/>
      <c r="DH71" s="119"/>
      <c r="DI71" s="119"/>
      <c r="DJ71" s="119"/>
      <c r="DK71" s="119"/>
      <c r="DL71" s="119"/>
      <c r="DM71" s="119"/>
      <c r="DN71" s="119"/>
      <c r="DO71" s="119"/>
      <c r="DP71" s="119"/>
      <c r="DQ71" s="119"/>
      <c r="DR71" s="119"/>
      <c r="DS71" s="119"/>
      <c r="DT71" s="119"/>
      <c r="DU71" s="119"/>
      <c r="DV71" s="119"/>
      <c r="DW71" s="119"/>
      <c r="DX71" s="119"/>
      <c r="DY71" s="119"/>
      <c r="DZ71" s="119"/>
      <c r="EA71" s="119"/>
      <c r="EB71" s="119"/>
      <c r="EC71" s="119"/>
      <c r="ED71" s="119"/>
      <c r="EE71" s="119"/>
      <c r="EF71" s="119"/>
      <c r="EG71" s="119"/>
      <c r="EH71" s="119"/>
      <c r="EI71" s="119"/>
      <c r="EJ71" s="119"/>
      <c r="EK71" s="119"/>
      <c r="EL71" s="119"/>
      <c r="EM71" s="119"/>
      <c r="EN71" s="119"/>
      <c r="EO71" s="119"/>
      <c r="EP71" s="119"/>
      <c r="EQ71" s="119"/>
      <c r="ER71" s="119"/>
      <c r="ES71" s="119"/>
      <c r="ET71" s="119"/>
      <c r="EU71" s="119"/>
      <c r="EV71" s="119"/>
      <c r="EW71" s="119"/>
      <c r="EX71" s="119"/>
      <c r="EY71" s="119"/>
      <c r="EZ71" s="119"/>
      <c r="FA71" s="119"/>
      <c r="FB71" s="119"/>
      <c r="FC71" s="119"/>
      <c r="FD71" s="119"/>
      <c r="FE71" s="119"/>
      <c r="FF71" s="119"/>
      <c r="FG71" s="119"/>
      <c r="FH71" s="119"/>
      <c r="FI71" s="119"/>
      <c r="FJ71" s="119"/>
      <c r="FK71" s="119"/>
      <c r="FL71" s="119"/>
      <c r="FM71" s="119"/>
      <c r="FN71" s="119"/>
      <c r="FO71" s="119"/>
      <c r="FP71" s="119"/>
      <c r="FQ71" s="119"/>
      <c r="FR71" s="119"/>
      <c r="FS71" s="119"/>
      <c r="FT71" s="119"/>
      <c r="FU71" s="119"/>
      <c r="FV71" s="119"/>
      <c r="FW71" s="119"/>
      <c r="FX71" s="119"/>
      <c r="FY71" s="119"/>
      <c r="FZ71" s="119"/>
      <c r="GA71" s="119"/>
      <c r="GB71" s="119"/>
      <c r="GC71" s="119"/>
      <c r="GD71" s="119"/>
      <c r="GE71" s="119"/>
      <c r="GF71" s="119"/>
      <c r="GG71" s="119"/>
      <c r="GH71" s="119"/>
      <c r="GI71" s="119"/>
      <c r="GJ71" s="119"/>
      <c r="GK71" s="119"/>
      <c r="GL71" s="119"/>
      <c r="GM71" s="119"/>
      <c r="GN71" s="119"/>
      <c r="GO71" s="119"/>
      <c r="GP71" s="119"/>
      <c r="GQ71" s="119"/>
      <c r="GR71" s="119"/>
      <c r="GS71" s="119"/>
      <c r="GT71" s="119"/>
      <c r="GU71" s="119"/>
      <c r="GV71" s="119"/>
      <c r="GW71" s="119"/>
      <c r="GX71" s="119"/>
      <c r="GY71" s="119"/>
      <c r="GZ71" s="119"/>
      <c r="HA71" s="119"/>
      <c r="HB71" s="119"/>
      <c r="HC71" s="119"/>
      <c r="HD71" s="119"/>
      <c r="HE71" s="119"/>
      <c r="HF71" s="119"/>
      <c r="HG71" s="119"/>
      <c r="HH71" s="119"/>
      <c r="HI71" s="119"/>
      <c r="HJ71" s="119"/>
      <c r="HK71" s="119"/>
      <c r="HL71" s="119"/>
      <c r="HM71" s="119"/>
      <c r="HN71" s="119"/>
      <c r="HO71" s="119"/>
      <c r="HP71" s="119"/>
      <c r="HQ71" s="119"/>
      <c r="HR71" s="119"/>
      <c r="HS71" s="119"/>
      <c r="HT71" s="119"/>
      <c r="HU71" s="119"/>
      <c r="HV71" s="119"/>
      <c r="HW71" s="119"/>
      <c r="HX71" s="119"/>
      <c r="HY71" s="119"/>
      <c r="HZ71" s="119"/>
      <c r="IA71" s="119"/>
      <c r="IB71" s="119"/>
      <c r="IC71" s="119"/>
      <c r="ID71" s="119"/>
      <c r="IE71" s="119"/>
      <c r="IF71" s="119"/>
      <c r="IG71" s="119"/>
      <c r="IH71" s="119"/>
      <c r="II71" s="119"/>
      <c r="IJ71" s="119"/>
      <c r="IK71" s="119"/>
      <c r="IL71" s="119"/>
      <c r="IM71" s="119"/>
      <c r="IN71" s="119"/>
      <c r="IO71" s="119"/>
      <c r="IP71" s="119"/>
      <c r="IQ71" s="119"/>
      <c r="IR71" s="119"/>
      <c r="IS71" s="119"/>
      <c r="IT71" s="119"/>
      <c r="IU71" s="119"/>
      <c r="IV71" s="119"/>
      <c r="IW71" s="119"/>
      <c r="IX71" s="119"/>
      <c r="IY71" s="119"/>
      <c r="IZ71" s="119"/>
      <c r="JA71" s="119"/>
      <c r="JB71" s="119"/>
      <c r="JC71" s="119"/>
      <c r="JD71" s="119"/>
      <c r="JE71" s="119"/>
      <c r="JF71" s="119"/>
      <c r="JG71" s="119"/>
      <c r="JH71" s="119"/>
      <c r="JI71" s="119"/>
      <c r="JJ71" s="119"/>
      <c r="JK71" s="119"/>
      <c r="JL71" s="119"/>
      <c r="JM71" s="119"/>
      <c r="JN71" s="119"/>
      <c r="JO71" s="119"/>
      <c r="JP71" s="119"/>
      <c r="JQ71" s="119"/>
      <c r="JR71" s="119"/>
      <c r="JS71" s="119"/>
      <c r="JT71" s="119"/>
      <c r="JU71" s="119"/>
      <c r="JV71" s="119"/>
      <c r="JW71" s="119"/>
      <c r="JX71" s="119"/>
      <c r="JY71" s="119"/>
      <c r="JZ71" s="119"/>
      <c r="KA71" s="119"/>
      <c r="KB71" s="119"/>
      <c r="KC71" s="119"/>
      <c r="KD71" s="119"/>
      <c r="KE71" s="119"/>
      <c r="KF71" s="119"/>
      <c r="KG71" s="119"/>
      <c r="KH71" s="119"/>
      <c r="KI71" s="119"/>
      <c r="KJ71" s="119"/>
      <c r="KK71" s="119"/>
      <c r="KL71" s="119"/>
      <c r="KM71" s="119"/>
      <c r="KN71" s="119"/>
      <c r="KO71" s="119"/>
      <c r="KP71" s="119"/>
      <c r="KQ71" s="119"/>
      <c r="KR71" s="119"/>
      <c r="KS71" s="119"/>
      <c r="KT71" s="119"/>
      <c r="KU71" s="119"/>
      <c r="KV71" s="119"/>
      <c r="KW71" s="119"/>
      <c r="KX71" s="119"/>
      <c r="KY71" s="119"/>
      <c r="KZ71" s="119"/>
      <c r="LA71" s="119"/>
      <c r="LB71" s="119"/>
      <c r="LC71" s="119"/>
      <c r="LD71" s="119"/>
      <c r="LE71" s="119"/>
      <c r="LF71" s="119"/>
      <c r="LG71" s="119"/>
      <c r="LH71" s="119"/>
      <c r="LI71" s="119"/>
      <c r="LJ71" s="119"/>
      <c r="LK71" s="119"/>
      <c r="LL71" s="119"/>
      <c r="LM71" s="119"/>
      <c r="LN71" s="119"/>
      <c r="LO71" s="119"/>
      <c r="LP71" s="119"/>
      <c r="LQ71" s="119"/>
      <c r="LR71" s="119"/>
      <c r="LS71" s="119"/>
      <c r="LT71" s="119"/>
      <c r="LU71" s="119"/>
      <c r="LV71" s="119"/>
      <c r="LW71" s="119"/>
      <c r="LX71" s="119"/>
      <c r="LY71" s="119"/>
      <c r="LZ71" s="119"/>
      <c r="MA71" s="119"/>
      <c r="MB71" s="119"/>
      <c r="MC71" s="119"/>
      <c r="MD71" s="119"/>
      <c r="ME71" s="119"/>
      <c r="MF71" s="119"/>
      <c r="MG71" s="119"/>
      <c r="MH71" s="119"/>
      <c r="MI71" s="119"/>
      <c r="MJ71" s="119"/>
      <c r="MK71" s="119"/>
      <c r="ML71" s="119"/>
      <c r="MM71" s="119"/>
      <c r="MN71" s="119"/>
      <c r="MO71" s="119"/>
      <c r="MP71" s="119"/>
      <c r="MQ71" s="119"/>
      <c r="MR71" s="119"/>
      <c r="MS71" s="119"/>
      <c r="MT71" s="119"/>
      <c r="MU71" s="119"/>
      <c r="MV71" s="119"/>
      <c r="MW71" s="119"/>
      <c r="MX71" s="119"/>
      <c r="MY71" s="119"/>
      <c r="MZ71" s="119"/>
      <c r="NA71" s="119"/>
      <c r="NB71" s="119"/>
      <c r="NC71" s="119"/>
      <c r="ND71" s="119"/>
      <c r="NE71" s="119"/>
      <c r="NF71" s="119"/>
      <c r="NG71" s="119"/>
      <c r="NH71" s="119"/>
      <c r="NI71" s="119"/>
      <c r="NJ71" s="119"/>
      <c r="NK71" s="119"/>
      <c r="NL71" s="119"/>
      <c r="NM71" s="119"/>
      <c r="NN71" s="119"/>
      <c r="NO71" s="119"/>
      <c r="NP71" s="119"/>
      <c r="NQ71" s="119"/>
      <c r="NR71" s="119"/>
      <c r="NS71" s="119"/>
      <c r="NT71" s="119"/>
      <c r="NU71" s="119"/>
      <c r="NV71" s="119"/>
      <c r="NW71" s="119"/>
      <c r="NX71" s="119"/>
      <c r="NY71" s="119"/>
      <c r="NZ71" s="119"/>
      <c r="OA71" s="119"/>
    </row>
    <row r="72" spans="1:391" x14ac:dyDescent="0.2">
      <c r="A72" s="500"/>
      <c r="B72" s="548" t="s">
        <v>362</v>
      </c>
      <c r="C72" s="187"/>
      <c r="D72" s="187"/>
      <c r="E72" s="187"/>
      <c r="F72" s="564">
        <f t="shared" ca="1" si="0"/>
        <v>-43388</v>
      </c>
      <c r="G72" s="556"/>
      <c r="H72" s="556"/>
      <c r="I72" s="556"/>
      <c r="J72" s="38" t="str">
        <f t="shared" ca="1" si="5"/>
        <v>OVERDUE</v>
      </c>
      <c r="K72" s="557"/>
      <c r="BN72" s="119"/>
      <c r="BO72" s="119"/>
      <c r="BP72" s="119"/>
      <c r="BQ72" s="119"/>
      <c r="BR72" s="119"/>
      <c r="BS72" s="119"/>
      <c r="BT72" s="119"/>
      <c r="BU72" s="119"/>
      <c r="BV72" s="119"/>
      <c r="BW72" s="119"/>
      <c r="BX72" s="119"/>
      <c r="BY72" s="119"/>
      <c r="BZ72" s="119"/>
      <c r="CA72" s="119"/>
      <c r="CB72" s="119"/>
      <c r="CC72" s="119"/>
      <c r="CD72" s="119"/>
      <c r="CE72" s="119"/>
      <c r="CF72" s="119"/>
      <c r="CG72" s="119"/>
      <c r="CH72" s="119"/>
      <c r="CI72" s="119"/>
      <c r="CJ72" s="119"/>
      <c r="CK72" s="119"/>
      <c r="CL72" s="119"/>
      <c r="CM72" s="119"/>
      <c r="CN72" s="119"/>
      <c r="CO72" s="119"/>
      <c r="CP72" s="119"/>
      <c r="CQ72" s="119"/>
      <c r="CR72" s="119"/>
      <c r="CS72" s="119"/>
      <c r="CT72" s="119"/>
      <c r="CU72" s="119"/>
      <c r="CV72" s="119"/>
      <c r="CW72" s="119"/>
      <c r="CX72" s="119"/>
      <c r="CY72" s="119"/>
      <c r="CZ72" s="119"/>
      <c r="DA72" s="119"/>
      <c r="DB72" s="119"/>
      <c r="DC72" s="119"/>
      <c r="DD72" s="119"/>
      <c r="DE72" s="119"/>
      <c r="DF72" s="119"/>
      <c r="DG72" s="119"/>
      <c r="DH72" s="119"/>
      <c r="DI72" s="119"/>
      <c r="DJ72" s="119"/>
      <c r="DK72" s="119"/>
      <c r="DL72" s="119"/>
      <c r="DM72" s="119"/>
      <c r="DN72" s="119"/>
      <c r="DO72" s="119"/>
      <c r="DP72" s="119"/>
      <c r="DQ72" s="119"/>
      <c r="DR72" s="119"/>
      <c r="DS72" s="119"/>
      <c r="DT72" s="119"/>
      <c r="DU72" s="119"/>
      <c r="DV72" s="119"/>
      <c r="DW72" s="119"/>
      <c r="DX72" s="119"/>
      <c r="DY72" s="119"/>
      <c r="DZ72" s="119"/>
      <c r="EA72" s="119"/>
      <c r="EB72" s="119"/>
      <c r="EC72" s="119"/>
      <c r="ED72" s="119"/>
      <c r="EE72" s="119"/>
      <c r="EF72" s="119"/>
      <c r="EG72" s="119"/>
      <c r="EH72" s="119"/>
      <c r="EI72" s="119"/>
      <c r="EJ72" s="119"/>
      <c r="EK72" s="119"/>
      <c r="EL72" s="119"/>
      <c r="EM72" s="119"/>
      <c r="EN72" s="119"/>
      <c r="EO72" s="119"/>
      <c r="EP72" s="119"/>
      <c r="EQ72" s="119"/>
      <c r="ER72" s="119"/>
      <c r="ES72" s="119"/>
      <c r="ET72" s="119"/>
      <c r="EU72" s="119"/>
      <c r="EV72" s="119"/>
      <c r="EW72" s="119"/>
      <c r="EX72" s="119"/>
      <c r="EY72" s="119"/>
      <c r="EZ72" s="119"/>
      <c r="FA72" s="119"/>
      <c r="FB72" s="119"/>
      <c r="FC72" s="119"/>
      <c r="FD72" s="119"/>
      <c r="FE72" s="119"/>
      <c r="FF72" s="119"/>
      <c r="FG72" s="119"/>
      <c r="FH72" s="119"/>
      <c r="FI72" s="119"/>
      <c r="FJ72" s="119"/>
      <c r="FK72" s="119"/>
      <c r="FL72" s="119"/>
      <c r="FM72" s="119"/>
      <c r="FN72" s="119"/>
      <c r="FO72" s="119"/>
      <c r="FP72" s="119"/>
      <c r="FQ72" s="119"/>
      <c r="FR72" s="119"/>
      <c r="FS72" s="119"/>
      <c r="FT72" s="119"/>
      <c r="FU72" s="119"/>
      <c r="FV72" s="119"/>
      <c r="FW72" s="119"/>
      <c r="FX72" s="119"/>
      <c r="FY72" s="119"/>
      <c r="FZ72" s="119"/>
      <c r="GA72" s="119"/>
      <c r="GB72" s="119"/>
      <c r="GC72" s="119"/>
      <c r="GD72" s="119"/>
      <c r="GE72" s="119"/>
      <c r="GF72" s="119"/>
      <c r="GG72" s="119"/>
      <c r="GH72" s="119"/>
      <c r="GI72" s="119"/>
      <c r="GJ72" s="119"/>
      <c r="GK72" s="119"/>
      <c r="GL72" s="119"/>
      <c r="GM72" s="119"/>
      <c r="GN72" s="119"/>
      <c r="GO72" s="119"/>
      <c r="GP72" s="119"/>
      <c r="GQ72" s="119"/>
      <c r="GR72" s="119"/>
      <c r="GS72" s="119"/>
      <c r="GT72" s="119"/>
      <c r="GU72" s="119"/>
      <c r="GV72" s="119"/>
      <c r="GW72" s="119"/>
      <c r="GX72" s="119"/>
      <c r="GY72" s="119"/>
      <c r="GZ72" s="119"/>
      <c r="HA72" s="119"/>
      <c r="HB72" s="119"/>
      <c r="HC72" s="119"/>
      <c r="HD72" s="119"/>
      <c r="HE72" s="119"/>
      <c r="HF72" s="119"/>
      <c r="HG72" s="119"/>
      <c r="HH72" s="119"/>
      <c r="HI72" s="119"/>
      <c r="HJ72" s="119"/>
      <c r="HK72" s="119"/>
      <c r="HL72" s="119"/>
      <c r="HM72" s="119"/>
      <c r="HN72" s="119"/>
      <c r="HO72" s="119"/>
      <c r="HP72" s="119"/>
      <c r="HQ72" s="119"/>
      <c r="HR72" s="119"/>
      <c r="HS72" s="119"/>
      <c r="HT72" s="119"/>
      <c r="HU72" s="119"/>
      <c r="HV72" s="119"/>
      <c r="HW72" s="119"/>
      <c r="HX72" s="119"/>
      <c r="HY72" s="119"/>
      <c r="HZ72" s="119"/>
      <c r="IA72" s="119"/>
      <c r="IB72" s="119"/>
      <c r="IC72" s="119"/>
      <c r="ID72" s="119"/>
      <c r="IE72" s="119"/>
      <c r="IF72" s="119"/>
      <c r="IG72" s="119"/>
      <c r="IH72" s="119"/>
      <c r="II72" s="119"/>
      <c r="IJ72" s="119"/>
      <c r="IK72" s="119"/>
      <c r="IL72" s="119"/>
      <c r="IM72" s="119"/>
      <c r="IN72" s="119"/>
      <c r="IO72" s="119"/>
      <c r="IP72" s="119"/>
      <c r="IQ72" s="119"/>
      <c r="IR72" s="119"/>
      <c r="IS72" s="119"/>
      <c r="IT72" s="119"/>
      <c r="IU72" s="119"/>
      <c r="IV72" s="119"/>
      <c r="IW72" s="119"/>
      <c r="IX72" s="119"/>
      <c r="IY72" s="119"/>
      <c r="IZ72" s="119"/>
      <c r="JA72" s="119"/>
      <c r="JB72" s="119"/>
      <c r="JC72" s="119"/>
      <c r="JD72" s="119"/>
      <c r="JE72" s="119"/>
      <c r="JF72" s="119"/>
      <c r="JG72" s="119"/>
      <c r="JH72" s="119"/>
      <c r="JI72" s="119"/>
      <c r="JJ72" s="119"/>
      <c r="JK72" s="119"/>
      <c r="JL72" s="119"/>
      <c r="JM72" s="119"/>
      <c r="JN72" s="119"/>
      <c r="JO72" s="119"/>
      <c r="JP72" s="119"/>
      <c r="JQ72" s="119"/>
      <c r="JR72" s="119"/>
      <c r="JS72" s="119"/>
      <c r="JT72" s="119"/>
      <c r="JU72" s="119"/>
      <c r="JV72" s="119"/>
      <c r="JW72" s="119"/>
      <c r="JX72" s="119"/>
      <c r="JY72" s="119"/>
      <c r="JZ72" s="119"/>
      <c r="KA72" s="119"/>
      <c r="KB72" s="119"/>
      <c r="KC72" s="119"/>
      <c r="KD72" s="119"/>
      <c r="KE72" s="119"/>
      <c r="KF72" s="119"/>
      <c r="KG72" s="119"/>
      <c r="KH72" s="119"/>
      <c r="KI72" s="119"/>
      <c r="KJ72" s="119"/>
      <c r="KK72" s="119"/>
      <c r="KL72" s="119"/>
      <c r="KM72" s="119"/>
      <c r="KN72" s="119"/>
      <c r="KO72" s="119"/>
      <c r="KP72" s="119"/>
      <c r="KQ72" s="119"/>
      <c r="KR72" s="119"/>
      <c r="KS72" s="119"/>
      <c r="KT72" s="119"/>
      <c r="KU72" s="119"/>
      <c r="KV72" s="119"/>
      <c r="KW72" s="119"/>
      <c r="KX72" s="119"/>
      <c r="KY72" s="119"/>
      <c r="KZ72" s="119"/>
      <c r="LA72" s="119"/>
      <c r="LB72" s="119"/>
      <c r="LC72" s="119"/>
      <c r="LD72" s="119"/>
      <c r="LE72" s="119"/>
      <c r="LF72" s="119"/>
      <c r="LG72" s="119"/>
      <c r="LH72" s="119"/>
      <c r="LI72" s="119"/>
      <c r="LJ72" s="119"/>
      <c r="LK72" s="119"/>
      <c r="LL72" s="119"/>
      <c r="LM72" s="119"/>
      <c r="LN72" s="119"/>
      <c r="LO72" s="119"/>
      <c r="LP72" s="119"/>
      <c r="LQ72" s="119"/>
      <c r="LR72" s="119"/>
      <c r="LS72" s="119"/>
      <c r="LT72" s="119"/>
      <c r="LU72" s="119"/>
      <c r="LV72" s="119"/>
      <c r="LW72" s="119"/>
      <c r="LX72" s="119"/>
      <c r="LY72" s="119"/>
      <c r="LZ72" s="119"/>
      <c r="MA72" s="119"/>
      <c r="MB72" s="119"/>
      <c r="MC72" s="119"/>
      <c r="MD72" s="119"/>
      <c r="ME72" s="119"/>
      <c r="MF72" s="119"/>
      <c r="MG72" s="119"/>
      <c r="MH72" s="119"/>
      <c r="MI72" s="119"/>
      <c r="MJ72" s="119"/>
      <c r="MK72" s="119"/>
      <c r="ML72" s="119"/>
      <c r="MM72" s="119"/>
      <c r="MN72" s="119"/>
      <c r="MO72" s="119"/>
      <c r="MP72" s="119"/>
      <c r="MQ72" s="119"/>
      <c r="MR72" s="119"/>
      <c r="MS72" s="119"/>
      <c r="MT72" s="119"/>
      <c r="MU72" s="119"/>
      <c r="MV72" s="119"/>
      <c r="MW72" s="119"/>
      <c r="MX72" s="119"/>
      <c r="MY72" s="119"/>
      <c r="MZ72" s="119"/>
      <c r="NA72" s="119"/>
      <c r="NB72" s="119"/>
      <c r="NC72" s="119"/>
      <c r="ND72" s="119"/>
      <c r="NE72" s="119"/>
      <c r="NF72" s="119"/>
      <c r="NG72" s="119"/>
      <c r="NH72" s="119"/>
      <c r="NI72" s="119"/>
      <c r="NJ72" s="119"/>
      <c r="NK72" s="119"/>
      <c r="NL72" s="119"/>
      <c r="NM72" s="119"/>
      <c r="NN72" s="119"/>
      <c r="NO72" s="119"/>
      <c r="NP72" s="119"/>
      <c r="NQ72" s="119"/>
      <c r="NR72" s="119"/>
      <c r="NS72" s="119"/>
      <c r="NT72" s="119"/>
      <c r="NU72" s="119"/>
      <c r="NV72" s="119"/>
      <c r="NW72" s="119"/>
      <c r="NX72" s="119"/>
      <c r="NY72" s="119"/>
      <c r="NZ72" s="119"/>
      <c r="OA72" s="119"/>
    </row>
    <row r="73" spans="1:391" ht="12.75" customHeight="1" x14ac:dyDescent="0.2">
      <c r="A73" s="500"/>
      <c r="B73" s="548" t="s">
        <v>363</v>
      </c>
      <c r="C73" s="187"/>
      <c r="D73" s="187"/>
      <c r="E73" s="185"/>
      <c r="F73" s="564">
        <f t="shared" ref="F73:F109" ca="1" si="6">IF(ISBLANK(G73),IF(ISERROR(DAYS360(TODAY(),E73))," ",(DAYS360(TODAY(),E73))),E73-G73)</f>
        <v>-43388</v>
      </c>
      <c r="G73" s="556"/>
      <c r="H73" s="556"/>
      <c r="I73" s="556"/>
      <c r="J73" s="38" t="str">
        <f t="shared" ca="1" si="5"/>
        <v>OVERDUE</v>
      </c>
      <c r="K73" s="557"/>
      <c r="BN73" s="119"/>
      <c r="BO73" s="119"/>
      <c r="BP73" s="119"/>
      <c r="BQ73" s="119"/>
      <c r="BR73" s="119"/>
      <c r="BS73" s="119"/>
      <c r="BT73" s="119"/>
      <c r="BU73" s="119"/>
      <c r="BV73" s="119"/>
      <c r="BW73" s="119"/>
      <c r="BX73" s="119"/>
      <c r="BY73" s="119"/>
      <c r="BZ73" s="119"/>
      <c r="CA73" s="119"/>
      <c r="CB73" s="119"/>
      <c r="CC73" s="119"/>
      <c r="CD73" s="119"/>
      <c r="CE73" s="119"/>
      <c r="CF73" s="119"/>
      <c r="CG73" s="119"/>
      <c r="CH73" s="119"/>
      <c r="CI73" s="119"/>
      <c r="CJ73" s="119"/>
      <c r="CK73" s="119"/>
      <c r="CL73" s="119"/>
      <c r="CM73" s="119"/>
      <c r="CN73" s="119"/>
      <c r="CO73" s="119"/>
      <c r="CP73" s="119"/>
      <c r="CQ73" s="119"/>
      <c r="CR73" s="119"/>
      <c r="CS73" s="119"/>
      <c r="CT73" s="119"/>
      <c r="CU73" s="119"/>
      <c r="CV73" s="119"/>
      <c r="CW73" s="119"/>
      <c r="CX73" s="119"/>
      <c r="CY73" s="119"/>
      <c r="CZ73" s="119"/>
      <c r="DA73" s="119"/>
      <c r="DB73" s="119"/>
      <c r="DC73" s="119"/>
      <c r="DD73" s="119"/>
      <c r="DE73" s="119"/>
      <c r="DF73" s="119"/>
      <c r="DG73" s="119"/>
      <c r="DH73" s="119"/>
      <c r="DI73" s="119"/>
      <c r="DJ73" s="119"/>
      <c r="DK73" s="119"/>
      <c r="DL73" s="119"/>
      <c r="DM73" s="119"/>
      <c r="DN73" s="119"/>
      <c r="DO73" s="119"/>
      <c r="DP73" s="119"/>
      <c r="DQ73" s="119"/>
      <c r="DR73" s="119"/>
      <c r="DS73" s="119"/>
      <c r="DT73" s="119"/>
      <c r="DU73" s="119"/>
      <c r="DV73" s="119"/>
      <c r="DW73" s="119"/>
      <c r="DX73" s="119"/>
      <c r="DY73" s="119"/>
      <c r="DZ73" s="119"/>
      <c r="EA73" s="119"/>
      <c r="EB73" s="119"/>
      <c r="EC73" s="119"/>
      <c r="ED73" s="119"/>
      <c r="EE73" s="119"/>
      <c r="EF73" s="119"/>
      <c r="EG73" s="119"/>
      <c r="EH73" s="119"/>
      <c r="EI73" s="119"/>
      <c r="EJ73" s="119"/>
      <c r="EK73" s="119"/>
      <c r="EL73" s="119"/>
      <c r="EM73" s="119"/>
      <c r="EN73" s="119"/>
      <c r="EO73" s="119"/>
      <c r="EP73" s="119"/>
      <c r="EQ73" s="119"/>
      <c r="ER73" s="119"/>
      <c r="ES73" s="119"/>
      <c r="ET73" s="119"/>
      <c r="EU73" s="119"/>
      <c r="EV73" s="119"/>
      <c r="EW73" s="119"/>
      <c r="EX73" s="119"/>
      <c r="EY73" s="119"/>
      <c r="EZ73" s="119"/>
      <c r="FA73" s="119"/>
      <c r="FB73" s="119"/>
      <c r="FC73" s="119"/>
      <c r="FD73" s="119"/>
      <c r="FE73" s="119"/>
      <c r="FF73" s="119"/>
      <c r="FG73" s="119"/>
      <c r="FH73" s="119"/>
      <c r="FI73" s="119"/>
      <c r="FJ73" s="119"/>
      <c r="FK73" s="119"/>
      <c r="FL73" s="119"/>
      <c r="FM73" s="119"/>
      <c r="FN73" s="119"/>
      <c r="FO73" s="119"/>
      <c r="FP73" s="119"/>
      <c r="FQ73" s="119"/>
      <c r="FR73" s="119"/>
      <c r="FS73" s="119"/>
      <c r="FT73" s="119"/>
      <c r="FU73" s="119"/>
      <c r="FV73" s="119"/>
      <c r="FW73" s="119"/>
      <c r="FX73" s="119"/>
      <c r="FY73" s="119"/>
      <c r="FZ73" s="119"/>
      <c r="GA73" s="119"/>
      <c r="GB73" s="119"/>
      <c r="GC73" s="119"/>
      <c r="GD73" s="119"/>
      <c r="GE73" s="119"/>
      <c r="GF73" s="119"/>
      <c r="GG73" s="119"/>
      <c r="GH73" s="119"/>
      <c r="GI73" s="119"/>
      <c r="GJ73" s="119"/>
      <c r="GK73" s="119"/>
      <c r="GL73" s="119"/>
      <c r="GM73" s="119"/>
      <c r="GN73" s="119"/>
      <c r="GO73" s="119"/>
      <c r="GP73" s="119"/>
      <c r="GQ73" s="119"/>
      <c r="GR73" s="119"/>
      <c r="GS73" s="119"/>
      <c r="GT73" s="119"/>
      <c r="GU73" s="119"/>
      <c r="GV73" s="119"/>
      <c r="GW73" s="119"/>
      <c r="GX73" s="119"/>
      <c r="GY73" s="119"/>
      <c r="GZ73" s="119"/>
      <c r="HA73" s="119"/>
      <c r="HB73" s="119"/>
      <c r="HC73" s="119"/>
      <c r="HD73" s="119"/>
      <c r="HE73" s="119"/>
      <c r="HF73" s="119"/>
      <c r="HG73" s="119"/>
      <c r="HH73" s="119"/>
      <c r="HI73" s="119"/>
      <c r="HJ73" s="119"/>
      <c r="HK73" s="119"/>
      <c r="HL73" s="119"/>
      <c r="HM73" s="119"/>
      <c r="HN73" s="119"/>
      <c r="HO73" s="119"/>
      <c r="HP73" s="119"/>
      <c r="HQ73" s="119"/>
      <c r="HR73" s="119"/>
      <c r="HS73" s="119"/>
      <c r="HT73" s="119"/>
      <c r="HU73" s="119"/>
      <c r="HV73" s="119"/>
      <c r="HW73" s="119"/>
      <c r="HX73" s="119"/>
      <c r="HY73" s="119"/>
      <c r="HZ73" s="119"/>
      <c r="IA73" s="119"/>
      <c r="IB73" s="119"/>
      <c r="IC73" s="119"/>
      <c r="ID73" s="119"/>
      <c r="IE73" s="119"/>
      <c r="IF73" s="119"/>
      <c r="IG73" s="119"/>
      <c r="IH73" s="119"/>
      <c r="II73" s="119"/>
      <c r="IJ73" s="119"/>
      <c r="IK73" s="119"/>
      <c r="IL73" s="119"/>
      <c r="IM73" s="119"/>
      <c r="IN73" s="119"/>
      <c r="IO73" s="119"/>
      <c r="IP73" s="119"/>
      <c r="IQ73" s="119"/>
      <c r="IR73" s="119"/>
      <c r="IS73" s="119"/>
      <c r="IT73" s="119"/>
      <c r="IU73" s="119"/>
      <c r="IV73" s="119"/>
      <c r="IW73" s="119"/>
      <c r="IX73" s="119"/>
      <c r="IY73" s="119"/>
      <c r="IZ73" s="119"/>
      <c r="JA73" s="119"/>
      <c r="JB73" s="119"/>
      <c r="JC73" s="119"/>
      <c r="JD73" s="119"/>
      <c r="JE73" s="119"/>
      <c r="JF73" s="119"/>
      <c r="JG73" s="119"/>
      <c r="JH73" s="119"/>
      <c r="JI73" s="119"/>
      <c r="JJ73" s="119"/>
      <c r="JK73" s="119"/>
      <c r="JL73" s="119"/>
      <c r="JM73" s="119"/>
      <c r="JN73" s="119"/>
      <c r="JO73" s="119"/>
      <c r="JP73" s="119"/>
      <c r="JQ73" s="119"/>
      <c r="JR73" s="119"/>
      <c r="JS73" s="119"/>
      <c r="JT73" s="119"/>
      <c r="JU73" s="119"/>
      <c r="JV73" s="119"/>
      <c r="JW73" s="119"/>
      <c r="JX73" s="119"/>
      <c r="JY73" s="119"/>
      <c r="JZ73" s="119"/>
      <c r="KA73" s="119"/>
      <c r="KB73" s="119"/>
      <c r="KC73" s="119"/>
      <c r="KD73" s="119"/>
      <c r="KE73" s="119"/>
      <c r="KF73" s="119"/>
      <c r="KG73" s="119"/>
      <c r="KH73" s="119"/>
      <c r="KI73" s="119"/>
      <c r="KJ73" s="119"/>
      <c r="KK73" s="119"/>
      <c r="KL73" s="119"/>
      <c r="KM73" s="119"/>
      <c r="KN73" s="119"/>
      <c r="KO73" s="119"/>
      <c r="KP73" s="119"/>
      <c r="KQ73" s="119"/>
      <c r="KR73" s="119"/>
      <c r="KS73" s="119"/>
      <c r="KT73" s="119"/>
      <c r="KU73" s="119"/>
      <c r="KV73" s="119"/>
      <c r="KW73" s="119"/>
      <c r="KX73" s="119"/>
      <c r="KY73" s="119"/>
      <c r="KZ73" s="119"/>
      <c r="LA73" s="119"/>
      <c r="LB73" s="119"/>
      <c r="LC73" s="119"/>
      <c r="LD73" s="119"/>
      <c r="LE73" s="119"/>
      <c r="LF73" s="119"/>
      <c r="LG73" s="119"/>
      <c r="LH73" s="119"/>
      <c r="LI73" s="119"/>
      <c r="LJ73" s="119"/>
      <c r="LK73" s="119"/>
      <c r="LL73" s="119"/>
      <c r="LM73" s="119"/>
      <c r="LN73" s="119"/>
      <c r="LO73" s="119"/>
      <c r="LP73" s="119"/>
      <c r="LQ73" s="119"/>
      <c r="LR73" s="119"/>
      <c r="LS73" s="119"/>
      <c r="LT73" s="119"/>
      <c r="LU73" s="119"/>
      <c r="LV73" s="119"/>
      <c r="LW73" s="119"/>
      <c r="LX73" s="119"/>
      <c r="LY73" s="119"/>
      <c r="LZ73" s="119"/>
      <c r="MA73" s="119"/>
      <c r="MB73" s="119"/>
      <c r="MC73" s="119"/>
      <c r="MD73" s="119"/>
      <c r="ME73" s="119"/>
      <c r="MF73" s="119"/>
      <c r="MG73" s="119"/>
      <c r="MH73" s="119"/>
      <c r="MI73" s="119"/>
      <c r="MJ73" s="119"/>
      <c r="MK73" s="119"/>
      <c r="ML73" s="119"/>
      <c r="MM73" s="119"/>
      <c r="MN73" s="119"/>
      <c r="MO73" s="119"/>
      <c r="MP73" s="119"/>
      <c r="MQ73" s="119"/>
      <c r="MR73" s="119"/>
      <c r="MS73" s="119"/>
      <c r="MT73" s="119"/>
      <c r="MU73" s="119"/>
      <c r="MV73" s="119"/>
      <c r="MW73" s="119"/>
      <c r="MX73" s="119"/>
      <c r="MY73" s="119"/>
      <c r="MZ73" s="119"/>
      <c r="NA73" s="119"/>
      <c r="NB73" s="119"/>
      <c r="NC73" s="119"/>
      <c r="ND73" s="119"/>
      <c r="NE73" s="119"/>
      <c r="NF73" s="119"/>
      <c r="NG73" s="119"/>
      <c r="NH73" s="119"/>
      <c r="NI73" s="119"/>
      <c r="NJ73" s="119"/>
      <c r="NK73" s="119"/>
      <c r="NL73" s="119"/>
      <c r="NM73" s="119"/>
      <c r="NN73" s="119"/>
      <c r="NO73" s="119"/>
      <c r="NP73" s="119"/>
      <c r="NQ73" s="119"/>
      <c r="NR73" s="119"/>
      <c r="NS73" s="119"/>
      <c r="NT73" s="119"/>
      <c r="NU73" s="119"/>
      <c r="NV73" s="119"/>
      <c r="NW73" s="119"/>
      <c r="NX73" s="119"/>
      <c r="NY73" s="119"/>
      <c r="NZ73" s="119"/>
      <c r="OA73" s="119"/>
    </row>
    <row r="74" spans="1:391" ht="15" x14ac:dyDescent="0.25">
      <c r="A74" s="500"/>
      <c r="B74" s="550" t="s">
        <v>364</v>
      </c>
      <c r="C74" s="187"/>
      <c r="D74" s="551"/>
      <c r="E74" s="551"/>
      <c r="F74" s="564">
        <f t="shared" ca="1" si="6"/>
        <v>-43388</v>
      </c>
      <c r="G74" s="556"/>
      <c r="H74" s="556"/>
      <c r="I74" s="556"/>
      <c r="J74" s="38" t="str">
        <f ca="1">IF(AND(J75="completed",J76="completed",J77="completed"),"Deliverable Completed","DELIVERABLE STILL IN PROGRESS")</f>
        <v>DELIVERABLE STILL IN PROGRESS</v>
      </c>
      <c r="K74" s="557"/>
      <c r="BN74" s="119"/>
      <c r="BO74" s="119"/>
      <c r="BP74" s="119"/>
      <c r="BQ74" s="119"/>
      <c r="BR74" s="119"/>
      <c r="BS74" s="119"/>
      <c r="BT74" s="119"/>
      <c r="BU74" s="119"/>
      <c r="BV74" s="119"/>
      <c r="BW74" s="119"/>
      <c r="BX74" s="119"/>
      <c r="BY74" s="119"/>
      <c r="BZ74" s="119"/>
      <c r="CA74" s="119"/>
      <c r="CB74" s="119"/>
      <c r="CC74" s="119"/>
      <c r="CD74" s="119"/>
      <c r="CE74" s="119"/>
      <c r="CF74" s="119"/>
      <c r="CG74" s="119"/>
      <c r="CH74" s="119"/>
      <c r="CI74" s="119"/>
      <c r="CJ74" s="119"/>
      <c r="CK74" s="119"/>
      <c r="CL74" s="119"/>
      <c r="CM74" s="119"/>
      <c r="CN74" s="119"/>
      <c r="CO74" s="119"/>
      <c r="CP74" s="119"/>
      <c r="CQ74" s="119"/>
      <c r="CR74" s="119"/>
      <c r="CS74" s="119"/>
      <c r="CT74" s="119"/>
      <c r="CU74" s="119"/>
      <c r="CV74" s="119"/>
      <c r="CW74" s="119"/>
      <c r="CX74" s="119"/>
      <c r="CY74" s="119"/>
      <c r="CZ74" s="119"/>
      <c r="DA74" s="119"/>
      <c r="DB74" s="119"/>
      <c r="DC74" s="119"/>
      <c r="DD74" s="119"/>
      <c r="DE74" s="119"/>
      <c r="DF74" s="119"/>
      <c r="DG74" s="119"/>
      <c r="DH74" s="119"/>
      <c r="DI74" s="119"/>
      <c r="DJ74" s="119"/>
      <c r="DK74" s="119"/>
      <c r="DL74" s="119"/>
      <c r="DM74" s="119"/>
      <c r="DN74" s="119"/>
      <c r="DO74" s="119"/>
      <c r="DP74" s="119"/>
      <c r="DQ74" s="119"/>
      <c r="DR74" s="119"/>
      <c r="DS74" s="119"/>
      <c r="DT74" s="119"/>
      <c r="DU74" s="119"/>
      <c r="DV74" s="119"/>
      <c r="DW74" s="119"/>
      <c r="DX74" s="119"/>
      <c r="DY74" s="119"/>
      <c r="DZ74" s="119"/>
      <c r="EA74" s="119"/>
      <c r="EB74" s="119"/>
      <c r="EC74" s="119"/>
      <c r="ED74" s="119"/>
      <c r="EE74" s="119"/>
      <c r="EF74" s="119"/>
      <c r="EG74" s="119"/>
      <c r="EH74" s="119"/>
      <c r="EI74" s="119"/>
      <c r="EJ74" s="119"/>
      <c r="EK74" s="119"/>
      <c r="EL74" s="119"/>
      <c r="EM74" s="119"/>
      <c r="EN74" s="119"/>
      <c r="EO74" s="119"/>
      <c r="EP74" s="119"/>
      <c r="EQ74" s="119"/>
      <c r="ER74" s="119"/>
      <c r="ES74" s="119"/>
      <c r="ET74" s="119"/>
      <c r="EU74" s="119"/>
      <c r="EV74" s="119"/>
      <c r="EW74" s="119"/>
      <c r="EX74" s="119"/>
      <c r="EY74" s="119"/>
      <c r="EZ74" s="119"/>
      <c r="FA74" s="119"/>
      <c r="FB74" s="119"/>
      <c r="FC74" s="119"/>
      <c r="FD74" s="119"/>
      <c r="FE74" s="119"/>
      <c r="FF74" s="119"/>
      <c r="FG74" s="119"/>
      <c r="FH74" s="119"/>
      <c r="FI74" s="119"/>
      <c r="FJ74" s="119"/>
      <c r="FK74" s="119"/>
      <c r="FL74" s="119"/>
      <c r="FM74" s="119"/>
      <c r="FN74" s="119"/>
      <c r="FO74" s="119"/>
      <c r="FP74" s="119"/>
      <c r="FQ74" s="119"/>
      <c r="FR74" s="119"/>
      <c r="FS74" s="119"/>
      <c r="FT74" s="119"/>
      <c r="FU74" s="119"/>
      <c r="FV74" s="119"/>
      <c r="FW74" s="119"/>
      <c r="FX74" s="119"/>
      <c r="FY74" s="119"/>
      <c r="FZ74" s="119"/>
      <c r="GA74" s="119"/>
      <c r="GB74" s="119"/>
      <c r="GC74" s="119"/>
      <c r="GD74" s="119"/>
      <c r="GE74" s="119"/>
      <c r="GF74" s="119"/>
      <c r="GG74" s="119"/>
      <c r="GH74" s="119"/>
      <c r="GI74" s="119"/>
      <c r="GJ74" s="119"/>
      <c r="GK74" s="119"/>
      <c r="GL74" s="119"/>
      <c r="GM74" s="119"/>
      <c r="GN74" s="119"/>
      <c r="GO74" s="119"/>
      <c r="GP74" s="119"/>
      <c r="GQ74" s="119"/>
      <c r="GR74" s="119"/>
      <c r="GS74" s="119"/>
      <c r="GT74" s="119"/>
      <c r="GU74" s="119"/>
      <c r="GV74" s="119"/>
      <c r="GW74" s="119"/>
      <c r="GX74" s="119"/>
      <c r="GY74" s="119"/>
      <c r="GZ74" s="119"/>
      <c r="HA74" s="119"/>
      <c r="HB74" s="119"/>
      <c r="HC74" s="119"/>
      <c r="HD74" s="119"/>
      <c r="HE74" s="119"/>
      <c r="HF74" s="119"/>
      <c r="HG74" s="119"/>
      <c r="HH74" s="119"/>
      <c r="HI74" s="119"/>
      <c r="HJ74" s="119"/>
      <c r="HK74" s="119"/>
      <c r="HL74" s="119"/>
      <c r="HM74" s="119"/>
      <c r="HN74" s="119"/>
      <c r="HO74" s="119"/>
      <c r="HP74" s="119"/>
      <c r="HQ74" s="119"/>
      <c r="HR74" s="119"/>
      <c r="HS74" s="119"/>
      <c r="HT74" s="119"/>
      <c r="HU74" s="119"/>
      <c r="HV74" s="119"/>
      <c r="HW74" s="119"/>
      <c r="HX74" s="119"/>
      <c r="HY74" s="119"/>
      <c r="HZ74" s="119"/>
      <c r="IA74" s="119"/>
      <c r="IB74" s="119"/>
      <c r="IC74" s="119"/>
      <c r="ID74" s="119"/>
      <c r="IE74" s="119"/>
      <c r="IF74" s="119"/>
      <c r="IG74" s="119"/>
      <c r="IH74" s="119"/>
      <c r="II74" s="119"/>
      <c r="IJ74" s="119"/>
      <c r="IK74" s="119"/>
      <c r="IL74" s="119"/>
      <c r="IM74" s="119"/>
      <c r="IN74" s="119"/>
      <c r="IO74" s="119"/>
      <c r="IP74" s="119"/>
      <c r="IQ74" s="119"/>
      <c r="IR74" s="119"/>
      <c r="IS74" s="119"/>
      <c r="IT74" s="119"/>
      <c r="IU74" s="119"/>
      <c r="IV74" s="119"/>
      <c r="IW74" s="119"/>
      <c r="IX74" s="119"/>
      <c r="IY74" s="119"/>
      <c r="IZ74" s="119"/>
      <c r="JA74" s="119"/>
      <c r="JB74" s="119"/>
      <c r="JC74" s="119"/>
      <c r="JD74" s="119"/>
      <c r="JE74" s="119"/>
      <c r="JF74" s="119"/>
      <c r="JG74" s="119"/>
      <c r="JH74" s="119"/>
      <c r="JI74" s="119"/>
      <c r="JJ74" s="119"/>
      <c r="JK74" s="119"/>
      <c r="JL74" s="119"/>
      <c r="JM74" s="119"/>
      <c r="JN74" s="119"/>
      <c r="JO74" s="119"/>
      <c r="JP74" s="119"/>
      <c r="JQ74" s="119"/>
      <c r="JR74" s="119"/>
      <c r="JS74" s="119"/>
      <c r="JT74" s="119"/>
      <c r="JU74" s="119"/>
      <c r="JV74" s="119"/>
      <c r="JW74" s="119"/>
      <c r="JX74" s="119"/>
      <c r="JY74" s="119"/>
      <c r="JZ74" s="119"/>
      <c r="KA74" s="119"/>
      <c r="KB74" s="119"/>
      <c r="KC74" s="119"/>
      <c r="KD74" s="119"/>
      <c r="KE74" s="119"/>
      <c r="KF74" s="119"/>
      <c r="KG74" s="119"/>
      <c r="KH74" s="119"/>
      <c r="KI74" s="119"/>
      <c r="KJ74" s="119"/>
      <c r="KK74" s="119"/>
      <c r="KL74" s="119"/>
      <c r="KM74" s="119"/>
      <c r="KN74" s="119"/>
      <c r="KO74" s="119"/>
      <c r="KP74" s="119"/>
      <c r="KQ74" s="119"/>
      <c r="KR74" s="119"/>
      <c r="KS74" s="119"/>
      <c r="KT74" s="119"/>
      <c r="KU74" s="119"/>
      <c r="KV74" s="119"/>
      <c r="KW74" s="119"/>
      <c r="KX74" s="119"/>
      <c r="KY74" s="119"/>
      <c r="KZ74" s="119"/>
      <c r="LA74" s="119"/>
      <c r="LB74" s="119"/>
      <c r="LC74" s="119"/>
      <c r="LD74" s="119"/>
      <c r="LE74" s="119"/>
      <c r="LF74" s="119"/>
      <c r="LG74" s="119"/>
      <c r="LH74" s="119"/>
      <c r="LI74" s="119"/>
      <c r="LJ74" s="119"/>
      <c r="LK74" s="119"/>
      <c r="LL74" s="119"/>
      <c r="LM74" s="119"/>
      <c r="LN74" s="119"/>
      <c r="LO74" s="119"/>
      <c r="LP74" s="119"/>
      <c r="LQ74" s="119"/>
      <c r="LR74" s="119"/>
      <c r="LS74" s="119"/>
      <c r="LT74" s="119"/>
      <c r="LU74" s="119"/>
      <c r="LV74" s="119"/>
      <c r="LW74" s="119"/>
      <c r="LX74" s="119"/>
      <c r="LY74" s="119"/>
      <c r="LZ74" s="119"/>
      <c r="MA74" s="119"/>
      <c r="MB74" s="119"/>
      <c r="MC74" s="119"/>
      <c r="MD74" s="119"/>
      <c r="ME74" s="119"/>
      <c r="MF74" s="119"/>
      <c r="MG74" s="119"/>
      <c r="MH74" s="119"/>
      <c r="MI74" s="119"/>
      <c r="MJ74" s="119"/>
      <c r="MK74" s="119"/>
      <c r="ML74" s="119"/>
      <c r="MM74" s="119"/>
      <c r="MN74" s="119"/>
      <c r="MO74" s="119"/>
      <c r="MP74" s="119"/>
      <c r="MQ74" s="119"/>
      <c r="MR74" s="119"/>
      <c r="MS74" s="119"/>
      <c r="MT74" s="119"/>
      <c r="MU74" s="119"/>
      <c r="MV74" s="119"/>
      <c r="MW74" s="119"/>
      <c r="MX74" s="119"/>
      <c r="MY74" s="119"/>
      <c r="MZ74" s="119"/>
      <c r="NA74" s="119"/>
      <c r="NB74" s="119"/>
      <c r="NC74" s="119"/>
      <c r="ND74" s="119"/>
      <c r="NE74" s="119"/>
      <c r="NF74" s="119"/>
      <c r="NG74" s="119"/>
      <c r="NH74" s="119"/>
      <c r="NI74" s="119"/>
      <c r="NJ74" s="119"/>
      <c r="NK74" s="119"/>
      <c r="NL74" s="119"/>
      <c r="NM74" s="119"/>
      <c r="NN74" s="119"/>
      <c r="NO74" s="119"/>
      <c r="NP74" s="119"/>
      <c r="NQ74" s="119"/>
      <c r="NR74" s="119"/>
      <c r="NS74" s="119"/>
      <c r="NT74" s="119"/>
      <c r="NU74" s="119"/>
      <c r="NV74" s="119"/>
      <c r="NW74" s="119"/>
      <c r="NX74" s="119"/>
      <c r="NY74" s="119"/>
      <c r="NZ74" s="119"/>
      <c r="OA74" s="119"/>
    </row>
    <row r="75" spans="1:391" x14ac:dyDescent="0.2">
      <c r="A75" s="500"/>
      <c r="B75" s="548" t="s">
        <v>365</v>
      </c>
      <c r="C75" s="187"/>
      <c r="D75" s="187"/>
      <c r="E75" s="187"/>
      <c r="F75" s="564">
        <f t="shared" ca="1" si="6"/>
        <v>-43388</v>
      </c>
      <c r="G75" s="556"/>
      <c r="H75" s="556"/>
      <c r="I75" s="556"/>
      <c r="J75" s="38" t="str">
        <f ca="1">IF(G75&gt;0,"COMPLETED",(IF(I75&gt;0,"ISSUE IDENTIFIED",(IF(TODAY()&gt;E75,"OVERDUE","In Progress")))))</f>
        <v>OVERDUE</v>
      </c>
      <c r="K75" s="557"/>
      <c r="BN75" s="119"/>
      <c r="BO75" s="119"/>
      <c r="BP75" s="119"/>
      <c r="BQ75" s="119"/>
      <c r="BR75" s="119"/>
      <c r="BS75" s="119"/>
      <c r="BT75" s="119"/>
      <c r="BU75" s="119"/>
      <c r="BV75" s="119"/>
      <c r="BW75" s="119"/>
      <c r="BX75" s="119"/>
      <c r="BY75" s="119"/>
      <c r="BZ75" s="119"/>
      <c r="CA75" s="119"/>
      <c r="CB75" s="119"/>
      <c r="CC75" s="119"/>
      <c r="CD75" s="119"/>
      <c r="CE75" s="119"/>
      <c r="CF75" s="119"/>
      <c r="CG75" s="119"/>
      <c r="CH75" s="119"/>
      <c r="CI75" s="119"/>
      <c r="CJ75" s="119"/>
      <c r="CK75" s="119"/>
      <c r="CL75" s="119"/>
      <c r="CM75" s="119"/>
      <c r="CN75" s="119"/>
      <c r="CO75" s="119"/>
      <c r="CP75" s="119"/>
      <c r="CQ75" s="119"/>
      <c r="CR75" s="119"/>
      <c r="CS75" s="119"/>
      <c r="CT75" s="119"/>
      <c r="CU75" s="119"/>
      <c r="CV75" s="119"/>
      <c r="CW75" s="119"/>
      <c r="CX75" s="119"/>
      <c r="CY75" s="119"/>
      <c r="CZ75" s="119"/>
      <c r="DA75" s="119"/>
      <c r="DB75" s="119"/>
      <c r="DC75" s="119"/>
      <c r="DD75" s="119"/>
      <c r="DE75" s="119"/>
      <c r="DF75" s="119"/>
      <c r="DG75" s="119"/>
      <c r="DH75" s="119"/>
      <c r="DI75" s="119"/>
      <c r="DJ75" s="119"/>
      <c r="DK75" s="119"/>
      <c r="DL75" s="119"/>
      <c r="DM75" s="119"/>
      <c r="DN75" s="119"/>
      <c r="DO75" s="119"/>
      <c r="DP75" s="119"/>
      <c r="DQ75" s="119"/>
      <c r="DR75" s="119"/>
      <c r="DS75" s="119"/>
      <c r="DT75" s="119"/>
      <c r="DU75" s="119"/>
      <c r="DV75" s="119"/>
      <c r="DW75" s="119"/>
      <c r="DX75" s="119"/>
      <c r="DY75" s="119"/>
      <c r="DZ75" s="119"/>
      <c r="EA75" s="119"/>
      <c r="EB75" s="119"/>
      <c r="EC75" s="119"/>
      <c r="ED75" s="119"/>
      <c r="EE75" s="119"/>
      <c r="EF75" s="119"/>
      <c r="EG75" s="119"/>
      <c r="EH75" s="119"/>
      <c r="EI75" s="119"/>
      <c r="EJ75" s="119"/>
      <c r="EK75" s="119"/>
      <c r="EL75" s="119"/>
      <c r="EM75" s="119"/>
      <c r="EN75" s="119"/>
      <c r="EO75" s="119"/>
      <c r="EP75" s="119"/>
      <c r="EQ75" s="119"/>
      <c r="ER75" s="119"/>
      <c r="ES75" s="119"/>
      <c r="ET75" s="119"/>
      <c r="EU75" s="119"/>
      <c r="EV75" s="119"/>
      <c r="EW75" s="119"/>
      <c r="EX75" s="119"/>
      <c r="EY75" s="119"/>
      <c r="EZ75" s="119"/>
      <c r="FA75" s="119"/>
      <c r="FB75" s="119"/>
      <c r="FC75" s="119"/>
      <c r="FD75" s="119"/>
      <c r="FE75" s="119"/>
      <c r="FF75" s="119"/>
      <c r="FG75" s="119"/>
      <c r="FH75" s="119"/>
      <c r="FI75" s="119"/>
      <c r="FJ75" s="119"/>
      <c r="FK75" s="119"/>
      <c r="FL75" s="119"/>
      <c r="FM75" s="119"/>
      <c r="FN75" s="119"/>
      <c r="FO75" s="119"/>
      <c r="FP75" s="119"/>
      <c r="FQ75" s="119"/>
      <c r="FR75" s="119"/>
      <c r="FS75" s="119"/>
      <c r="FT75" s="119"/>
      <c r="FU75" s="119"/>
      <c r="FV75" s="119"/>
      <c r="FW75" s="119"/>
      <c r="FX75" s="119"/>
      <c r="FY75" s="119"/>
      <c r="FZ75" s="119"/>
      <c r="GA75" s="119"/>
      <c r="GB75" s="119"/>
      <c r="GC75" s="119"/>
      <c r="GD75" s="119"/>
      <c r="GE75" s="119"/>
      <c r="GF75" s="119"/>
      <c r="GG75" s="119"/>
      <c r="GH75" s="119"/>
      <c r="GI75" s="119"/>
      <c r="GJ75" s="119"/>
      <c r="GK75" s="119"/>
      <c r="GL75" s="119"/>
      <c r="GM75" s="119"/>
      <c r="GN75" s="119"/>
      <c r="GO75" s="119"/>
      <c r="GP75" s="119"/>
      <c r="GQ75" s="119"/>
      <c r="GR75" s="119"/>
      <c r="GS75" s="119"/>
      <c r="GT75" s="119"/>
      <c r="GU75" s="119"/>
      <c r="GV75" s="119"/>
      <c r="GW75" s="119"/>
      <c r="GX75" s="119"/>
      <c r="GY75" s="119"/>
      <c r="GZ75" s="119"/>
      <c r="HA75" s="119"/>
      <c r="HB75" s="119"/>
      <c r="HC75" s="119"/>
      <c r="HD75" s="119"/>
      <c r="HE75" s="119"/>
      <c r="HF75" s="119"/>
      <c r="HG75" s="119"/>
      <c r="HH75" s="119"/>
      <c r="HI75" s="119"/>
      <c r="HJ75" s="119"/>
      <c r="HK75" s="119"/>
      <c r="HL75" s="119"/>
      <c r="HM75" s="119"/>
      <c r="HN75" s="119"/>
      <c r="HO75" s="119"/>
      <c r="HP75" s="119"/>
      <c r="HQ75" s="119"/>
      <c r="HR75" s="119"/>
      <c r="HS75" s="119"/>
      <c r="HT75" s="119"/>
      <c r="HU75" s="119"/>
      <c r="HV75" s="119"/>
      <c r="HW75" s="119"/>
      <c r="HX75" s="119"/>
      <c r="HY75" s="119"/>
      <c r="HZ75" s="119"/>
      <c r="IA75" s="119"/>
      <c r="IB75" s="119"/>
      <c r="IC75" s="119"/>
      <c r="ID75" s="119"/>
      <c r="IE75" s="119"/>
      <c r="IF75" s="119"/>
      <c r="IG75" s="119"/>
      <c r="IH75" s="119"/>
      <c r="II75" s="119"/>
      <c r="IJ75" s="119"/>
      <c r="IK75" s="119"/>
      <c r="IL75" s="119"/>
      <c r="IM75" s="119"/>
      <c r="IN75" s="119"/>
      <c r="IO75" s="119"/>
      <c r="IP75" s="119"/>
      <c r="IQ75" s="119"/>
      <c r="IR75" s="119"/>
      <c r="IS75" s="119"/>
      <c r="IT75" s="119"/>
      <c r="IU75" s="119"/>
      <c r="IV75" s="119"/>
      <c r="IW75" s="119"/>
      <c r="IX75" s="119"/>
      <c r="IY75" s="119"/>
      <c r="IZ75" s="119"/>
      <c r="JA75" s="119"/>
      <c r="JB75" s="119"/>
      <c r="JC75" s="119"/>
      <c r="JD75" s="119"/>
      <c r="JE75" s="119"/>
      <c r="JF75" s="119"/>
      <c r="JG75" s="119"/>
      <c r="JH75" s="119"/>
      <c r="JI75" s="119"/>
      <c r="JJ75" s="119"/>
      <c r="JK75" s="119"/>
      <c r="JL75" s="119"/>
      <c r="JM75" s="119"/>
      <c r="JN75" s="119"/>
      <c r="JO75" s="119"/>
      <c r="JP75" s="119"/>
      <c r="JQ75" s="119"/>
      <c r="JR75" s="119"/>
      <c r="JS75" s="119"/>
      <c r="JT75" s="119"/>
      <c r="JU75" s="119"/>
      <c r="JV75" s="119"/>
      <c r="JW75" s="119"/>
      <c r="JX75" s="119"/>
      <c r="JY75" s="119"/>
      <c r="JZ75" s="119"/>
      <c r="KA75" s="119"/>
      <c r="KB75" s="119"/>
      <c r="KC75" s="119"/>
      <c r="KD75" s="119"/>
      <c r="KE75" s="119"/>
      <c r="KF75" s="119"/>
      <c r="KG75" s="119"/>
      <c r="KH75" s="119"/>
      <c r="KI75" s="119"/>
      <c r="KJ75" s="119"/>
      <c r="KK75" s="119"/>
      <c r="KL75" s="119"/>
      <c r="KM75" s="119"/>
      <c r="KN75" s="119"/>
      <c r="KO75" s="119"/>
      <c r="KP75" s="119"/>
      <c r="KQ75" s="119"/>
      <c r="KR75" s="119"/>
      <c r="KS75" s="119"/>
      <c r="KT75" s="119"/>
      <c r="KU75" s="119"/>
      <c r="KV75" s="119"/>
      <c r="KW75" s="119"/>
      <c r="KX75" s="119"/>
      <c r="KY75" s="119"/>
      <c r="KZ75" s="119"/>
      <c r="LA75" s="119"/>
      <c r="LB75" s="119"/>
      <c r="LC75" s="119"/>
      <c r="LD75" s="119"/>
      <c r="LE75" s="119"/>
      <c r="LF75" s="119"/>
      <c r="LG75" s="119"/>
      <c r="LH75" s="119"/>
      <c r="LI75" s="119"/>
      <c r="LJ75" s="119"/>
      <c r="LK75" s="119"/>
      <c r="LL75" s="119"/>
      <c r="LM75" s="119"/>
      <c r="LN75" s="119"/>
      <c r="LO75" s="119"/>
      <c r="LP75" s="119"/>
      <c r="LQ75" s="119"/>
      <c r="LR75" s="119"/>
      <c r="LS75" s="119"/>
      <c r="LT75" s="119"/>
      <c r="LU75" s="119"/>
      <c r="LV75" s="119"/>
      <c r="LW75" s="119"/>
      <c r="LX75" s="119"/>
      <c r="LY75" s="119"/>
      <c r="LZ75" s="119"/>
      <c r="MA75" s="119"/>
      <c r="MB75" s="119"/>
      <c r="MC75" s="119"/>
      <c r="MD75" s="119"/>
      <c r="ME75" s="119"/>
      <c r="MF75" s="119"/>
      <c r="MG75" s="119"/>
      <c r="MH75" s="119"/>
      <c r="MI75" s="119"/>
      <c r="MJ75" s="119"/>
      <c r="MK75" s="119"/>
      <c r="ML75" s="119"/>
      <c r="MM75" s="119"/>
      <c r="MN75" s="119"/>
      <c r="MO75" s="119"/>
      <c r="MP75" s="119"/>
      <c r="MQ75" s="119"/>
      <c r="MR75" s="119"/>
      <c r="MS75" s="119"/>
      <c r="MT75" s="119"/>
      <c r="MU75" s="119"/>
      <c r="MV75" s="119"/>
      <c r="MW75" s="119"/>
      <c r="MX75" s="119"/>
      <c r="MY75" s="119"/>
      <c r="MZ75" s="119"/>
      <c r="NA75" s="119"/>
      <c r="NB75" s="119"/>
      <c r="NC75" s="119"/>
      <c r="ND75" s="119"/>
      <c r="NE75" s="119"/>
      <c r="NF75" s="119"/>
      <c r="NG75" s="119"/>
      <c r="NH75" s="119"/>
      <c r="NI75" s="119"/>
      <c r="NJ75" s="119"/>
      <c r="NK75" s="119"/>
      <c r="NL75" s="119"/>
      <c r="NM75" s="119"/>
      <c r="NN75" s="119"/>
      <c r="NO75" s="119"/>
      <c r="NP75" s="119"/>
      <c r="NQ75" s="119"/>
      <c r="NR75" s="119"/>
      <c r="NS75" s="119"/>
      <c r="NT75" s="119"/>
      <c r="NU75" s="119"/>
      <c r="NV75" s="119"/>
      <c r="NW75" s="119"/>
      <c r="NX75" s="119"/>
      <c r="NY75" s="119"/>
      <c r="NZ75" s="119"/>
      <c r="OA75" s="119"/>
    </row>
    <row r="76" spans="1:391" x14ac:dyDescent="0.2">
      <c r="A76" s="500"/>
      <c r="B76" s="548" t="s">
        <v>366</v>
      </c>
      <c r="C76" s="187"/>
      <c r="D76" s="187"/>
      <c r="E76" s="187"/>
      <c r="F76" s="564">
        <f t="shared" ca="1" si="6"/>
        <v>-43388</v>
      </c>
      <c r="G76" s="556"/>
      <c r="H76" s="556"/>
      <c r="I76" s="556"/>
      <c r="J76" s="38" t="str">
        <f ca="1">IF(G76&gt;0,"COMPLETED",(IF(I76&gt;0,"ISSUE IDENTIFIED",(IF(TODAY()&gt;E76,"OVERDUE","In Progress")))))</f>
        <v>OVERDUE</v>
      </c>
      <c r="K76" s="557"/>
      <c r="BN76" s="119"/>
      <c r="BO76" s="119"/>
      <c r="BP76" s="119"/>
      <c r="BQ76" s="119"/>
      <c r="BR76" s="119"/>
      <c r="BS76" s="119"/>
      <c r="BT76" s="119"/>
      <c r="BU76" s="119"/>
      <c r="BV76" s="119"/>
      <c r="BW76" s="119"/>
      <c r="BX76" s="119"/>
      <c r="BY76" s="119"/>
      <c r="BZ76" s="119"/>
      <c r="CA76" s="119"/>
      <c r="CB76" s="119"/>
      <c r="CC76" s="119"/>
      <c r="CD76" s="119"/>
      <c r="CE76" s="119"/>
      <c r="CF76" s="119"/>
      <c r="CG76" s="119"/>
      <c r="CH76" s="119"/>
      <c r="CI76" s="119"/>
      <c r="CJ76" s="119"/>
      <c r="CK76" s="119"/>
      <c r="CL76" s="119"/>
      <c r="CM76" s="119"/>
      <c r="CN76" s="119"/>
      <c r="CO76" s="119"/>
      <c r="CP76" s="119"/>
      <c r="CQ76" s="119"/>
      <c r="CR76" s="119"/>
      <c r="CS76" s="119"/>
      <c r="CT76" s="119"/>
      <c r="CU76" s="119"/>
      <c r="CV76" s="119"/>
      <c r="CW76" s="119"/>
      <c r="CX76" s="119"/>
      <c r="CY76" s="119"/>
      <c r="CZ76" s="119"/>
      <c r="DA76" s="119"/>
      <c r="DB76" s="119"/>
      <c r="DC76" s="119"/>
      <c r="DD76" s="119"/>
      <c r="DE76" s="119"/>
      <c r="DF76" s="119"/>
      <c r="DG76" s="119"/>
      <c r="DH76" s="119"/>
      <c r="DI76" s="119"/>
      <c r="DJ76" s="119"/>
      <c r="DK76" s="119"/>
      <c r="DL76" s="119"/>
      <c r="DM76" s="119"/>
      <c r="DN76" s="119"/>
      <c r="DO76" s="119"/>
      <c r="DP76" s="119"/>
      <c r="DQ76" s="119"/>
      <c r="DR76" s="119"/>
      <c r="DS76" s="119"/>
      <c r="DT76" s="119"/>
      <c r="DU76" s="119"/>
      <c r="DV76" s="119"/>
      <c r="DW76" s="119"/>
      <c r="DX76" s="119"/>
      <c r="DY76" s="119"/>
      <c r="DZ76" s="119"/>
      <c r="EA76" s="119"/>
      <c r="EB76" s="119"/>
      <c r="EC76" s="119"/>
      <c r="ED76" s="119"/>
      <c r="EE76" s="119"/>
      <c r="EF76" s="119"/>
      <c r="EG76" s="119"/>
      <c r="EH76" s="119"/>
      <c r="EI76" s="119"/>
      <c r="EJ76" s="119"/>
      <c r="EK76" s="119"/>
      <c r="EL76" s="119"/>
      <c r="EM76" s="119"/>
      <c r="EN76" s="119"/>
      <c r="EO76" s="119"/>
      <c r="EP76" s="119"/>
      <c r="EQ76" s="119"/>
      <c r="ER76" s="119"/>
      <c r="ES76" s="119"/>
      <c r="ET76" s="119"/>
      <c r="EU76" s="119"/>
      <c r="EV76" s="119"/>
      <c r="EW76" s="119"/>
      <c r="EX76" s="119"/>
      <c r="EY76" s="119"/>
      <c r="EZ76" s="119"/>
      <c r="FA76" s="119"/>
      <c r="FB76" s="119"/>
      <c r="FC76" s="119"/>
      <c r="FD76" s="119"/>
      <c r="FE76" s="119"/>
      <c r="FF76" s="119"/>
      <c r="FG76" s="119"/>
      <c r="FH76" s="119"/>
      <c r="FI76" s="119"/>
      <c r="FJ76" s="119"/>
      <c r="FK76" s="119"/>
      <c r="FL76" s="119"/>
      <c r="FM76" s="119"/>
      <c r="FN76" s="119"/>
      <c r="FO76" s="119"/>
      <c r="FP76" s="119"/>
      <c r="FQ76" s="119"/>
      <c r="FR76" s="119"/>
      <c r="FS76" s="119"/>
      <c r="FT76" s="119"/>
      <c r="FU76" s="119"/>
      <c r="FV76" s="119"/>
      <c r="FW76" s="119"/>
      <c r="FX76" s="119"/>
      <c r="FY76" s="119"/>
      <c r="FZ76" s="119"/>
      <c r="GA76" s="119"/>
      <c r="GB76" s="119"/>
      <c r="GC76" s="119"/>
      <c r="GD76" s="119"/>
      <c r="GE76" s="119"/>
      <c r="GF76" s="119"/>
      <c r="GG76" s="119"/>
      <c r="GH76" s="119"/>
      <c r="GI76" s="119"/>
      <c r="GJ76" s="119"/>
      <c r="GK76" s="119"/>
      <c r="GL76" s="119"/>
      <c r="GM76" s="119"/>
      <c r="GN76" s="119"/>
      <c r="GO76" s="119"/>
      <c r="GP76" s="119"/>
      <c r="GQ76" s="119"/>
      <c r="GR76" s="119"/>
      <c r="GS76" s="119"/>
      <c r="GT76" s="119"/>
      <c r="GU76" s="119"/>
      <c r="GV76" s="119"/>
      <c r="GW76" s="119"/>
      <c r="GX76" s="119"/>
      <c r="GY76" s="119"/>
      <c r="GZ76" s="119"/>
      <c r="HA76" s="119"/>
      <c r="HB76" s="119"/>
      <c r="HC76" s="119"/>
      <c r="HD76" s="119"/>
      <c r="HE76" s="119"/>
      <c r="HF76" s="119"/>
      <c r="HG76" s="119"/>
      <c r="HH76" s="119"/>
      <c r="HI76" s="119"/>
      <c r="HJ76" s="119"/>
      <c r="HK76" s="119"/>
      <c r="HL76" s="119"/>
      <c r="HM76" s="119"/>
      <c r="HN76" s="119"/>
      <c r="HO76" s="119"/>
      <c r="HP76" s="119"/>
      <c r="HQ76" s="119"/>
      <c r="HR76" s="119"/>
      <c r="HS76" s="119"/>
      <c r="HT76" s="119"/>
      <c r="HU76" s="119"/>
      <c r="HV76" s="119"/>
      <c r="HW76" s="119"/>
      <c r="HX76" s="119"/>
      <c r="HY76" s="119"/>
      <c r="HZ76" s="119"/>
      <c r="IA76" s="119"/>
      <c r="IB76" s="119"/>
      <c r="IC76" s="119"/>
      <c r="ID76" s="119"/>
      <c r="IE76" s="119"/>
      <c r="IF76" s="119"/>
      <c r="IG76" s="119"/>
      <c r="IH76" s="119"/>
      <c r="II76" s="119"/>
      <c r="IJ76" s="119"/>
      <c r="IK76" s="119"/>
      <c r="IL76" s="119"/>
      <c r="IM76" s="119"/>
      <c r="IN76" s="119"/>
      <c r="IO76" s="119"/>
      <c r="IP76" s="119"/>
      <c r="IQ76" s="119"/>
      <c r="IR76" s="119"/>
      <c r="IS76" s="119"/>
      <c r="IT76" s="119"/>
      <c r="IU76" s="119"/>
      <c r="IV76" s="119"/>
      <c r="IW76" s="119"/>
      <c r="IX76" s="119"/>
      <c r="IY76" s="119"/>
      <c r="IZ76" s="119"/>
      <c r="JA76" s="119"/>
      <c r="JB76" s="119"/>
      <c r="JC76" s="119"/>
      <c r="JD76" s="119"/>
      <c r="JE76" s="119"/>
      <c r="JF76" s="119"/>
      <c r="JG76" s="119"/>
      <c r="JH76" s="119"/>
      <c r="JI76" s="119"/>
      <c r="JJ76" s="119"/>
      <c r="JK76" s="119"/>
      <c r="JL76" s="119"/>
      <c r="JM76" s="119"/>
      <c r="JN76" s="119"/>
      <c r="JO76" s="119"/>
      <c r="JP76" s="119"/>
      <c r="JQ76" s="119"/>
      <c r="JR76" s="119"/>
      <c r="JS76" s="119"/>
      <c r="JT76" s="119"/>
      <c r="JU76" s="119"/>
      <c r="JV76" s="119"/>
      <c r="JW76" s="119"/>
      <c r="JX76" s="119"/>
      <c r="JY76" s="119"/>
      <c r="JZ76" s="119"/>
      <c r="KA76" s="119"/>
      <c r="KB76" s="119"/>
      <c r="KC76" s="119"/>
      <c r="KD76" s="119"/>
      <c r="KE76" s="119"/>
      <c r="KF76" s="119"/>
      <c r="KG76" s="119"/>
      <c r="KH76" s="119"/>
      <c r="KI76" s="119"/>
      <c r="KJ76" s="119"/>
      <c r="KK76" s="119"/>
      <c r="KL76" s="119"/>
      <c r="KM76" s="119"/>
      <c r="KN76" s="119"/>
      <c r="KO76" s="119"/>
      <c r="KP76" s="119"/>
      <c r="KQ76" s="119"/>
      <c r="KR76" s="119"/>
      <c r="KS76" s="119"/>
      <c r="KT76" s="119"/>
      <c r="KU76" s="119"/>
      <c r="KV76" s="119"/>
      <c r="KW76" s="119"/>
      <c r="KX76" s="119"/>
      <c r="KY76" s="119"/>
      <c r="KZ76" s="119"/>
      <c r="LA76" s="119"/>
      <c r="LB76" s="119"/>
      <c r="LC76" s="119"/>
      <c r="LD76" s="119"/>
      <c r="LE76" s="119"/>
      <c r="LF76" s="119"/>
      <c r="LG76" s="119"/>
      <c r="LH76" s="119"/>
      <c r="LI76" s="119"/>
      <c r="LJ76" s="119"/>
      <c r="LK76" s="119"/>
      <c r="LL76" s="119"/>
      <c r="LM76" s="119"/>
      <c r="LN76" s="119"/>
      <c r="LO76" s="119"/>
      <c r="LP76" s="119"/>
      <c r="LQ76" s="119"/>
      <c r="LR76" s="119"/>
      <c r="LS76" s="119"/>
      <c r="LT76" s="119"/>
      <c r="LU76" s="119"/>
      <c r="LV76" s="119"/>
      <c r="LW76" s="119"/>
      <c r="LX76" s="119"/>
      <c r="LY76" s="119"/>
      <c r="LZ76" s="119"/>
      <c r="MA76" s="119"/>
      <c r="MB76" s="119"/>
      <c r="MC76" s="119"/>
      <c r="MD76" s="119"/>
      <c r="ME76" s="119"/>
      <c r="MF76" s="119"/>
      <c r="MG76" s="119"/>
      <c r="MH76" s="119"/>
      <c r="MI76" s="119"/>
      <c r="MJ76" s="119"/>
      <c r="MK76" s="119"/>
      <c r="ML76" s="119"/>
      <c r="MM76" s="119"/>
      <c r="MN76" s="119"/>
      <c r="MO76" s="119"/>
      <c r="MP76" s="119"/>
      <c r="MQ76" s="119"/>
      <c r="MR76" s="119"/>
      <c r="MS76" s="119"/>
      <c r="MT76" s="119"/>
      <c r="MU76" s="119"/>
      <c r="MV76" s="119"/>
      <c r="MW76" s="119"/>
      <c r="MX76" s="119"/>
      <c r="MY76" s="119"/>
      <c r="MZ76" s="119"/>
      <c r="NA76" s="119"/>
      <c r="NB76" s="119"/>
      <c r="NC76" s="119"/>
      <c r="ND76" s="119"/>
      <c r="NE76" s="119"/>
      <c r="NF76" s="119"/>
      <c r="NG76" s="119"/>
      <c r="NH76" s="119"/>
      <c r="NI76" s="119"/>
      <c r="NJ76" s="119"/>
      <c r="NK76" s="119"/>
      <c r="NL76" s="119"/>
      <c r="NM76" s="119"/>
      <c r="NN76" s="119"/>
      <c r="NO76" s="119"/>
      <c r="NP76" s="119"/>
      <c r="NQ76" s="119"/>
      <c r="NR76" s="119"/>
      <c r="NS76" s="119"/>
      <c r="NT76" s="119"/>
      <c r="NU76" s="119"/>
      <c r="NV76" s="119"/>
      <c r="NW76" s="119"/>
      <c r="NX76" s="119"/>
      <c r="NY76" s="119"/>
      <c r="NZ76" s="119"/>
      <c r="OA76" s="119"/>
    </row>
    <row r="77" spans="1:391" x14ac:dyDescent="0.2">
      <c r="A77" s="500"/>
      <c r="B77" s="548" t="s">
        <v>367</v>
      </c>
      <c r="C77" s="187"/>
      <c r="D77" s="187"/>
      <c r="E77" s="185"/>
      <c r="F77" s="564">
        <f t="shared" ca="1" si="6"/>
        <v>-43388</v>
      </c>
      <c r="G77" s="556"/>
      <c r="H77" s="556"/>
      <c r="I77" s="556"/>
      <c r="J77" s="38" t="str">
        <f ca="1">IF(G77&gt;0,"COMPLETED",(IF(I77&gt;0,"ISSUE IDENTIFIED",(IF(TODAY()&gt;E77,"OVERDUE","In Progress")))))</f>
        <v>OVERDUE</v>
      </c>
      <c r="K77" s="557"/>
      <c r="BN77" s="119"/>
      <c r="BO77" s="119"/>
      <c r="BP77" s="119"/>
      <c r="BQ77" s="119"/>
      <c r="BR77" s="119"/>
      <c r="BS77" s="119"/>
      <c r="BT77" s="119"/>
      <c r="BU77" s="119"/>
      <c r="BV77" s="119"/>
      <c r="BW77" s="119"/>
      <c r="BX77" s="119"/>
      <c r="BY77" s="119"/>
      <c r="BZ77" s="119"/>
      <c r="CA77" s="119"/>
      <c r="CB77" s="119"/>
      <c r="CC77" s="119"/>
      <c r="CD77" s="119"/>
      <c r="CE77" s="119"/>
      <c r="CF77" s="119"/>
      <c r="CG77" s="119"/>
      <c r="CH77" s="119"/>
      <c r="CI77" s="119"/>
      <c r="CJ77" s="119"/>
      <c r="CK77" s="119"/>
      <c r="CL77" s="119"/>
      <c r="CM77" s="119"/>
      <c r="CN77" s="119"/>
      <c r="CO77" s="119"/>
      <c r="CP77" s="119"/>
      <c r="CQ77" s="119"/>
      <c r="CR77" s="119"/>
      <c r="CS77" s="119"/>
      <c r="CT77" s="119"/>
      <c r="CU77" s="119"/>
      <c r="CV77" s="119"/>
      <c r="CW77" s="119"/>
      <c r="CX77" s="119"/>
      <c r="CY77" s="119"/>
      <c r="CZ77" s="119"/>
      <c r="DA77" s="119"/>
      <c r="DB77" s="119"/>
      <c r="DC77" s="119"/>
      <c r="DD77" s="119"/>
      <c r="DE77" s="119"/>
      <c r="DF77" s="119"/>
      <c r="DG77" s="119"/>
      <c r="DH77" s="119"/>
      <c r="DI77" s="119"/>
      <c r="DJ77" s="119"/>
      <c r="DK77" s="119"/>
      <c r="DL77" s="119"/>
      <c r="DM77" s="119"/>
      <c r="DN77" s="119"/>
      <c r="DO77" s="119"/>
      <c r="DP77" s="119"/>
      <c r="DQ77" s="119"/>
      <c r="DR77" s="119"/>
      <c r="DS77" s="119"/>
      <c r="DT77" s="119"/>
      <c r="DU77" s="119"/>
      <c r="DV77" s="119"/>
      <c r="DW77" s="119"/>
      <c r="DX77" s="119"/>
      <c r="DY77" s="119"/>
      <c r="DZ77" s="119"/>
      <c r="EA77" s="119"/>
      <c r="EB77" s="119"/>
      <c r="EC77" s="119"/>
      <c r="ED77" s="119"/>
      <c r="EE77" s="119"/>
      <c r="EF77" s="119"/>
      <c r="EG77" s="119"/>
      <c r="EH77" s="119"/>
      <c r="EI77" s="119"/>
      <c r="EJ77" s="119"/>
      <c r="EK77" s="119"/>
      <c r="EL77" s="119"/>
      <c r="EM77" s="119"/>
      <c r="EN77" s="119"/>
      <c r="EO77" s="119"/>
      <c r="EP77" s="119"/>
      <c r="EQ77" s="119"/>
      <c r="ER77" s="119"/>
      <c r="ES77" s="119"/>
      <c r="ET77" s="119"/>
      <c r="EU77" s="119"/>
      <c r="EV77" s="119"/>
      <c r="EW77" s="119"/>
      <c r="EX77" s="119"/>
      <c r="EY77" s="119"/>
      <c r="EZ77" s="119"/>
      <c r="FA77" s="119"/>
      <c r="FB77" s="119"/>
      <c r="FC77" s="119"/>
      <c r="FD77" s="119"/>
      <c r="FE77" s="119"/>
      <c r="FF77" s="119"/>
      <c r="FG77" s="119"/>
      <c r="FH77" s="119"/>
      <c r="FI77" s="119"/>
      <c r="FJ77" s="119"/>
      <c r="FK77" s="119"/>
      <c r="FL77" s="119"/>
      <c r="FM77" s="119"/>
      <c r="FN77" s="119"/>
      <c r="FO77" s="119"/>
      <c r="FP77" s="119"/>
      <c r="FQ77" s="119"/>
      <c r="FR77" s="119"/>
      <c r="FS77" s="119"/>
      <c r="FT77" s="119"/>
      <c r="FU77" s="119"/>
      <c r="FV77" s="119"/>
      <c r="FW77" s="119"/>
      <c r="FX77" s="119"/>
      <c r="FY77" s="119"/>
      <c r="FZ77" s="119"/>
      <c r="GA77" s="119"/>
      <c r="GB77" s="119"/>
      <c r="GC77" s="119"/>
      <c r="GD77" s="119"/>
      <c r="GE77" s="119"/>
      <c r="GF77" s="119"/>
      <c r="GG77" s="119"/>
      <c r="GH77" s="119"/>
      <c r="GI77" s="119"/>
      <c r="GJ77" s="119"/>
      <c r="GK77" s="119"/>
      <c r="GL77" s="119"/>
      <c r="GM77" s="119"/>
      <c r="GN77" s="119"/>
      <c r="GO77" s="119"/>
      <c r="GP77" s="119"/>
      <c r="GQ77" s="119"/>
      <c r="GR77" s="119"/>
      <c r="GS77" s="119"/>
      <c r="GT77" s="119"/>
      <c r="GU77" s="119"/>
      <c r="GV77" s="119"/>
      <c r="GW77" s="119"/>
      <c r="GX77" s="119"/>
      <c r="GY77" s="119"/>
      <c r="GZ77" s="119"/>
      <c r="HA77" s="119"/>
      <c r="HB77" s="119"/>
      <c r="HC77" s="119"/>
      <c r="HD77" s="119"/>
      <c r="HE77" s="119"/>
      <c r="HF77" s="119"/>
      <c r="HG77" s="119"/>
      <c r="HH77" s="119"/>
      <c r="HI77" s="119"/>
      <c r="HJ77" s="119"/>
      <c r="HK77" s="119"/>
      <c r="HL77" s="119"/>
      <c r="HM77" s="119"/>
      <c r="HN77" s="119"/>
      <c r="HO77" s="119"/>
      <c r="HP77" s="119"/>
      <c r="HQ77" s="119"/>
      <c r="HR77" s="119"/>
      <c r="HS77" s="119"/>
      <c r="HT77" s="119"/>
      <c r="HU77" s="119"/>
      <c r="HV77" s="119"/>
      <c r="HW77" s="119"/>
      <c r="HX77" s="119"/>
      <c r="HY77" s="119"/>
      <c r="HZ77" s="119"/>
      <c r="IA77" s="119"/>
      <c r="IB77" s="119"/>
      <c r="IC77" s="119"/>
      <c r="ID77" s="119"/>
      <c r="IE77" s="119"/>
      <c r="IF77" s="119"/>
      <c r="IG77" s="119"/>
      <c r="IH77" s="119"/>
      <c r="II77" s="119"/>
      <c r="IJ77" s="119"/>
      <c r="IK77" s="119"/>
      <c r="IL77" s="119"/>
      <c r="IM77" s="119"/>
      <c r="IN77" s="119"/>
      <c r="IO77" s="119"/>
      <c r="IP77" s="119"/>
      <c r="IQ77" s="119"/>
      <c r="IR77" s="119"/>
      <c r="IS77" s="119"/>
      <c r="IT77" s="119"/>
      <c r="IU77" s="119"/>
      <c r="IV77" s="119"/>
      <c r="IW77" s="119"/>
      <c r="IX77" s="119"/>
      <c r="IY77" s="119"/>
      <c r="IZ77" s="119"/>
      <c r="JA77" s="119"/>
      <c r="JB77" s="119"/>
      <c r="JC77" s="119"/>
      <c r="JD77" s="119"/>
      <c r="JE77" s="119"/>
      <c r="JF77" s="119"/>
      <c r="JG77" s="119"/>
      <c r="JH77" s="119"/>
      <c r="JI77" s="119"/>
      <c r="JJ77" s="119"/>
      <c r="JK77" s="119"/>
      <c r="JL77" s="119"/>
      <c r="JM77" s="119"/>
      <c r="JN77" s="119"/>
      <c r="JO77" s="119"/>
      <c r="JP77" s="119"/>
      <c r="JQ77" s="119"/>
      <c r="JR77" s="119"/>
      <c r="JS77" s="119"/>
      <c r="JT77" s="119"/>
      <c r="JU77" s="119"/>
      <c r="JV77" s="119"/>
      <c r="JW77" s="119"/>
      <c r="JX77" s="119"/>
      <c r="JY77" s="119"/>
      <c r="JZ77" s="119"/>
      <c r="KA77" s="119"/>
      <c r="KB77" s="119"/>
      <c r="KC77" s="119"/>
      <c r="KD77" s="119"/>
      <c r="KE77" s="119"/>
      <c r="KF77" s="119"/>
      <c r="KG77" s="119"/>
      <c r="KH77" s="119"/>
      <c r="KI77" s="119"/>
      <c r="KJ77" s="119"/>
      <c r="KK77" s="119"/>
      <c r="KL77" s="119"/>
      <c r="KM77" s="119"/>
      <c r="KN77" s="119"/>
      <c r="KO77" s="119"/>
      <c r="KP77" s="119"/>
      <c r="KQ77" s="119"/>
      <c r="KR77" s="119"/>
      <c r="KS77" s="119"/>
      <c r="KT77" s="119"/>
      <c r="KU77" s="119"/>
      <c r="KV77" s="119"/>
      <c r="KW77" s="119"/>
      <c r="KX77" s="119"/>
      <c r="KY77" s="119"/>
      <c r="KZ77" s="119"/>
      <c r="LA77" s="119"/>
      <c r="LB77" s="119"/>
      <c r="LC77" s="119"/>
      <c r="LD77" s="119"/>
      <c r="LE77" s="119"/>
      <c r="LF77" s="119"/>
      <c r="LG77" s="119"/>
      <c r="LH77" s="119"/>
      <c r="LI77" s="119"/>
      <c r="LJ77" s="119"/>
      <c r="LK77" s="119"/>
      <c r="LL77" s="119"/>
      <c r="LM77" s="119"/>
      <c r="LN77" s="119"/>
      <c r="LO77" s="119"/>
      <c r="LP77" s="119"/>
      <c r="LQ77" s="119"/>
      <c r="LR77" s="119"/>
      <c r="LS77" s="119"/>
      <c r="LT77" s="119"/>
      <c r="LU77" s="119"/>
      <c r="LV77" s="119"/>
      <c r="LW77" s="119"/>
      <c r="LX77" s="119"/>
      <c r="LY77" s="119"/>
      <c r="LZ77" s="119"/>
      <c r="MA77" s="119"/>
      <c r="MB77" s="119"/>
      <c r="MC77" s="119"/>
      <c r="MD77" s="119"/>
      <c r="ME77" s="119"/>
      <c r="MF77" s="119"/>
      <c r="MG77" s="119"/>
      <c r="MH77" s="119"/>
      <c r="MI77" s="119"/>
      <c r="MJ77" s="119"/>
      <c r="MK77" s="119"/>
      <c r="ML77" s="119"/>
      <c r="MM77" s="119"/>
      <c r="MN77" s="119"/>
      <c r="MO77" s="119"/>
      <c r="MP77" s="119"/>
      <c r="MQ77" s="119"/>
      <c r="MR77" s="119"/>
      <c r="MS77" s="119"/>
      <c r="MT77" s="119"/>
      <c r="MU77" s="119"/>
      <c r="MV77" s="119"/>
      <c r="MW77" s="119"/>
      <c r="MX77" s="119"/>
      <c r="MY77" s="119"/>
      <c r="MZ77" s="119"/>
      <c r="NA77" s="119"/>
      <c r="NB77" s="119"/>
      <c r="NC77" s="119"/>
      <c r="ND77" s="119"/>
      <c r="NE77" s="119"/>
      <c r="NF77" s="119"/>
      <c r="NG77" s="119"/>
      <c r="NH77" s="119"/>
      <c r="NI77" s="119"/>
      <c r="NJ77" s="119"/>
      <c r="NK77" s="119"/>
      <c r="NL77" s="119"/>
      <c r="NM77" s="119"/>
      <c r="NN77" s="119"/>
      <c r="NO77" s="119"/>
      <c r="NP77" s="119"/>
      <c r="NQ77" s="119"/>
      <c r="NR77" s="119"/>
      <c r="NS77" s="119"/>
      <c r="NT77" s="119"/>
      <c r="NU77" s="119"/>
      <c r="NV77" s="119"/>
      <c r="NW77" s="119"/>
      <c r="NX77" s="119"/>
      <c r="NY77" s="119"/>
      <c r="NZ77" s="119"/>
      <c r="OA77" s="119"/>
    </row>
    <row r="78" spans="1:391" ht="15" x14ac:dyDescent="0.25">
      <c r="A78" s="500"/>
      <c r="B78" s="550" t="s">
        <v>368</v>
      </c>
      <c r="C78" s="187"/>
      <c r="D78" s="551"/>
      <c r="E78" s="551"/>
      <c r="F78" s="564">
        <f t="shared" ca="1" si="6"/>
        <v>-43388</v>
      </c>
      <c r="G78" s="556"/>
      <c r="H78" s="556"/>
      <c r="I78" s="556"/>
      <c r="J78" s="38" t="str">
        <f ca="1">IF(AND(J79="completed",J80="completed"),"Deliverable Completed","DELIVERABLE STILL IN PROGRESS")</f>
        <v>DELIVERABLE STILL IN PROGRESS</v>
      </c>
      <c r="K78" s="557"/>
      <c r="BN78" s="119"/>
      <c r="BO78" s="119"/>
      <c r="BP78" s="119"/>
      <c r="BQ78" s="119"/>
      <c r="BR78" s="119"/>
      <c r="BS78" s="119"/>
      <c r="BT78" s="119"/>
      <c r="BU78" s="119"/>
      <c r="BV78" s="119"/>
      <c r="BW78" s="119"/>
      <c r="BX78" s="119"/>
      <c r="BY78" s="119"/>
      <c r="BZ78" s="119"/>
      <c r="CA78" s="119"/>
      <c r="CB78" s="119"/>
      <c r="CC78" s="119"/>
      <c r="CD78" s="119"/>
      <c r="CE78" s="119"/>
      <c r="CF78" s="119"/>
      <c r="CG78" s="119"/>
      <c r="CH78" s="119"/>
      <c r="CI78" s="119"/>
      <c r="CJ78" s="119"/>
      <c r="CK78" s="119"/>
      <c r="CL78" s="119"/>
      <c r="CM78" s="119"/>
      <c r="CN78" s="119"/>
      <c r="CO78" s="119"/>
      <c r="CP78" s="119"/>
      <c r="CQ78" s="119"/>
      <c r="CR78" s="119"/>
      <c r="CS78" s="119"/>
      <c r="CT78" s="119"/>
      <c r="CU78" s="119"/>
      <c r="CV78" s="119"/>
      <c r="CW78" s="119"/>
      <c r="CX78" s="119"/>
      <c r="CY78" s="119"/>
      <c r="CZ78" s="119"/>
      <c r="DA78" s="119"/>
      <c r="DB78" s="119"/>
      <c r="DC78" s="119"/>
      <c r="DD78" s="119"/>
      <c r="DE78" s="119"/>
      <c r="DF78" s="119"/>
      <c r="DG78" s="119"/>
      <c r="DH78" s="119"/>
      <c r="DI78" s="119"/>
      <c r="DJ78" s="119"/>
      <c r="DK78" s="119"/>
      <c r="DL78" s="119"/>
      <c r="DM78" s="119"/>
      <c r="DN78" s="119"/>
      <c r="DO78" s="119"/>
      <c r="DP78" s="119"/>
      <c r="DQ78" s="119"/>
      <c r="DR78" s="119"/>
      <c r="DS78" s="119"/>
      <c r="DT78" s="119"/>
      <c r="DU78" s="119"/>
      <c r="DV78" s="119"/>
      <c r="DW78" s="119"/>
      <c r="DX78" s="119"/>
      <c r="DY78" s="119"/>
      <c r="DZ78" s="119"/>
      <c r="EA78" s="119"/>
      <c r="EB78" s="119"/>
      <c r="EC78" s="119"/>
      <c r="ED78" s="119"/>
      <c r="EE78" s="119"/>
      <c r="EF78" s="119"/>
      <c r="EG78" s="119"/>
      <c r="EH78" s="119"/>
      <c r="EI78" s="119"/>
      <c r="EJ78" s="119"/>
      <c r="EK78" s="119"/>
      <c r="EL78" s="119"/>
      <c r="EM78" s="119"/>
      <c r="EN78" s="119"/>
      <c r="EO78" s="119"/>
      <c r="EP78" s="119"/>
      <c r="EQ78" s="119"/>
      <c r="ER78" s="119"/>
      <c r="ES78" s="119"/>
      <c r="ET78" s="119"/>
      <c r="EU78" s="119"/>
      <c r="EV78" s="119"/>
      <c r="EW78" s="119"/>
      <c r="EX78" s="119"/>
      <c r="EY78" s="119"/>
      <c r="EZ78" s="119"/>
      <c r="FA78" s="119"/>
      <c r="FB78" s="119"/>
      <c r="FC78" s="119"/>
      <c r="FD78" s="119"/>
      <c r="FE78" s="119"/>
      <c r="FF78" s="119"/>
      <c r="FG78" s="119"/>
      <c r="FH78" s="119"/>
      <c r="FI78" s="119"/>
      <c r="FJ78" s="119"/>
      <c r="FK78" s="119"/>
      <c r="FL78" s="119"/>
      <c r="FM78" s="119"/>
      <c r="FN78" s="119"/>
      <c r="FO78" s="119"/>
      <c r="FP78" s="119"/>
      <c r="FQ78" s="119"/>
      <c r="FR78" s="119"/>
      <c r="FS78" s="119"/>
      <c r="FT78" s="119"/>
      <c r="FU78" s="119"/>
      <c r="FV78" s="119"/>
      <c r="FW78" s="119"/>
      <c r="FX78" s="119"/>
      <c r="FY78" s="119"/>
      <c r="FZ78" s="119"/>
      <c r="GA78" s="119"/>
      <c r="GB78" s="119"/>
      <c r="GC78" s="119"/>
      <c r="GD78" s="119"/>
      <c r="GE78" s="119"/>
      <c r="GF78" s="119"/>
      <c r="GG78" s="119"/>
      <c r="GH78" s="119"/>
      <c r="GI78" s="119"/>
      <c r="GJ78" s="119"/>
      <c r="GK78" s="119"/>
      <c r="GL78" s="119"/>
      <c r="GM78" s="119"/>
      <c r="GN78" s="119"/>
      <c r="GO78" s="119"/>
      <c r="GP78" s="119"/>
      <c r="GQ78" s="119"/>
      <c r="GR78" s="119"/>
      <c r="GS78" s="119"/>
      <c r="GT78" s="119"/>
      <c r="GU78" s="119"/>
      <c r="GV78" s="119"/>
      <c r="GW78" s="119"/>
      <c r="GX78" s="119"/>
      <c r="GY78" s="119"/>
      <c r="GZ78" s="119"/>
      <c r="HA78" s="119"/>
      <c r="HB78" s="119"/>
      <c r="HC78" s="119"/>
      <c r="HD78" s="119"/>
      <c r="HE78" s="119"/>
      <c r="HF78" s="119"/>
      <c r="HG78" s="119"/>
      <c r="HH78" s="119"/>
      <c r="HI78" s="119"/>
      <c r="HJ78" s="119"/>
      <c r="HK78" s="119"/>
      <c r="HL78" s="119"/>
      <c r="HM78" s="119"/>
      <c r="HN78" s="119"/>
      <c r="HO78" s="119"/>
      <c r="HP78" s="119"/>
      <c r="HQ78" s="119"/>
      <c r="HR78" s="119"/>
      <c r="HS78" s="119"/>
      <c r="HT78" s="119"/>
      <c r="HU78" s="119"/>
      <c r="HV78" s="119"/>
      <c r="HW78" s="119"/>
      <c r="HX78" s="119"/>
      <c r="HY78" s="119"/>
      <c r="HZ78" s="119"/>
      <c r="IA78" s="119"/>
      <c r="IB78" s="119"/>
      <c r="IC78" s="119"/>
      <c r="ID78" s="119"/>
      <c r="IE78" s="119"/>
      <c r="IF78" s="119"/>
      <c r="IG78" s="119"/>
      <c r="IH78" s="119"/>
      <c r="II78" s="119"/>
      <c r="IJ78" s="119"/>
      <c r="IK78" s="119"/>
      <c r="IL78" s="119"/>
      <c r="IM78" s="119"/>
      <c r="IN78" s="119"/>
      <c r="IO78" s="119"/>
      <c r="IP78" s="119"/>
      <c r="IQ78" s="119"/>
      <c r="IR78" s="119"/>
      <c r="IS78" s="119"/>
      <c r="IT78" s="119"/>
      <c r="IU78" s="119"/>
      <c r="IV78" s="119"/>
      <c r="IW78" s="119"/>
      <c r="IX78" s="119"/>
      <c r="IY78" s="119"/>
      <c r="IZ78" s="119"/>
      <c r="JA78" s="119"/>
      <c r="JB78" s="119"/>
      <c r="JC78" s="119"/>
      <c r="JD78" s="119"/>
      <c r="JE78" s="119"/>
      <c r="JF78" s="119"/>
      <c r="JG78" s="119"/>
      <c r="JH78" s="119"/>
      <c r="JI78" s="119"/>
      <c r="JJ78" s="119"/>
      <c r="JK78" s="119"/>
      <c r="JL78" s="119"/>
      <c r="JM78" s="119"/>
      <c r="JN78" s="119"/>
      <c r="JO78" s="119"/>
      <c r="JP78" s="119"/>
      <c r="JQ78" s="119"/>
      <c r="JR78" s="119"/>
      <c r="JS78" s="119"/>
      <c r="JT78" s="119"/>
      <c r="JU78" s="119"/>
      <c r="JV78" s="119"/>
      <c r="JW78" s="119"/>
      <c r="JX78" s="119"/>
      <c r="JY78" s="119"/>
      <c r="JZ78" s="119"/>
      <c r="KA78" s="119"/>
      <c r="KB78" s="119"/>
      <c r="KC78" s="119"/>
      <c r="KD78" s="119"/>
      <c r="KE78" s="119"/>
      <c r="KF78" s="119"/>
      <c r="KG78" s="119"/>
      <c r="KH78" s="119"/>
      <c r="KI78" s="119"/>
      <c r="KJ78" s="119"/>
      <c r="KK78" s="119"/>
      <c r="KL78" s="119"/>
      <c r="KM78" s="119"/>
      <c r="KN78" s="119"/>
      <c r="KO78" s="119"/>
      <c r="KP78" s="119"/>
      <c r="KQ78" s="119"/>
      <c r="KR78" s="119"/>
      <c r="KS78" s="119"/>
      <c r="KT78" s="119"/>
      <c r="KU78" s="119"/>
      <c r="KV78" s="119"/>
      <c r="KW78" s="119"/>
      <c r="KX78" s="119"/>
      <c r="KY78" s="119"/>
      <c r="KZ78" s="119"/>
      <c r="LA78" s="119"/>
      <c r="LB78" s="119"/>
      <c r="LC78" s="119"/>
      <c r="LD78" s="119"/>
      <c r="LE78" s="119"/>
      <c r="LF78" s="119"/>
      <c r="LG78" s="119"/>
      <c r="LH78" s="119"/>
      <c r="LI78" s="119"/>
      <c r="LJ78" s="119"/>
      <c r="LK78" s="119"/>
      <c r="LL78" s="119"/>
      <c r="LM78" s="119"/>
      <c r="LN78" s="119"/>
      <c r="LO78" s="119"/>
      <c r="LP78" s="119"/>
      <c r="LQ78" s="119"/>
      <c r="LR78" s="119"/>
      <c r="LS78" s="119"/>
      <c r="LT78" s="119"/>
      <c r="LU78" s="119"/>
      <c r="LV78" s="119"/>
      <c r="LW78" s="119"/>
      <c r="LX78" s="119"/>
      <c r="LY78" s="119"/>
      <c r="LZ78" s="119"/>
      <c r="MA78" s="119"/>
      <c r="MB78" s="119"/>
      <c r="MC78" s="119"/>
      <c r="MD78" s="119"/>
      <c r="ME78" s="119"/>
      <c r="MF78" s="119"/>
      <c r="MG78" s="119"/>
      <c r="MH78" s="119"/>
      <c r="MI78" s="119"/>
      <c r="MJ78" s="119"/>
      <c r="MK78" s="119"/>
      <c r="ML78" s="119"/>
      <c r="MM78" s="119"/>
      <c r="MN78" s="119"/>
      <c r="MO78" s="119"/>
      <c r="MP78" s="119"/>
      <c r="MQ78" s="119"/>
      <c r="MR78" s="119"/>
      <c r="MS78" s="119"/>
      <c r="MT78" s="119"/>
      <c r="MU78" s="119"/>
      <c r="MV78" s="119"/>
      <c r="MW78" s="119"/>
      <c r="MX78" s="119"/>
      <c r="MY78" s="119"/>
      <c r="MZ78" s="119"/>
      <c r="NA78" s="119"/>
      <c r="NB78" s="119"/>
      <c r="NC78" s="119"/>
      <c r="ND78" s="119"/>
      <c r="NE78" s="119"/>
      <c r="NF78" s="119"/>
      <c r="NG78" s="119"/>
      <c r="NH78" s="119"/>
      <c r="NI78" s="119"/>
      <c r="NJ78" s="119"/>
      <c r="NK78" s="119"/>
      <c r="NL78" s="119"/>
      <c r="NM78" s="119"/>
      <c r="NN78" s="119"/>
      <c r="NO78" s="119"/>
      <c r="NP78" s="119"/>
      <c r="NQ78" s="119"/>
      <c r="NR78" s="119"/>
      <c r="NS78" s="119"/>
      <c r="NT78" s="119"/>
      <c r="NU78" s="119"/>
      <c r="NV78" s="119"/>
      <c r="NW78" s="119"/>
      <c r="NX78" s="119"/>
      <c r="NY78" s="119"/>
      <c r="NZ78" s="119"/>
      <c r="OA78" s="119"/>
    </row>
    <row r="79" spans="1:391" x14ac:dyDescent="0.2">
      <c r="A79" s="499"/>
      <c r="B79" s="548" t="s">
        <v>369</v>
      </c>
      <c r="C79" s="187"/>
      <c r="D79" s="187"/>
      <c r="E79" s="187"/>
      <c r="F79" s="564">
        <f t="shared" ca="1" si="6"/>
        <v>-43388</v>
      </c>
      <c r="G79" s="556"/>
      <c r="H79" s="556"/>
      <c r="I79" s="556"/>
      <c r="J79" s="38" t="str">
        <f ca="1">IF(G79&gt;0,"COMPLETED",(IF(I79&gt;0,"ISSUE IDENTIFIED",(IF(TODAY()&gt;E79,"OVERDUE","In Progress")))))</f>
        <v>OVERDUE</v>
      </c>
      <c r="K79" s="557"/>
      <c r="BN79" s="119"/>
      <c r="BO79" s="119"/>
      <c r="BP79" s="119"/>
      <c r="BQ79" s="119"/>
      <c r="BR79" s="119"/>
      <c r="BS79" s="119"/>
      <c r="BT79" s="119"/>
      <c r="BU79" s="119"/>
      <c r="BV79" s="119"/>
      <c r="BW79" s="119"/>
      <c r="BX79" s="119"/>
      <c r="BY79" s="119"/>
      <c r="BZ79" s="119"/>
      <c r="CA79" s="119"/>
      <c r="CB79" s="119"/>
      <c r="CC79" s="119"/>
      <c r="CD79" s="119"/>
      <c r="CE79" s="119"/>
      <c r="CF79" s="119"/>
      <c r="CG79" s="119"/>
      <c r="CH79" s="119"/>
      <c r="CI79" s="119"/>
      <c r="CJ79" s="119"/>
      <c r="CK79" s="119"/>
      <c r="CL79" s="119"/>
      <c r="CM79" s="119"/>
      <c r="CN79" s="119"/>
      <c r="CO79" s="119"/>
      <c r="CP79" s="119"/>
      <c r="CQ79" s="119"/>
      <c r="CR79" s="119"/>
      <c r="CS79" s="119"/>
      <c r="CT79" s="119"/>
      <c r="CU79" s="119"/>
      <c r="CV79" s="119"/>
      <c r="CW79" s="119"/>
      <c r="CX79" s="119"/>
      <c r="CY79" s="119"/>
      <c r="CZ79" s="119"/>
      <c r="DA79" s="119"/>
      <c r="DB79" s="119"/>
      <c r="DC79" s="119"/>
      <c r="DD79" s="119"/>
      <c r="DE79" s="119"/>
      <c r="DF79" s="119"/>
      <c r="DG79" s="119"/>
      <c r="DH79" s="119"/>
      <c r="DI79" s="119"/>
      <c r="DJ79" s="119"/>
      <c r="DK79" s="119"/>
      <c r="DL79" s="119"/>
      <c r="DM79" s="119"/>
      <c r="DN79" s="119"/>
      <c r="DO79" s="119"/>
      <c r="DP79" s="119"/>
      <c r="DQ79" s="119"/>
      <c r="DR79" s="119"/>
      <c r="DS79" s="119"/>
      <c r="DT79" s="119"/>
      <c r="DU79" s="119"/>
      <c r="DV79" s="119"/>
      <c r="DW79" s="119"/>
      <c r="DX79" s="119"/>
      <c r="DY79" s="119"/>
      <c r="DZ79" s="119"/>
      <c r="EA79" s="119"/>
      <c r="EB79" s="119"/>
      <c r="EC79" s="119"/>
      <c r="ED79" s="119"/>
      <c r="EE79" s="119"/>
      <c r="EF79" s="119"/>
      <c r="EG79" s="119"/>
      <c r="EH79" s="119"/>
      <c r="EI79" s="119"/>
      <c r="EJ79" s="119"/>
      <c r="EK79" s="119"/>
      <c r="EL79" s="119"/>
      <c r="EM79" s="119"/>
      <c r="EN79" s="119"/>
      <c r="EO79" s="119"/>
      <c r="EP79" s="119"/>
      <c r="EQ79" s="119"/>
      <c r="ER79" s="119"/>
      <c r="ES79" s="119"/>
      <c r="ET79" s="119"/>
      <c r="EU79" s="119"/>
      <c r="EV79" s="119"/>
      <c r="EW79" s="119"/>
      <c r="EX79" s="119"/>
      <c r="EY79" s="119"/>
      <c r="EZ79" s="119"/>
      <c r="FA79" s="119"/>
      <c r="FB79" s="119"/>
      <c r="FC79" s="119"/>
      <c r="FD79" s="119"/>
      <c r="FE79" s="119"/>
      <c r="FF79" s="119"/>
      <c r="FG79" s="119"/>
      <c r="FH79" s="119"/>
      <c r="FI79" s="119"/>
      <c r="FJ79" s="119"/>
      <c r="FK79" s="119"/>
      <c r="FL79" s="119"/>
      <c r="FM79" s="119"/>
      <c r="FN79" s="119"/>
      <c r="FO79" s="119"/>
      <c r="FP79" s="119"/>
      <c r="FQ79" s="119"/>
      <c r="FR79" s="119"/>
      <c r="FS79" s="119"/>
      <c r="FT79" s="119"/>
      <c r="FU79" s="119"/>
      <c r="FV79" s="119"/>
      <c r="FW79" s="119"/>
      <c r="FX79" s="119"/>
      <c r="FY79" s="119"/>
      <c r="FZ79" s="119"/>
      <c r="GA79" s="119"/>
      <c r="GB79" s="119"/>
      <c r="GC79" s="119"/>
      <c r="GD79" s="119"/>
      <c r="GE79" s="119"/>
      <c r="GF79" s="119"/>
      <c r="GG79" s="119"/>
      <c r="GH79" s="119"/>
      <c r="GI79" s="119"/>
      <c r="GJ79" s="119"/>
      <c r="GK79" s="119"/>
      <c r="GL79" s="119"/>
      <c r="GM79" s="119"/>
      <c r="GN79" s="119"/>
      <c r="GO79" s="119"/>
      <c r="GP79" s="119"/>
      <c r="GQ79" s="119"/>
      <c r="GR79" s="119"/>
      <c r="GS79" s="119"/>
      <c r="GT79" s="119"/>
      <c r="GU79" s="119"/>
      <c r="GV79" s="119"/>
      <c r="GW79" s="119"/>
      <c r="GX79" s="119"/>
      <c r="GY79" s="119"/>
      <c r="GZ79" s="119"/>
      <c r="HA79" s="119"/>
      <c r="HB79" s="119"/>
      <c r="HC79" s="119"/>
      <c r="HD79" s="119"/>
      <c r="HE79" s="119"/>
      <c r="HF79" s="119"/>
      <c r="HG79" s="119"/>
      <c r="HH79" s="119"/>
      <c r="HI79" s="119"/>
      <c r="HJ79" s="119"/>
      <c r="HK79" s="119"/>
      <c r="HL79" s="119"/>
      <c r="HM79" s="119"/>
      <c r="HN79" s="119"/>
      <c r="HO79" s="119"/>
      <c r="HP79" s="119"/>
      <c r="HQ79" s="119"/>
      <c r="HR79" s="119"/>
      <c r="HS79" s="119"/>
      <c r="HT79" s="119"/>
      <c r="HU79" s="119"/>
      <c r="HV79" s="119"/>
      <c r="HW79" s="119"/>
      <c r="HX79" s="119"/>
      <c r="HY79" s="119"/>
      <c r="HZ79" s="119"/>
      <c r="IA79" s="119"/>
      <c r="IB79" s="119"/>
      <c r="IC79" s="119"/>
      <c r="ID79" s="119"/>
      <c r="IE79" s="119"/>
      <c r="IF79" s="119"/>
      <c r="IG79" s="119"/>
      <c r="IH79" s="119"/>
      <c r="II79" s="119"/>
      <c r="IJ79" s="119"/>
      <c r="IK79" s="119"/>
      <c r="IL79" s="119"/>
      <c r="IM79" s="119"/>
      <c r="IN79" s="119"/>
      <c r="IO79" s="119"/>
      <c r="IP79" s="119"/>
      <c r="IQ79" s="119"/>
      <c r="IR79" s="119"/>
      <c r="IS79" s="119"/>
      <c r="IT79" s="119"/>
      <c r="IU79" s="119"/>
      <c r="IV79" s="119"/>
      <c r="IW79" s="119"/>
      <c r="IX79" s="119"/>
      <c r="IY79" s="119"/>
      <c r="IZ79" s="119"/>
      <c r="JA79" s="119"/>
      <c r="JB79" s="119"/>
      <c r="JC79" s="119"/>
      <c r="JD79" s="119"/>
      <c r="JE79" s="119"/>
      <c r="JF79" s="119"/>
      <c r="JG79" s="119"/>
      <c r="JH79" s="119"/>
      <c r="JI79" s="119"/>
      <c r="JJ79" s="119"/>
      <c r="JK79" s="119"/>
      <c r="JL79" s="119"/>
      <c r="JM79" s="119"/>
      <c r="JN79" s="119"/>
      <c r="JO79" s="119"/>
      <c r="JP79" s="119"/>
      <c r="JQ79" s="119"/>
      <c r="JR79" s="119"/>
      <c r="JS79" s="119"/>
      <c r="JT79" s="119"/>
      <c r="JU79" s="119"/>
      <c r="JV79" s="119"/>
      <c r="JW79" s="119"/>
      <c r="JX79" s="119"/>
      <c r="JY79" s="119"/>
      <c r="JZ79" s="119"/>
      <c r="KA79" s="119"/>
      <c r="KB79" s="119"/>
      <c r="KC79" s="119"/>
      <c r="KD79" s="119"/>
      <c r="KE79" s="119"/>
      <c r="KF79" s="119"/>
      <c r="KG79" s="119"/>
      <c r="KH79" s="119"/>
      <c r="KI79" s="119"/>
      <c r="KJ79" s="119"/>
      <c r="KK79" s="119"/>
      <c r="KL79" s="119"/>
      <c r="KM79" s="119"/>
      <c r="KN79" s="119"/>
      <c r="KO79" s="119"/>
      <c r="KP79" s="119"/>
      <c r="KQ79" s="119"/>
      <c r="KR79" s="119"/>
      <c r="KS79" s="119"/>
      <c r="KT79" s="119"/>
      <c r="KU79" s="119"/>
      <c r="KV79" s="119"/>
      <c r="KW79" s="119"/>
      <c r="KX79" s="119"/>
      <c r="KY79" s="119"/>
      <c r="KZ79" s="119"/>
      <c r="LA79" s="119"/>
      <c r="LB79" s="119"/>
      <c r="LC79" s="119"/>
      <c r="LD79" s="119"/>
      <c r="LE79" s="119"/>
      <c r="LF79" s="119"/>
      <c r="LG79" s="119"/>
      <c r="LH79" s="119"/>
      <c r="LI79" s="119"/>
      <c r="LJ79" s="119"/>
      <c r="LK79" s="119"/>
      <c r="LL79" s="119"/>
      <c r="LM79" s="119"/>
      <c r="LN79" s="119"/>
      <c r="LO79" s="119"/>
      <c r="LP79" s="119"/>
      <c r="LQ79" s="119"/>
      <c r="LR79" s="119"/>
      <c r="LS79" s="119"/>
      <c r="LT79" s="119"/>
      <c r="LU79" s="119"/>
      <c r="LV79" s="119"/>
      <c r="LW79" s="119"/>
      <c r="LX79" s="119"/>
      <c r="LY79" s="119"/>
      <c r="LZ79" s="119"/>
      <c r="MA79" s="119"/>
      <c r="MB79" s="119"/>
      <c r="MC79" s="119"/>
      <c r="MD79" s="119"/>
      <c r="ME79" s="119"/>
      <c r="MF79" s="119"/>
      <c r="MG79" s="119"/>
      <c r="MH79" s="119"/>
      <c r="MI79" s="119"/>
      <c r="MJ79" s="119"/>
      <c r="MK79" s="119"/>
      <c r="ML79" s="119"/>
      <c r="MM79" s="119"/>
      <c r="MN79" s="119"/>
      <c r="MO79" s="119"/>
      <c r="MP79" s="119"/>
      <c r="MQ79" s="119"/>
      <c r="MR79" s="119"/>
      <c r="MS79" s="119"/>
      <c r="MT79" s="119"/>
      <c r="MU79" s="119"/>
      <c r="MV79" s="119"/>
      <c r="MW79" s="119"/>
      <c r="MX79" s="119"/>
      <c r="MY79" s="119"/>
      <c r="MZ79" s="119"/>
      <c r="NA79" s="119"/>
      <c r="NB79" s="119"/>
      <c r="NC79" s="119"/>
      <c r="ND79" s="119"/>
      <c r="NE79" s="119"/>
      <c r="NF79" s="119"/>
      <c r="NG79" s="119"/>
      <c r="NH79" s="119"/>
      <c r="NI79" s="119"/>
      <c r="NJ79" s="119"/>
      <c r="NK79" s="119"/>
      <c r="NL79" s="119"/>
      <c r="NM79" s="119"/>
      <c r="NN79" s="119"/>
      <c r="NO79" s="119"/>
      <c r="NP79" s="119"/>
      <c r="NQ79" s="119"/>
      <c r="NR79" s="119"/>
      <c r="NS79" s="119"/>
      <c r="NT79" s="119"/>
      <c r="NU79" s="119"/>
      <c r="NV79" s="119"/>
      <c r="NW79" s="119"/>
      <c r="NX79" s="119"/>
      <c r="NY79" s="119"/>
      <c r="NZ79" s="119"/>
      <c r="OA79" s="119"/>
    </row>
    <row r="80" spans="1:391" ht="14.25" customHeight="1" x14ac:dyDescent="0.2">
      <c r="A80" s="499"/>
      <c r="B80" s="548" t="s">
        <v>370</v>
      </c>
      <c r="C80" s="187"/>
      <c r="D80" s="187"/>
      <c r="E80" s="185"/>
      <c r="F80" s="564">
        <f t="shared" ca="1" si="6"/>
        <v>-43388</v>
      </c>
      <c r="G80" s="556"/>
      <c r="H80" s="556"/>
      <c r="I80" s="556"/>
      <c r="J80" s="38" t="str">
        <f ca="1">IF(G80&gt;0,"COMPLETED",(IF(I80&gt;0,"ISSUE IDENTIFIED",(IF(TODAY()&gt;E80,"OVERDUE","In Progress")))))</f>
        <v>OVERDUE</v>
      </c>
      <c r="K80" s="557"/>
      <c r="BN80" s="119"/>
      <c r="BO80" s="119"/>
      <c r="BP80" s="119"/>
      <c r="BQ80" s="119"/>
      <c r="BR80" s="119"/>
      <c r="BS80" s="119"/>
      <c r="BT80" s="119"/>
      <c r="BU80" s="119"/>
      <c r="BV80" s="119"/>
      <c r="BW80" s="119"/>
      <c r="BX80" s="119"/>
      <c r="BY80" s="119"/>
      <c r="BZ80" s="119"/>
      <c r="CA80" s="119"/>
      <c r="CB80" s="119"/>
      <c r="CC80" s="119"/>
      <c r="CD80" s="119"/>
      <c r="CE80" s="119"/>
      <c r="CF80" s="119"/>
      <c r="CG80" s="119"/>
      <c r="CH80" s="119"/>
      <c r="CI80" s="119"/>
      <c r="CJ80" s="119"/>
      <c r="CK80" s="119"/>
      <c r="CL80" s="119"/>
      <c r="CM80" s="119"/>
      <c r="CN80" s="119"/>
      <c r="CO80" s="119"/>
      <c r="CP80" s="119"/>
      <c r="CQ80" s="119"/>
      <c r="CR80" s="119"/>
      <c r="CS80" s="119"/>
      <c r="CT80" s="119"/>
      <c r="CU80" s="119"/>
      <c r="CV80" s="119"/>
      <c r="CW80" s="119"/>
      <c r="CX80" s="119"/>
      <c r="CY80" s="119"/>
      <c r="CZ80" s="119"/>
      <c r="DA80" s="119"/>
      <c r="DB80" s="119"/>
      <c r="DC80" s="119"/>
      <c r="DD80" s="119"/>
      <c r="DE80" s="119"/>
      <c r="DF80" s="119"/>
      <c r="DG80" s="119"/>
      <c r="DH80" s="119"/>
      <c r="DI80" s="119"/>
      <c r="DJ80" s="119"/>
      <c r="DK80" s="119"/>
      <c r="DL80" s="119"/>
      <c r="DM80" s="119"/>
      <c r="DN80" s="119"/>
      <c r="DO80" s="119"/>
      <c r="DP80" s="119"/>
      <c r="DQ80" s="119"/>
      <c r="DR80" s="119"/>
      <c r="DS80" s="119"/>
      <c r="DT80" s="119"/>
      <c r="DU80" s="119"/>
      <c r="DV80" s="119"/>
      <c r="DW80" s="119"/>
      <c r="DX80" s="119"/>
      <c r="DY80" s="119"/>
      <c r="DZ80" s="119"/>
      <c r="EA80" s="119"/>
      <c r="EB80" s="119"/>
      <c r="EC80" s="119"/>
      <c r="ED80" s="119"/>
      <c r="EE80" s="119"/>
      <c r="EF80" s="119"/>
      <c r="EG80" s="119"/>
      <c r="EH80" s="119"/>
      <c r="EI80" s="119"/>
      <c r="EJ80" s="119"/>
      <c r="EK80" s="119"/>
      <c r="EL80" s="119"/>
      <c r="EM80" s="119"/>
      <c r="EN80" s="119"/>
      <c r="EO80" s="119"/>
      <c r="EP80" s="119"/>
      <c r="EQ80" s="119"/>
      <c r="ER80" s="119"/>
      <c r="ES80" s="119"/>
      <c r="ET80" s="119"/>
      <c r="EU80" s="119"/>
      <c r="EV80" s="119"/>
      <c r="EW80" s="119"/>
      <c r="EX80" s="119"/>
      <c r="EY80" s="119"/>
      <c r="EZ80" s="119"/>
      <c r="FA80" s="119"/>
      <c r="FB80" s="119"/>
      <c r="FC80" s="119"/>
      <c r="FD80" s="119"/>
      <c r="FE80" s="119"/>
      <c r="FF80" s="119"/>
      <c r="FG80" s="119"/>
      <c r="FH80" s="119"/>
      <c r="FI80" s="119"/>
      <c r="FJ80" s="119"/>
      <c r="FK80" s="119"/>
      <c r="FL80" s="119"/>
      <c r="FM80" s="119"/>
      <c r="FN80" s="119"/>
      <c r="FO80" s="119"/>
      <c r="FP80" s="119"/>
      <c r="FQ80" s="119"/>
      <c r="FR80" s="119"/>
      <c r="FS80" s="119"/>
      <c r="FT80" s="119"/>
      <c r="FU80" s="119"/>
      <c r="FV80" s="119"/>
      <c r="FW80" s="119"/>
      <c r="FX80" s="119"/>
      <c r="FY80" s="119"/>
      <c r="FZ80" s="119"/>
      <c r="GA80" s="119"/>
      <c r="GB80" s="119"/>
      <c r="GC80" s="119"/>
      <c r="GD80" s="119"/>
      <c r="GE80" s="119"/>
      <c r="GF80" s="119"/>
      <c r="GG80" s="119"/>
      <c r="GH80" s="119"/>
      <c r="GI80" s="119"/>
      <c r="GJ80" s="119"/>
      <c r="GK80" s="119"/>
      <c r="GL80" s="119"/>
      <c r="GM80" s="119"/>
      <c r="GN80" s="119"/>
      <c r="GO80" s="119"/>
      <c r="GP80" s="119"/>
      <c r="GQ80" s="119"/>
      <c r="GR80" s="119"/>
      <c r="GS80" s="119"/>
      <c r="GT80" s="119"/>
      <c r="GU80" s="119"/>
      <c r="GV80" s="119"/>
      <c r="GW80" s="119"/>
      <c r="GX80" s="119"/>
      <c r="GY80" s="119"/>
      <c r="GZ80" s="119"/>
      <c r="HA80" s="119"/>
      <c r="HB80" s="119"/>
      <c r="HC80" s="119"/>
      <c r="HD80" s="119"/>
      <c r="HE80" s="119"/>
      <c r="HF80" s="119"/>
      <c r="HG80" s="119"/>
      <c r="HH80" s="119"/>
      <c r="HI80" s="119"/>
      <c r="HJ80" s="119"/>
      <c r="HK80" s="119"/>
      <c r="HL80" s="119"/>
      <c r="HM80" s="119"/>
      <c r="HN80" s="119"/>
      <c r="HO80" s="119"/>
      <c r="HP80" s="119"/>
      <c r="HQ80" s="119"/>
      <c r="HR80" s="119"/>
      <c r="HS80" s="119"/>
      <c r="HT80" s="119"/>
      <c r="HU80" s="119"/>
      <c r="HV80" s="119"/>
      <c r="HW80" s="119"/>
      <c r="HX80" s="119"/>
      <c r="HY80" s="119"/>
      <c r="HZ80" s="119"/>
      <c r="IA80" s="119"/>
      <c r="IB80" s="119"/>
      <c r="IC80" s="119"/>
      <c r="ID80" s="119"/>
      <c r="IE80" s="119"/>
      <c r="IF80" s="119"/>
      <c r="IG80" s="119"/>
      <c r="IH80" s="119"/>
      <c r="II80" s="119"/>
      <c r="IJ80" s="119"/>
      <c r="IK80" s="119"/>
      <c r="IL80" s="119"/>
      <c r="IM80" s="119"/>
      <c r="IN80" s="119"/>
      <c r="IO80" s="119"/>
      <c r="IP80" s="119"/>
      <c r="IQ80" s="119"/>
      <c r="IR80" s="119"/>
      <c r="IS80" s="119"/>
      <c r="IT80" s="119"/>
      <c r="IU80" s="119"/>
      <c r="IV80" s="119"/>
      <c r="IW80" s="119"/>
      <c r="IX80" s="119"/>
      <c r="IY80" s="119"/>
      <c r="IZ80" s="119"/>
      <c r="JA80" s="119"/>
      <c r="JB80" s="119"/>
      <c r="JC80" s="119"/>
      <c r="JD80" s="119"/>
      <c r="JE80" s="119"/>
      <c r="JF80" s="119"/>
      <c r="JG80" s="119"/>
      <c r="JH80" s="119"/>
      <c r="JI80" s="119"/>
      <c r="JJ80" s="119"/>
      <c r="JK80" s="119"/>
      <c r="JL80" s="119"/>
      <c r="JM80" s="119"/>
      <c r="JN80" s="119"/>
      <c r="JO80" s="119"/>
      <c r="JP80" s="119"/>
      <c r="JQ80" s="119"/>
      <c r="JR80" s="119"/>
      <c r="JS80" s="119"/>
      <c r="JT80" s="119"/>
      <c r="JU80" s="119"/>
      <c r="JV80" s="119"/>
      <c r="JW80" s="119"/>
      <c r="JX80" s="119"/>
      <c r="JY80" s="119"/>
      <c r="JZ80" s="119"/>
      <c r="KA80" s="119"/>
      <c r="KB80" s="119"/>
      <c r="KC80" s="119"/>
      <c r="KD80" s="119"/>
      <c r="KE80" s="119"/>
      <c r="KF80" s="119"/>
      <c r="KG80" s="119"/>
      <c r="KH80" s="119"/>
      <c r="KI80" s="119"/>
      <c r="KJ80" s="119"/>
      <c r="KK80" s="119"/>
      <c r="KL80" s="119"/>
      <c r="KM80" s="119"/>
      <c r="KN80" s="119"/>
      <c r="KO80" s="119"/>
      <c r="KP80" s="119"/>
      <c r="KQ80" s="119"/>
      <c r="KR80" s="119"/>
      <c r="KS80" s="119"/>
      <c r="KT80" s="119"/>
      <c r="KU80" s="119"/>
      <c r="KV80" s="119"/>
      <c r="KW80" s="119"/>
      <c r="KX80" s="119"/>
      <c r="KY80" s="119"/>
      <c r="KZ80" s="119"/>
      <c r="LA80" s="119"/>
      <c r="LB80" s="119"/>
      <c r="LC80" s="119"/>
      <c r="LD80" s="119"/>
      <c r="LE80" s="119"/>
      <c r="LF80" s="119"/>
      <c r="LG80" s="119"/>
      <c r="LH80" s="119"/>
      <c r="LI80" s="119"/>
      <c r="LJ80" s="119"/>
      <c r="LK80" s="119"/>
      <c r="LL80" s="119"/>
      <c r="LM80" s="119"/>
      <c r="LN80" s="119"/>
      <c r="LO80" s="119"/>
      <c r="LP80" s="119"/>
      <c r="LQ80" s="119"/>
      <c r="LR80" s="119"/>
      <c r="LS80" s="119"/>
      <c r="LT80" s="119"/>
      <c r="LU80" s="119"/>
      <c r="LV80" s="119"/>
      <c r="LW80" s="119"/>
      <c r="LX80" s="119"/>
      <c r="LY80" s="119"/>
      <c r="LZ80" s="119"/>
      <c r="MA80" s="119"/>
      <c r="MB80" s="119"/>
      <c r="MC80" s="119"/>
      <c r="MD80" s="119"/>
      <c r="ME80" s="119"/>
      <c r="MF80" s="119"/>
      <c r="MG80" s="119"/>
      <c r="MH80" s="119"/>
      <c r="MI80" s="119"/>
      <c r="MJ80" s="119"/>
      <c r="MK80" s="119"/>
      <c r="ML80" s="119"/>
      <c r="MM80" s="119"/>
      <c r="MN80" s="119"/>
      <c r="MO80" s="119"/>
      <c r="MP80" s="119"/>
      <c r="MQ80" s="119"/>
      <c r="MR80" s="119"/>
      <c r="MS80" s="119"/>
      <c r="MT80" s="119"/>
      <c r="MU80" s="119"/>
      <c r="MV80" s="119"/>
      <c r="MW80" s="119"/>
      <c r="MX80" s="119"/>
      <c r="MY80" s="119"/>
      <c r="MZ80" s="119"/>
      <c r="NA80" s="119"/>
      <c r="NB80" s="119"/>
      <c r="NC80" s="119"/>
      <c r="ND80" s="119"/>
      <c r="NE80" s="119"/>
      <c r="NF80" s="119"/>
      <c r="NG80" s="119"/>
      <c r="NH80" s="119"/>
      <c r="NI80" s="119"/>
      <c r="NJ80" s="119"/>
      <c r="NK80" s="119"/>
      <c r="NL80" s="119"/>
      <c r="NM80" s="119"/>
      <c r="NN80" s="119"/>
      <c r="NO80" s="119"/>
      <c r="NP80" s="119"/>
      <c r="NQ80" s="119"/>
      <c r="NR80" s="119"/>
      <c r="NS80" s="119"/>
      <c r="NT80" s="119"/>
      <c r="NU80" s="119"/>
      <c r="NV80" s="119"/>
      <c r="NW80" s="119"/>
      <c r="NX80" s="119"/>
      <c r="NY80" s="119"/>
      <c r="NZ80" s="119"/>
      <c r="OA80" s="119"/>
    </row>
    <row r="81" spans="1:391" ht="14.25" customHeight="1" x14ac:dyDescent="0.25">
      <c r="A81" s="499"/>
      <c r="B81" s="550" t="s">
        <v>371</v>
      </c>
      <c r="C81" s="187"/>
      <c r="D81" s="551"/>
      <c r="E81" s="551"/>
      <c r="F81" s="564">
        <f t="shared" ca="1" si="6"/>
        <v>-43388</v>
      </c>
      <c r="G81" s="556"/>
      <c r="H81" s="556"/>
      <c r="I81" s="556"/>
      <c r="J81" s="38" t="str">
        <f ca="1">IF(AND(J82="completed",J83="completed",J84="completed",J85="completed",J86="completed",J87="completed",J88="completed"),"Deliverable Completed","DELIVERABLE STILL IN PROGRESS")</f>
        <v>DELIVERABLE STILL IN PROGRESS</v>
      </c>
      <c r="K81" s="557"/>
      <c r="BN81" s="119"/>
      <c r="BO81" s="119"/>
      <c r="BP81" s="119"/>
      <c r="BQ81" s="119"/>
      <c r="BR81" s="119"/>
      <c r="BS81" s="119"/>
      <c r="BT81" s="119"/>
      <c r="BU81" s="119"/>
      <c r="BV81" s="119"/>
      <c r="BW81" s="119"/>
      <c r="BX81" s="119"/>
      <c r="BY81" s="119"/>
      <c r="BZ81" s="119"/>
      <c r="CA81" s="119"/>
      <c r="CB81" s="119"/>
      <c r="CC81" s="119"/>
      <c r="CD81" s="119"/>
      <c r="CE81" s="119"/>
      <c r="CF81" s="119"/>
      <c r="CG81" s="119"/>
      <c r="CH81" s="119"/>
      <c r="CI81" s="119"/>
      <c r="CJ81" s="119"/>
      <c r="CK81" s="119"/>
      <c r="CL81" s="119"/>
      <c r="CM81" s="119"/>
      <c r="CN81" s="119"/>
      <c r="CO81" s="119"/>
      <c r="CP81" s="119"/>
      <c r="CQ81" s="119"/>
      <c r="CR81" s="119"/>
      <c r="CS81" s="119"/>
      <c r="CT81" s="119"/>
      <c r="CU81" s="119"/>
      <c r="CV81" s="119"/>
      <c r="CW81" s="119"/>
      <c r="CX81" s="119"/>
      <c r="CY81" s="119"/>
      <c r="CZ81" s="119"/>
      <c r="DA81" s="119"/>
      <c r="DB81" s="119"/>
      <c r="DC81" s="119"/>
      <c r="DD81" s="119"/>
      <c r="DE81" s="119"/>
      <c r="DF81" s="119"/>
      <c r="DG81" s="119"/>
      <c r="DH81" s="119"/>
      <c r="DI81" s="119"/>
      <c r="DJ81" s="119"/>
      <c r="DK81" s="119"/>
      <c r="DL81" s="119"/>
      <c r="DM81" s="119"/>
      <c r="DN81" s="119"/>
      <c r="DO81" s="119"/>
      <c r="DP81" s="119"/>
      <c r="DQ81" s="119"/>
      <c r="DR81" s="119"/>
      <c r="DS81" s="119"/>
      <c r="DT81" s="119"/>
      <c r="DU81" s="119"/>
      <c r="DV81" s="119"/>
      <c r="DW81" s="119"/>
      <c r="DX81" s="119"/>
      <c r="DY81" s="119"/>
      <c r="DZ81" s="119"/>
      <c r="EA81" s="119"/>
      <c r="EB81" s="119"/>
      <c r="EC81" s="119"/>
      <c r="ED81" s="119"/>
      <c r="EE81" s="119"/>
      <c r="EF81" s="119"/>
      <c r="EG81" s="119"/>
      <c r="EH81" s="119"/>
      <c r="EI81" s="119"/>
      <c r="EJ81" s="119"/>
      <c r="EK81" s="119"/>
      <c r="EL81" s="119"/>
      <c r="EM81" s="119"/>
      <c r="EN81" s="119"/>
      <c r="EO81" s="119"/>
      <c r="EP81" s="119"/>
      <c r="EQ81" s="119"/>
      <c r="ER81" s="119"/>
      <c r="ES81" s="119"/>
      <c r="ET81" s="119"/>
      <c r="EU81" s="119"/>
      <c r="EV81" s="119"/>
      <c r="EW81" s="119"/>
      <c r="EX81" s="119"/>
      <c r="EY81" s="119"/>
      <c r="EZ81" s="119"/>
      <c r="FA81" s="119"/>
      <c r="FB81" s="119"/>
      <c r="FC81" s="119"/>
      <c r="FD81" s="119"/>
      <c r="FE81" s="119"/>
      <c r="FF81" s="119"/>
      <c r="FG81" s="119"/>
      <c r="FH81" s="119"/>
      <c r="FI81" s="119"/>
      <c r="FJ81" s="119"/>
      <c r="FK81" s="119"/>
      <c r="FL81" s="119"/>
      <c r="FM81" s="119"/>
      <c r="FN81" s="119"/>
      <c r="FO81" s="119"/>
      <c r="FP81" s="119"/>
      <c r="FQ81" s="119"/>
      <c r="FR81" s="119"/>
      <c r="FS81" s="119"/>
      <c r="FT81" s="119"/>
      <c r="FU81" s="119"/>
      <c r="FV81" s="119"/>
      <c r="FW81" s="119"/>
      <c r="FX81" s="119"/>
      <c r="FY81" s="119"/>
      <c r="FZ81" s="119"/>
      <c r="GA81" s="119"/>
      <c r="GB81" s="119"/>
      <c r="GC81" s="119"/>
      <c r="GD81" s="119"/>
      <c r="GE81" s="119"/>
      <c r="GF81" s="119"/>
      <c r="GG81" s="119"/>
      <c r="GH81" s="119"/>
      <c r="GI81" s="119"/>
      <c r="GJ81" s="119"/>
      <c r="GK81" s="119"/>
      <c r="GL81" s="119"/>
      <c r="GM81" s="119"/>
      <c r="GN81" s="119"/>
      <c r="GO81" s="119"/>
      <c r="GP81" s="119"/>
      <c r="GQ81" s="119"/>
      <c r="GR81" s="119"/>
      <c r="GS81" s="119"/>
      <c r="GT81" s="119"/>
      <c r="GU81" s="119"/>
      <c r="GV81" s="119"/>
      <c r="GW81" s="119"/>
      <c r="GX81" s="119"/>
      <c r="GY81" s="119"/>
      <c r="GZ81" s="119"/>
      <c r="HA81" s="119"/>
      <c r="HB81" s="119"/>
      <c r="HC81" s="119"/>
      <c r="HD81" s="119"/>
      <c r="HE81" s="119"/>
      <c r="HF81" s="119"/>
      <c r="HG81" s="119"/>
      <c r="HH81" s="119"/>
      <c r="HI81" s="119"/>
      <c r="HJ81" s="119"/>
      <c r="HK81" s="119"/>
      <c r="HL81" s="119"/>
      <c r="HM81" s="119"/>
      <c r="HN81" s="119"/>
      <c r="HO81" s="119"/>
      <c r="HP81" s="119"/>
      <c r="HQ81" s="119"/>
      <c r="HR81" s="119"/>
      <c r="HS81" s="119"/>
      <c r="HT81" s="119"/>
      <c r="HU81" s="119"/>
      <c r="HV81" s="119"/>
      <c r="HW81" s="119"/>
      <c r="HX81" s="119"/>
      <c r="HY81" s="119"/>
      <c r="HZ81" s="119"/>
      <c r="IA81" s="119"/>
      <c r="IB81" s="119"/>
      <c r="IC81" s="119"/>
      <c r="ID81" s="119"/>
      <c r="IE81" s="119"/>
      <c r="IF81" s="119"/>
      <c r="IG81" s="119"/>
      <c r="IH81" s="119"/>
      <c r="II81" s="119"/>
      <c r="IJ81" s="119"/>
      <c r="IK81" s="119"/>
      <c r="IL81" s="119"/>
      <c r="IM81" s="119"/>
      <c r="IN81" s="119"/>
      <c r="IO81" s="119"/>
      <c r="IP81" s="119"/>
      <c r="IQ81" s="119"/>
      <c r="IR81" s="119"/>
      <c r="IS81" s="119"/>
      <c r="IT81" s="119"/>
      <c r="IU81" s="119"/>
      <c r="IV81" s="119"/>
      <c r="IW81" s="119"/>
      <c r="IX81" s="119"/>
      <c r="IY81" s="119"/>
      <c r="IZ81" s="119"/>
      <c r="JA81" s="119"/>
      <c r="JB81" s="119"/>
      <c r="JC81" s="119"/>
      <c r="JD81" s="119"/>
      <c r="JE81" s="119"/>
      <c r="JF81" s="119"/>
      <c r="JG81" s="119"/>
      <c r="JH81" s="119"/>
      <c r="JI81" s="119"/>
      <c r="JJ81" s="119"/>
      <c r="JK81" s="119"/>
      <c r="JL81" s="119"/>
      <c r="JM81" s="119"/>
      <c r="JN81" s="119"/>
      <c r="JO81" s="119"/>
      <c r="JP81" s="119"/>
      <c r="JQ81" s="119"/>
      <c r="JR81" s="119"/>
      <c r="JS81" s="119"/>
      <c r="JT81" s="119"/>
      <c r="JU81" s="119"/>
      <c r="JV81" s="119"/>
      <c r="JW81" s="119"/>
      <c r="JX81" s="119"/>
      <c r="JY81" s="119"/>
      <c r="JZ81" s="119"/>
      <c r="KA81" s="119"/>
      <c r="KB81" s="119"/>
      <c r="KC81" s="119"/>
      <c r="KD81" s="119"/>
      <c r="KE81" s="119"/>
      <c r="KF81" s="119"/>
      <c r="KG81" s="119"/>
      <c r="KH81" s="119"/>
      <c r="KI81" s="119"/>
      <c r="KJ81" s="119"/>
      <c r="KK81" s="119"/>
      <c r="KL81" s="119"/>
      <c r="KM81" s="119"/>
      <c r="KN81" s="119"/>
      <c r="KO81" s="119"/>
      <c r="KP81" s="119"/>
      <c r="KQ81" s="119"/>
      <c r="KR81" s="119"/>
      <c r="KS81" s="119"/>
      <c r="KT81" s="119"/>
      <c r="KU81" s="119"/>
      <c r="KV81" s="119"/>
      <c r="KW81" s="119"/>
      <c r="KX81" s="119"/>
      <c r="KY81" s="119"/>
      <c r="KZ81" s="119"/>
      <c r="LA81" s="119"/>
      <c r="LB81" s="119"/>
      <c r="LC81" s="119"/>
      <c r="LD81" s="119"/>
      <c r="LE81" s="119"/>
      <c r="LF81" s="119"/>
      <c r="LG81" s="119"/>
      <c r="LH81" s="119"/>
      <c r="LI81" s="119"/>
      <c r="LJ81" s="119"/>
      <c r="LK81" s="119"/>
      <c r="LL81" s="119"/>
      <c r="LM81" s="119"/>
      <c r="LN81" s="119"/>
      <c r="LO81" s="119"/>
      <c r="LP81" s="119"/>
      <c r="LQ81" s="119"/>
      <c r="LR81" s="119"/>
      <c r="LS81" s="119"/>
      <c r="LT81" s="119"/>
      <c r="LU81" s="119"/>
      <c r="LV81" s="119"/>
      <c r="LW81" s="119"/>
      <c r="LX81" s="119"/>
      <c r="LY81" s="119"/>
      <c r="LZ81" s="119"/>
      <c r="MA81" s="119"/>
      <c r="MB81" s="119"/>
      <c r="MC81" s="119"/>
      <c r="MD81" s="119"/>
      <c r="ME81" s="119"/>
      <c r="MF81" s="119"/>
      <c r="MG81" s="119"/>
      <c r="MH81" s="119"/>
      <c r="MI81" s="119"/>
      <c r="MJ81" s="119"/>
      <c r="MK81" s="119"/>
      <c r="ML81" s="119"/>
      <c r="MM81" s="119"/>
      <c r="MN81" s="119"/>
      <c r="MO81" s="119"/>
      <c r="MP81" s="119"/>
      <c r="MQ81" s="119"/>
      <c r="MR81" s="119"/>
      <c r="MS81" s="119"/>
      <c r="MT81" s="119"/>
      <c r="MU81" s="119"/>
      <c r="MV81" s="119"/>
      <c r="MW81" s="119"/>
      <c r="MX81" s="119"/>
      <c r="MY81" s="119"/>
      <c r="MZ81" s="119"/>
      <c r="NA81" s="119"/>
      <c r="NB81" s="119"/>
      <c r="NC81" s="119"/>
      <c r="ND81" s="119"/>
      <c r="NE81" s="119"/>
      <c r="NF81" s="119"/>
      <c r="NG81" s="119"/>
      <c r="NH81" s="119"/>
      <c r="NI81" s="119"/>
      <c r="NJ81" s="119"/>
      <c r="NK81" s="119"/>
      <c r="NL81" s="119"/>
      <c r="NM81" s="119"/>
      <c r="NN81" s="119"/>
      <c r="NO81" s="119"/>
      <c r="NP81" s="119"/>
      <c r="NQ81" s="119"/>
      <c r="NR81" s="119"/>
      <c r="NS81" s="119"/>
      <c r="NT81" s="119"/>
      <c r="NU81" s="119"/>
      <c r="NV81" s="119"/>
      <c r="NW81" s="119"/>
      <c r="NX81" s="119"/>
      <c r="NY81" s="119"/>
      <c r="NZ81" s="119"/>
      <c r="OA81" s="119"/>
    </row>
    <row r="82" spans="1:391" ht="14.25" customHeight="1" x14ac:dyDescent="0.2">
      <c r="A82" s="499"/>
      <c r="B82" s="548" t="s">
        <v>372</v>
      </c>
      <c r="C82" s="187"/>
      <c r="D82" s="187"/>
      <c r="E82" s="187"/>
      <c r="F82" s="564">
        <f t="shared" ca="1" si="6"/>
        <v>-43388</v>
      </c>
      <c r="G82" s="556"/>
      <c r="H82" s="556"/>
      <c r="I82" s="556"/>
      <c r="J82" s="38" t="str">
        <f t="shared" ref="J82:J88" ca="1" si="7">IF(G82&gt;0,"COMPLETED",(IF(I82&gt;0,"ISSUE IDENTIFIED",(IF(TODAY()&gt;E82,"OVERDUE","In Progress")))))</f>
        <v>OVERDUE</v>
      </c>
      <c r="K82" s="557"/>
      <c r="BN82" s="119"/>
      <c r="BO82" s="119"/>
      <c r="BP82" s="119"/>
      <c r="BQ82" s="119"/>
      <c r="BR82" s="119"/>
      <c r="BS82" s="119"/>
      <c r="BT82" s="119"/>
      <c r="BU82" s="119"/>
      <c r="BV82" s="119"/>
      <c r="BW82" s="119"/>
      <c r="BX82" s="119"/>
      <c r="BY82" s="119"/>
      <c r="BZ82" s="119"/>
      <c r="CA82" s="119"/>
      <c r="CB82" s="119"/>
      <c r="CC82" s="119"/>
      <c r="CD82" s="119"/>
      <c r="CE82" s="119"/>
      <c r="CF82" s="119"/>
      <c r="CG82" s="119"/>
      <c r="CH82" s="119"/>
      <c r="CI82" s="119"/>
      <c r="CJ82" s="119"/>
      <c r="CK82" s="119"/>
      <c r="CL82" s="119"/>
      <c r="CM82" s="119"/>
      <c r="CN82" s="119"/>
      <c r="CO82" s="119"/>
      <c r="CP82" s="119"/>
      <c r="CQ82" s="119"/>
      <c r="CR82" s="119"/>
      <c r="CS82" s="119"/>
      <c r="CT82" s="119"/>
      <c r="CU82" s="119"/>
      <c r="CV82" s="119"/>
      <c r="CW82" s="119"/>
      <c r="CX82" s="119"/>
      <c r="CY82" s="119"/>
      <c r="CZ82" s="119"/>
      <c r="DA82" s="119"/>
      <c r="DB82" s="119"/>
      <c r="DC82" s="119"/>
      <c r="DD82" s="119"/>
      <c r="DE82" s="119"/>
      <c r="DF82" s="119"/>
      <c r="DG82" s="119"/>
      <c r="DH82" s="119"/>
      <c r="DI82" s="119"/>
      <c r="DJ82" s="119"/>
      <c r="DK82" s="119"/>
      <c r="DL82" s="119"/>
      <c r="DM82" s="119"/>
      <c r="DN82" s="119"/>
      <c r="DO82" s="119"/>
      <c r="DP82" s="119"/>
      <c r="DQ82" s="119"/>
      <c r="DR82" s="119"/>
      <c r="DS82" s="119"/>
      <c r="DT82" s="119"/>
      <c r="DU82" s="119"/>
      <c r="DV82" s="119"/>
      <c r="DW82" s="119"/>
      <c r="DX82" s="119"/>
      <c r="DY82" s="119"/>
      <c r="DZ82" s="119"/>
      <c r="EA82" s="119"/>
      <c r="EB82" s="119"/>
      <c r="EC82" s="119"/>
      <c r="ED82" s="119"/>
      <c r="EE82" s="119"/>
      <c r="EF82" s="119"/>
      <c r="EG82" s="119"/>
      <c r="EH82" s="119"/>
      <c r="EI82" s="119"/>
      <c r="EJ82" s="119"/>
      <c r="EK82" s="119"/>
      <c r="EL82" s="119"/>
      <c r="EM82" s="119"/>
      <c r="EN82" s="119"/>
      <c r="EO82" s="119"/>
      <c r="EP82" s="119"/>
      <c r="EQ82" s="119"/>
      <c r="ER82" s="119"/>
      <c r="ES82" s="119"/>
      <c r="ET82" s="119"/>
      <c r="EU82" s="119"/>
      <c r="EV82" s="119"/>
      <c r="EW82" s="119"/>
      <c r="EX82" s="119"/>
      <c r="EY82" s="119"/>
      <c r="EZ82" s="119"/>
      <c r="FA82" s="119"/>
      <c r="FB82" s="119"/>
      <c r="FC82" s="119"/>
      <c r="FD82" s="119"/>
      <c r="FE82" s="119"/>
      <c r="FF82" s="119"/>
      <c r="FG82" s="119"/>
      <c r="FH82" s="119"/>
      <c r="FI82" s="119"/>
      <c r="FJ82" s="119"/>
      <c r="FK82" s="119"/>
      <c r="FL82" s="119"/>
      <c r="FM82" s="119"/>
      <c r="FN82" s="119"/>
      <c r="FO82" s="119"/>
      <c r="FP82" s="119"/>
      <c r="FQ82" s="119"/>
      <c r="FR82" s="119"/>
      <c r="FS82" s="119"/>
      <c r="FT82" s="119"/>
      <c r="FU82" s="119"/>
      <c r="FV82" s="119"/>
      <c r="FW82" s="119"/>
      <c r="FX82" s="119"/>
      <c r="FY82" s="119"/>
      <c r="FZ82" s="119"/>
      <c r="GA82" s="119"/>
      <c r="GB82" s="119"/>
      <c r="GC82" s="119"/>
      <c r="GD82" s="119"/>
      <c r="GE82" s="119"/>
      <c r="GF82" s="119"/>
      <c r="GG82" s="119"/>
      <c r="GH82" s="119"/>
      <c r="GI82" s="119"/>
      <c r="GJ82" s="119"/>
      <c r="GK82" s="119"/>
      <c r="GL82" s="119"/>
      <c r="GM82" s="119"/>
      <c r="GN82" s="119"/>
      <c r="GO82" s="119"/>
      <c r="GP82" s="119"/>
      <c r="GQ82" s="119"/>
      <c r="GR82" s="119"/>
      <c r="GS82" s="119"/>
      <c r="GT82" s="119"/>
      <c r="GU82" s="119"/>
      <c r="GV82" s="119"/>
      <c r="GW82" s="119"/>
      <c r="GX82" s="119"/>
      <c r="GY82" s="119"/>
      <c r="GZ82" s="119"/>
      <c r="HA82" s="119"/>
      <c r="HB82" s="119"/>
      <c r="HC82" s="119"/>
      <c r="HD82" s="119"/>
      <c r="HE82" s="119"/>
      <c r="HF82" s="119"/>
      <c r="HG82" s="119"/>
      <c r="HH82" s="119"/>
      <c r="HI82" s="119"/>
      <c r="HJ82" s="119"/>
      <c r="HK82" s="119"/>
      <c r="HL82" s="119"/>
      <c r="HM82" s="119"/>
      <c r="HN82" s="119"/>
      <c r="HO82" s="119"/>
      <c r="HP82" s="119"/>
      <c r="HQ82" s="119"/>
      <c r="HR82" s="119"/>
      <c r="HS82" s="119"/>
      <c r="HT82" s="119"/>
      <c r="HU82" s="119"/>
      <c r="HV82" s="119"/>
      <c r="HW82" s="119"/>
      <c r="HX82" s="119"/>
      <c r="HY82" s="119"/>
      <c r="HZ82" s="119"/>
      <c r="IA82" s="119"/>
      <c r="IB82" s="119"/>
      <c r="IC82" s="119"/>
      <c r="ID82" s="119"/>
      <c r="IE82" s="119"/>
      <c r="IF82" s="119"/>
      <c r="IG82" s="119"/>
      <c r="IH82" s="119"/>
      <c r="II82" s="119"/>
      <c r="IJ82" s="119"/>
      <c r="IK82" s="119"/>
      <c r="IL82" s="119"/>
      <c r="IM82" s="119"/>
      <c r="IN82" s="119"/>
      <c r="IO82" s="119"/>
      <c r="IP82" s="119"/>
      <c r="IQ82" s="119"/>
      <c r="IR82" s="119"/>
      <c r="IS82" s="119"/>
      <c r="IT82" s="119"/>
      <c r="IU82" s="119"/>
      <c r="IV82" s="119"/>
      <c r="IW82" s="119"/>
      <c r="IX82" s="119"/>
      <c r="IY82" s="119"/>
      <c r="IZ82" s="119"/>
      <c r="JA82" s="119"/>
      <c r="JB82" s="119"/>
      <c r="JC82" s="119"/>
      <c r="JD82" s="119"/>
      <c r="JE82" s="119"/>
      <c r="JF82" s="119"/>
      <c r="JG82" s="119"/>
      <c r="JH82" s="119"/>
      <c r="JI82" s="119"/>
      <c r="JJ82" s="119"/>
      <c r="JK82" s="119"/>
      <c r="JL82" s="119"/>
      <c r="JM82" s="119"/>
      <c r="JN82" s="119"/>
      <c r="JO82" s="119"/>
      <c r="JP82" s="119"/>
      <c r="JQ82" s="119"/>
      <c r="JR82" s="119"/>
      <c r="JS82" s="119"/>
      <c r="JT82" s="119"/>
      <c r="JU82" s="119"/>
      <c r="JV82" s="119"/>
      <c r="JW82" s="119"/>
      <c r="JX82" s="119"/>
      <c r="JY82" s="119"/>
      <c r="JZ82" s="119"/>
      <c r="KA82" s="119"/>
      <c r="KB82" s="119"/>
      <c r="KC82" s="119"/>
      <c r="KD82" s="119"/>
      <c r="KE82" s="119"/>
      <c r="KF82" s="119"/>
      <c r="KG82" s="119"/>
      <c r="KH82" s="119"/>
      <c r="KI82" s="119"/>
      <c r="KJ82" s="119"/>
      <c r="KK82" s="119"/>
      <c r="KL82" s="119"/>
      <c r="KM82" s="119"/>
      <c r="KN82" s="119"/>
      <c r="KO82" s="119"/>
      <c r="KP82" s="119"/>
      <c r="KQ82" s="119"/>
      <c r="KR82" s="119"/>
      <c r="KS82" s="119"/>
      <c r="KT82" s="119"/>
      <c r="KU82" s="119"/>
      <c r="KV82" s="119"/>
      <c r="KW82" s="119"/>
      <c r="KX82" s="119"/>
      <c r="KY82" s="119"/>
      <c r="KZ82" s="119"/>
      <c r="LA82" s="119"/>
      <c r="LB82" s="119"/>
      <c r="LC82" s="119"/>
      <c r="LD82" s="119"/>
      <c r="LE82" s="119"/>
      <c r="LF82" s="119"/>
      <c r="LG82" s="119"/>
      <c r="LH82" s="119"/>
      <c r="LI82" s="119"/>
      <c r="LJ82" s="119"/>
      <c r="LK82" s="119"/>
      <c r="LL82" s="119"/>
      <c r="LM82" s="119"/>
      <c r="LN82" s="119"/>
      <c r="LO82" s="119"/>
      <c r="LP82" s="119"/>
      <c r="LQ82" s="119"/>
      <c r="LR82" s="119"/>
      <c r="LS82" s="119"/>
      <c r="LT82" s="119"/>
      <c r="LU82" s="119"/>
      <c r="LV82" s="119"/>
      <c r="LW82" s="119"/>
      <c r="LX82" s="119"/>
      <c r="LY82" s="119"/>
      <c r="LZ82" s="119"/>
      <c r="MA82" s="119"/>
      <c r="MB82" s="119"/>
      <c r="MC82" s="119"/>
      <c r="MD82" s="119"/>
      <c r="ME82" s="119"/>
      <c r="MF82" s="119"/>
      <c r="MG82" s="119"/>
      <c r="MH82" s="119"/>
      <c r="MI82" s="119"/>
      <c r="MJ82" s="119"/>
      <c r="MK82" s="119"/>
      <c r="ML82" s="119"/>
      <c r="MM82" s="119"/>
      <c r="MN82" s="119"/>
      <c r="MO82" s="119"/>
      <c r="MP82" s="119"/>
      <c r="MQ82" s="119"/>
      <c r="MR82" s="119"/>
      <c r="MS82" s="119"/>
      <c r="MT82" s="119"/>
      <c r="MU82" s="119"/>
      <c r="MV82" s="119"/>
      <c r="MW82" s="119"/>
      <c r="MX82" s="119"/>
      <c r="MY82" s="119"/>
      <c r="MZ82" s="119"/>
      <c r="NA82" s="119"/>
      <c r="NB82" s="119"/>
      <c r="NC82" s="119"/>
      <c r="ND82" s="119"/>
      <c r="NE82" s="119"/>
      <c r="NF82" s="119"/>
      <c r="NG82" s="119"/>
      <c r="NH82" s="119"/>
      <c r="NI82" s="119"/>
      <c r="NJ82" s="119"/>
      <c r="NK82" s="119"/>
      <c r="NL82" s="119"/>
      <c r="NM82" s="119"/>
      <c r="NN82" s="119"/>
      <c r="NO82" s="119"/>
      <c r="NP82" s="119"/>
      <c r="NQ82" s="119"/>
      <c r="NR82" s="119"/>
      <c r="NS82" s="119"/>
      <c r="NT82" s="119"/>
      <c r="NU82" s="119"/>
      <c r="NV82" s="119"/>
      <c r="NW82" s="119"/>
      <c r="NX82" s="119"/>
      <c r="NY82" s="119"/>
      <c r="NZ82" s="119"/>
      <c r="OA82" s="119"/>
    </row>
    <row r="83" spans="1:391" ht="14.25" customHeight="1" x14ac:dyDescent="0.2">
      <c r="A83" s="499"/>
      <c r="B83" s="548" t="s">
        <v>373</v>
      </c>
      <c r="C83" s="187"/>
      <c r="D83" s="187"/>
      <c r="E83" s="187"/>
      <c r="F83" s="564">
        <f t="shared" ca="1" si="6"/>
        <v>-43388</v>
      </c>
      <c r="G83" s="556"/>
      <c r="H83" s="556"/>
      <c r="I83" s="556"/>
      <c r="J83" s="38" t="str">
        <f t="shared" ca="1" si="7"/>
        <v>OVERDUE</v>
      </c>
      <c r="K83" s="557"/>
      <c r="BN83" s="119"/>
      <c r="BO83" s="119"/>
      <c r="BP83" s="119"/>
      <c r="BQ83" s="119"/>
      <c r="BR83" s="119"/>
      <c r="BS83" s="119"/>
      <c r="BT83" s="119"/>
      <c r="BU83" s="119"/>
      <c r="BV83" s="119"/>
      <c r="BW83" s="119"/>
      <c r="BX83" s="119"/>
      <c r="BY83" s="119"/>
      <c r="BZ83" s="119"/>
      <c r="CA83" s="119"/>
      <c r="CB83" s="119"/>
      <c r="CC83" s="119"/>
      <c r="CD83" s="119"/>
      <c r="CE83" s="119"/>
      <c r="CF83" s="119"/>
      <c r="CG83" s="119"/>
      <c r="CH83" s="119"/>
      <c r="CI83" s="119"/>
      <c r="CJ83" s="119"/>
      <c r="CK83" s="119"/>
      <c r="CL83" s="119"/>
      <c r="CM83" s="119"/>
      <c r="CN83" s="119"/>
      <c r="CO83" s="119"/>
      <c r="CP83" s="119"/>
      <c r="CQ83" s="119"/>
      <c r="CR83" s="119"/>
      <c r="CS83" s="119"/>
      <c r="CT83" s="119"/>
      <c r="CU83" s="119"/>
      <c r="CV83" s="119"/>
      <c r="CW83" s="119"/>
      <c r="CX83" s="119"/>
      <c r="CY83" s="119"/>
      <c r="CZ83" s="119"/>
      <c r="DA83" s="119"/>
      <c r="DB83" s="119"/>
      <c r="DC83" s="119"/>
      <c r="DD83" s="119"/>
      <c r="DE83" s="119"/>
      <c r="DF83" s="119"/>
      <c r="DG83" s="119"/>
      <c r="DH83" s="119"/>
      <c r="DI83" s="119"/>
      <c r="DJ83" s="119"/>
      <c r="DK83" s="119"/>
      <c r="DL83" s="119"/>
      <c r="DM83" s="119"/>
      <c r="DN83" s="119"/>
      <c r="DO83" s="119"/>
      <c r="DP83" s="119"/>
      <c r="DQ83" s="119"/>
      <c r="DR83" s="119"/>
      <c r="DS83" s="119"/>
      <c r="DT83" s="119"/>
      <c r="DU83" s="119"/>
      <c r="DV83" s="119"/>
      <c r="DW83" s="119"/>
      <c r="DX83" s="119"/>
      <c r="DY83" s="119"/>
      <c r="DZ83" s="119"/>
      <c r="EA83" s="119"/>
      <c r="EB83" s="119"/>
      <c r="EC83" s="119"/>
      <c r="ED83" s="119"/>
      <c r="EE83" s="119"/>
      <c r="EF83" s="119"/>
      <c r="EG83" s="119"/>
      <c r="EH83" s="119"/>
      <c r="EI83" s="119"/>
      <c r="EJ83" s="119"/>
      <c r="EK83" s="119"/>
      <c r="EL83" s="119"/>
      <c r="EM83" s="119"/>
      <c r="EN83" s="119"/>
      <c r="EO83" s="119"/>
      <c r="EP83" s="119"/>
      <c r="EQ83" s="119"/>
      <c r="ER83" s="119"/>
      <c r="ES83" s="119"/>
      <c r="ET83" s="119"/>
      <c r="EU83" s="119"/>
      <c r="EV83" s="119"/>
      <c r="EW83" s="119"/>
      <c r="EX83" s="119"/>
      <c r="EY83" s="119"/>
      <c r="EZ83" s="119"/>
      <c r="FA83" s="119"/>
      <c r="FB83" s="119"/>
      <c r="FC83" s="119"/>
      <c r="FD83" s="119"/>
      <c r="FE83" s="119"/>
      <c r="FF83" s="119"/>
      <c r="FG83" s="119"/>
      <c r="FH83" s="119"/>
      <c r="FI83" s="119"/>
      <c r="FJ83" s="119"/>
      <c r="FK83" s="119"/>
      <c r="FL83" s="119"/>
      <c r="FM83" s="119"/>
      <c r="FN83" s="119"/>
      <c r="FO83" s="119"/>
      <c r="FP83" s="119"/>
      <c r="FQ83" s="119"/>
      <c r="FR83" s="119"/>
      <c r="FS83" s="119"/>
      <c r="FT83" s="119"/>
      <c r="FU83" s="119"/>
      <c r="FV83" s="119"/>
      <c r="FW83" s="119"/>
      <c r="FX83" s="119"/>
      <c r="FY83" s="119"/>
      <c r="FZ83" s="119"/>
      <c r="GA83" s="119"/>
      <c r="GB83" s="119"/>
      <c r="GC83" s="119"/>
      <c r="GD83" s="119"/>
      <c r="GE83" s="119"/>
      <c r="GF83" s="119"/>
      <c r="GG83" s="119"/>
      <c r="GH83" s="119"/>
      <c r="GI83" s="119"/>
      <c r="GJ83" s="119"/>
      <c r="GK83" s="119"/>
      <c r="GL83" s="119"/>
      <c r="GM83" s="119"/>
      <c r="GN83" s="119"/>
      <c r="GO83" s="119"/>
      <c r="GP83" s="119"/>
      <c r="GQ83" s="119"/>
      <c r="GR83" s="119"/>
      <c r="GS83" s="119"/>
      <c r="GT83" s="119"/>
      <c r="GU83" s="119"/>
      <c r="GV83" s="119"/>
      <c r="GW83" s="119"/>
      <c r="GX83" s="119"/>
      <c r="GY83" s="119"/>
      <c r="GZ83" s="119"/>
      <c r="HA83" s="119"/>
      <c r="HB83" s="119"/>
      <c r="HC83" s="119"/>
      <c r="HD83" s="119"/>
      <c r="HE83" s="119"/>
      <c r="HF83" s="119"/>
      <c r="HG83" s="119"/>
      <c r="HH83" s="119"/>
      <c r="HI83" s="119"/>
      <c r="HJ83" s="119"/>
      <c r="HK83" s="119"/>
      <c r="HL83" s="119"/>
      <c r="HM83" s="119"/>
      <c r="HN83" s="119"/>
      <c r="HO83" s="119"/>
      <c r="HP83" s="119"/>
      <c r="HQ83" s="119"/>
      <c r="HR83" s="119"/>
      <c r="HS83" s="119"/>
      <c r="HT83" s="119"/>
      <c r="HU83" s="119"/>
      <c r="HV83" s="119"/>
      <c r="HW83" s="119"/>
      <c r="HX83" s="119"/>
      <c r="HY83" s="119"/>
      <c r="HZ83" s="119"/>
      <c r="IA83" s="119"/>
      <c r="IB83" s="119"/>
      <c r="IC83" s="119"/>
      <c r="ID83" s="119"/>
      <c r="IE83" s="119"/>
      <c r="IF83" s="119"/>
      <c r="IG83" s="119"/>
      <c r="IH83" s="119"/>
      <c r="II83" s="119"/>
      <c r="IJ83" s="119"/>
      <c r="IK83" s="119"/>
      <c r="IL83" s="119"/>
      <c r="IM83" s="119"/>
      <c r="IN83" s="119"/>
      <c r="IO83" s="119"/>
      <c r="IP83" s="119"/>
      <c r="IQ83" s="119"/>
      <c r="IR83" s="119"/>
      <c r="IS83" s="119"/>
      <c r="IT83" s="119"/>
      <c r="IU83" s="119"/>
      <c r="IV83" s="119"/>
      <c r="IW83" s="119"/>
      <c r="IX83" s="119"/>
      <c r="IY83" s="119"/>
      <c r="IZ83" s="119"/>
      <c r="JA83" s="119"/>
      <c r="JB83" s="119"/>
      <c r="JC83" s="119"/>
      <c r="JD83" s="119"/>
      <c r="JE83" s="119"/>
      <c r="JF83" s="119"/>
      <c r="JG83" s="119"/>
      <c r="JH83" s="119"/>
      <c r="JI83" s="119"/>
      <c r="JJ83" s="119"/>
      <c r="JK83" s="119"/>
      <c r="JL83" s="119"/>
      <c r="JM83" s="119"/>
      <c r="JN83" s="119"/>
      <c r="JO83" s="119"/>
      <c r="JP83" s="119"/>
      <c r="JQ83" s="119"/>
      <c r="JR83" s="119"/>
      <c r="JS83" s="119"/>
      <c r="JT83" s="119"/>
      <c r="JU83" s="119"/>
      <c r="JV83" s="119"/>
      <c r="JW83" s="119"/>
      <c r="JX83" s="119"/>
      <c r="JY83" s="119"/>
      <c r="JZ83" s="119"/>
      <c r="KA83" s="119"/>
      <c r="KB83" s="119"/>
      <c r="KC83" s="119"/>
      <c r="KD83" s="119"/>
      <c r="KE83" s="119"/>
      <c r="KF83" s="119"/>
      <c r="KG83" s="119"/>
      <c r="KH83" s="119"/>
      <c r="KI83" s="119"/>
      <c r="KJ83" s="119"/>
      <c r="KK83" s="119"/>
      <c r="KL83" s="119"/>
      <c r="KM83" s="119"/>
      <c r="KN83" s="119"/>
      <c r="KO83" s="119"/>
      <c r="KP83" s="119"/>
      <c r="KQ83" s="119"/>
      <c r="KR83" s="119"/>
      <c r="KS83" s="119"/>
      <c r="KT83" s="119"/>
      <c r="KU83" s="119"/>
      <c r="KV83" s="119"/>
      <c r="KW83" s="119"/>
      <c r="KX83" s="119"/>
      <c r="KY83" s="119"/>
      <c r="KZ83" s="119"/>
      <c r="LA83" s="119"/>
      <c r="LB83" s="119"/>
      <c r="LC83" s="119"/>
      <c r="LD83" s="119"/>
      <c r="LE83" s="119"/>
      <c r="LF83" s="119"/>
      <c r="LG83" s="119"/>
      <c r="LH83" s="119"/>
      <c r="LI83" s="119"/>
      <c r="LJ83" s="119"/>
      <c r="LK83" s="119"/>
      <c r="LL83" s="119"/>
      <c r="LM83" s="119"/>
      <c r="LN83" s="119"/>
      <c r="LO83" s="119"/>
      <c r="LP83" s="119"/>
      <c r="LQ83" s="119"/>
      <c r="LR83" s="119"/>
      <c r="LS83" s="119"/>
      <c r="LT83" s="119"/>
      <c r="LU83" s="119"/>
      <c r="LV83" s="119"/>
      <c r="LW83" s="119"/>
      <c r="LX83" s="119"/>
      <c r="LY83" s="119"/>
      <c r="LZ83" s="119"/>
      <c r="MA83" s="119"/>
      <c r="MB83" s="119"/>
      <c r="MC83" s="119"/>
      <c r="MD83" s="119"/>
      <c r="ME83" s="119"/>
      <c r="MF83" s="119"/>
      <c r="MG83" s="119"/>
      <c r="MH83" s="119"/>
      <c r="MI83" s="119"/>
      <c r="MJ83" s="119"/>
      <c r="MK83" s="119"/>
      <c r="ML83" s="119"/>
      <c r="MM83" s="119"/>
      <c r="MN83" s="119"/>
      <c r="MO83" s="119"/>
      <c r="MP83" s="119"/>
      <c r="MQ83" s="119"/>
      <c r="MR83" s="119"/>
      <c r="MS83" s="119"/>
      <c r="MT83" s="119"/>
      <c r="MU83" s="119"/>
      <c r="MV83" s="119"/>
      <c r="MW83" s="119"/>
      <c r="MX83" s="119"/>
      <c r="MY83" s="119"/>
      <c r="MZ83" s="119"/>
      <c r="NA83" s="119"/>
      <c r="NB83" s="119"/>
      <c r="NC83" s="119"/>
      <c r="ND83" s="119"/>
      <c r="NE83" s="119"/>
      <c r="NF83" s="119"/>
      <c r="NG83" s="119"/>
      <c r="NH83" s="119"/>
      <c r="NI83" s="119"/>
      <c r="NJ83" s="119"/>
      <c r="NK83" s="119"/>
      <c r="NL83" s="119"/>
      <c r="NM83" s="119"/>
      <c r="NN83" s="119"/>
      <c r="NO83" s="119"/>
      <c r="NP83" s="119"/>
      <c r="NQ83" s="119"/>
      <c r="NR83" s="119"/>
      <c r="NS83" s="119"/>
      <c r="NT83" s="119"/>
      <c r="NU83" s="119"/>
      <c r="NV83" s="119"/>
      <c r="NW83" s="119"/>
      <c r="NX83" s="119"/>
      <c r="NY83" s="119"/>
      <c r="NZ83" s="119"/>
      <c r="OA83" s="119"/>
    </row>
    <row r="84" spans="1:391" ht="14.25" customHeight="1" x14ac:dyDescent="0.2">
      <c r="A84" s="499"/>
      <c r="B84" s="548" t="s">
        <v>374</v>
      </c>
      <c r="C84" s="187"/>
      <c r="D84" s="187"/>
      <c r="E84" s="187"/>
      <c r="F84" s="564">
        <f t="shared" ca="1" si="6"/>
        <v>-43388</v>
      </c>
      <c r="G84" s="556"/>
      <c r="H84" s="556"/>
      <c r="I84" s="556"/>
      <c r="J84" s="38" t="str">
        <f t="shared" ca="1" si="7"/>
        <v>OVERDUE</v>
      </c>
      <c r="K84" s="557"/>
      <c r="BN84" s="119"/>
      <c r="BO84" s="119"/>
      <c r="BP84" s="119"/>
      <c r="BQ84" s="119"/>
      <c r="BR84" s="119"/>
      <c r="BS84" s="119"/>
      <c r="BT84" s="119"/>
      <c r="BU84" s="119"/>
      <c r="BV84" s="119"/>
      <c r="BW84" s="119"/>
      <c r="BX84" s="119"/>
      <c r="BY84" s="119"/>
      <c r="BZ84" s="119"/>
      <c r="CA84" s="119"/>
      <c r="CB84" s="119"/>
      <c r="CC84" s="119"/>
      <c r="CD84" s="119"/>
      <c r="CE84" s="119"/>
      <c r="CF84" s="119"/>
      <c r="CG84" s="119"/>
      <c r="CH84" s="119"/>
      <c r="CI84" s="119"/>
      <c r="CJ84" s="119"/>
      <c r="CK84" s="119"/>
      <c r="CL84" s="119"/>
      <c r="CM84" s="119"/>
      <c r="CN84" s="119"/>
      <c r="CO84" s="119"/>
      <c r="CP84" s="119"/>
      <c r="CQ84" s="119"/>
      <c r="CR84" s="119"/>
      <c r="CS84" s="119"/>
      <c r="CT84" s="119"/>
      <c r="CU84" s="119"/>
      <c r="CV84" s="119"/>
      <c r="CW84" s="119"/>
      <c r="CX84" s="119"/>
      <c r="CY84" s="119"/>
      <c r="CZ84" s="119"/>
      <c r="DA84" s="119"/>
      <c r="DB84" s="119"/>
      <c r="DC84" s="119"/>
      <c r="DD84" s="119"/>
      <c r="DE84" s="119"/>
      <c r="DF84" s="119"/>
      <c r="DG84" s="119"/>
      <c r="DH84" s="119"/>
      <c r="DI84" s="119"/>
      <c r="DJ84" s="119"/>
      <c r="DK84" s="119"/>
      <c r="DL84" s="119"/>
      <c r="DM84" s="119"/>
      <c r="DN84" s="119"/>
      <c r="DO84" s="119"/>
      <c r="DP84" s="119"/>
      <c r="DQ84" s="119"/>
      <c r="DR84" s="119"/>
      <c r="DS84" s="119"/>
      <c r="DT84" s="119"/>
      <c r="DU84" s="119"/>
      <c r="DV84" s="119"/>
      <c r="DW84" s="119"/>
      <c r="DX84" s="119"/>
      <c r="DY84" s="119"/>
      <c r="DZ84" s="119"/>
      <c r="EA84" s="119"/>
      <c r="EB84" s="119"/>
      <c r="EC84" s="119"/>
      <c r="ED84" s="119"/>
      <c r="EE84" s="119"/>
      <c r="EF84" s="119"/>
      <c r="EG84" s="119"/>
      <c r="EH84" s="119"/>
      <c r="EI84" s="119"/>
      <c r="EJ84" s="119"/>
      <c r="EK84" s="119"/>
      <c r="EL84" s="119"/>
      <c r="EM84" s="119"/>
      <c r="EN84" s="119"/>
      <c r="EO84" s="119"/>
      <c r="EP84" s="119"/>
      <c r="EQ84" s="119"/>
      <c r="ER84" s="119"/>
      <c r="ES84" s="119"/>
      <c r="ET84" s="119"/>
      <c r="EU84" s="119"/>
      <c r="EV84" s="119"/>
      <c r="EW84" s="119"/>
      <c r="EX84" s="119"/>
      <c r="EY84" s="119"/>
      <c r="EZ84" s="119"/>
      <c r="FA84" s="119"/>
      <c r="FB84" s="119"/>
      <c r="FC84" s="119"/>
      <c r="FD84" s="119"/>
      <c r="FE84" s="119"/>
      <c r="FF84" s="119"/>
      <c r="FG84" s="119"/>
      <c r="FH84" s="119"/>
      <c r="FI84" s="119"/>
      <c r="FJ84" s="119"/>
      <c r="FK84" s="119"/>
      <c r="FL84" s="119"/>
      <c r="FM84" s="119"/>
      <c r="FN84" s="119"/>
      <c r="FO84" s="119"/>
      <c r="FP84" s="119"/>
      <c r="FQ84" s="119"/>
      <c r="FR84" s="119"/>
      <c r="FS84" s="119"/>
      <c r="FT84" s="119"/>
      <c r="FU84" s="119"/>
      <c r="FV84" s="119"/>
      <c r="FW84" s="119"/>
      <c r="FX84" s="119"/>
      <c r="FY84" s="119"/>
      <c r="FZ84" s="119"/>
      <c r="GA84" s="119"/>
      <c r="GB84" s="119"/>
      <c r="GC84" s="119"/>
      <c r="GD84" s="119"/>
      <c r="GE84" s="119"/>
      <c r="GF84" s="119"/>
      <c r="GG84" s="119"/>
      <c r="GH84" s="119"/>
      <c r="GI84" s="119"/>
      <c r="GJ84" s="119"/>
      <c r="GK84" s="119"/>
      <c r="GL84" s="119"/>
      <c r="GM84" s="119"/>
      <c r="GN84" s="119"/>
      <c r="GO84" s="119"/>
      <c r="GP84" s="119"/>
      <c r="GQ84" s="119"/>
      <c r="GR84" s="119"/>
      <c r="GS84" s="119"/>
      <c r="GT84" s="119"/>
      <c r="GU84" s="119"/>
      <c r="GV84" s="119"/>
      <c r="GW84" s="119"/>
      <c r="GX84" s="119"/>
      <c r="GY84" s="119"/>
      <c r="GZ84" s="119"/>
      <c r="HA84" s="119"/>
      <c r="HB84" s="119"/>
      <c r="HC84" s="119"/>
      <c r="HD84" s="119"/>
      <c r="HE84" s="119"/>
      <c r="HF84" s="119"/>
      <c r="HG84" s="119"/>
      <c r="HH84" s="119"/>
      <c r="HI84" s="119"/>
      <c r="HJ84" s="119"/>
      <c r="HK84" s="119"/>
      <c r="HL84" s="119"/>
      <c r="HM84" s="119"/>
      <c r="HN84" s="119"/>
      <c r="HO84" s="119"/>
      <c r="HP84" s="119"/>
      <c r="HQ84" s="119"/>
      <c r="HR84" s="119"/>
      <c r="HS84" s="119"/>
      <c r="HT84" s="119"/>
      <c r="HU84" s="119"/>
      <c r="HV84" s="119"/>
      <c r="HW84" s="119"/>
      <c r="HX84" s="119"/>
      <c r="HY84" s="119"/>
      <c r="HZ84" s="119"/>
      <c r="IA84" s="119"/>
      <c r="IB84" s="119"/>
      <c r="IC84" s="119"/>
      <c r="ID84" s="119"/>
      <c r="IE84" s="119"/>
      <c r="IF84" s="119"/>
      <c r="IG84" s="119"/>
      <c r="IH84" s="119"/>
      <c r="II84" s="119"/>
      <c r="IJ84" s="119"/>
      <c r="IK84" s="119"/>
      <c r="IL84" s="119"/>
      <c r="IM84" s="119"/>
      <c r="IN84" s="119"/>
      <c r="IO84" s="119"/>
      <c r="IP84" s="119"/>
      <c r="IQ84" s="119"/>
      <c r="IR84" s="119"/>
      <c r="IS84" s="119"/>
      <c r="IT84" s="119"/>
      <c r="IU84" s="119"/>
      <c r="IV84" s="119"/>
      <c r="IW84" s="119"/>
      <c r="IX84" s="119"/>
      <c r="IY84" s="119"/>
      <c r="IZ84" s="119"/>
      <c r="JA84" s="119"/>
      <c r="JB84" s="119"/>
      <c r="JC84" s="119"/>
      <c r="JD84" s="119"/>
      <c r="JE84" s="119"/>
      <c r="JF84" s="119"/>
      <c r="JG84" s="119"/>
      <c r="JH84" s="119"/>
      <c r="JI84" s="119"/>
      <c r="JJ84" s="119"/>
      <c r="JK84" s="119"/>
      <c r="JL84" s="119"/>
      <c r="JM84" s="119"/>
      <c r="JN84" s="119"/>
      <c r="JO84" s="119"/>
      <c r="JP84" s="119"/>
      <c r="JQ84" s="119"/>
      <c r="JR84" s="119"/>
      <c r="JS84" s="119"/>
      <c r="JT84" s="119"/>
      <c r="JU84" s="119"/>
      <c r="JV84" s="119"/>
      <c r="JW84" s="119"/>
      <c r="JX84" s="119"/>
      <c r="JY84" s="119"/>
      <c r="JZ84" s="119"/>
      <c r="KA84" s="119"/>
      <c r="KB84" s="119"/>
      <c r="KC84" s="119"/>
      <c r="KD84" s="119"/>
      <c r="KE84" s="119"/>
      <c r="KF84" s="119"/>
      <c r="KG84" s="119"/>
      <c r="KH84" s="119"/>
      <c r="KI84" s="119"/>
      <c r="KJ84" s="119"/>
      <c r="KK84" s="119"/>
      <c r="KL84" s="119"/>
      <c r="KM84" s="119"/>
      <c r="KN84" s="119"/>
      <c r="KO84" s="119"/>
      <c r="KP84" s="119"/>
      <c r="KQ84" s="119"/>
      <c r="KR84" s="119"/>
      <c r="KS84" s="119"/>
      <c r="KT84" s="119"/>
      <c r="KU84" s="119"/>
      <c r="KV84" s="119"/>
      <c r="KW84" s="119"/>
      <c r="KX84" s="119"/>
      <c r="KY84" s="119"/>
      <c r="KZ84" s="119"/>
      <c r="LA84" s="119"/>
      <c r="LB84" s="119"/>
      <c r="LC84" s="119"/>
      <c r="LD84" s="119"/>
      <c r="LE84" s="119"/>
      <c r="LF84" s="119"/>
      <c r="LG84" s="119"/>
      <c r="LH84" s="119"/>
      <c r="LI84" s="119"/>
      <c r="LJ84" s="119"/>
      <c r="LK84" s="119"/>
      <c r="LL84" s="119"/>
      <c r="LM84" s="119"/>
      <c r="LN84" s="119"/>
      <c r="LO84" s="119"/>
      <c r="LP84" s="119"/>
      <c r="LQ84" s="119"/>
      <c r="LR84" s="119"/>
      <c r="LS84" s="119"/>
      <c r="LT84" s="119"/>
      <c r="LU84" s="119"/>
      <c r="LV84" s="119"/>
      <c r="LW84" s="119"/>
      <c r="LX84" s="119"/>
      <c r="LY84" s="119"/>
      <c r="LZ84" s="119"/>
      <c r="MA84" s="119"/>
      <c r="MB84" s="119"/>
      <c r="MC84" s="119"/>
      <c r="MD84" s="119"/>
      <c r="ME84" s="119"/>
      <c r="MF84" s="119"/>
      <c r="MG84" s="119"/>
      <c r="MH84" s="119"/>
      <c r="MI84" s="119"/>
      <c r="MJ84" s="119"/>
      <c r="MK84" s="119"/>
      <c r="ML84" s="119"/>
      <c r="MM84" s="119"/>
      <c r="MN84" s="119"/>
      <c r="MO84" s="119"/>
      <c r="MP84" s="119"/>
      <c r="MQ84" s="119"/>
      <c r="MR84" s="119"/>
      <c r="MS84" s="119"/>
      <c r="MT84" s="119"/>
      <c r="MU84" s="119"/>
      <c r="MV84" s="119"/>
      <c r="MW84" s="119"/>
      <c r="MX84" s="119"/>
      <c r="MY84" s="119"/>
      <c r="MZ84" s="119"/>
      <c r="NA84" s="119"/>
      <c r="NB84" s="119"/>
      <c r="NC84" s="119"/>
      <c r="ND84" s="119"/>
      <c r="NE84" s="119"/>
      <c r="NF84" s="119"/>
      <c r="NG84" s="119"/>
      <c r="NH84" s="119"/>
      <c r="NI84" s="119"/>
      <c r="NJ84" s="119"/>
      <c r="NK84" s="119"/>
      <c r="NL84" s="119"/>
      <c r="NM84" s="119"/>
      <c r="NN84" s="119"/>
      <c r="NO84" s="119"/>
      <c r="NP84" s="119"/>
      <c r="NQ84" s="119"/>
      <c r="NR84" s="119"/>
      <c r="NS84" s="119"/>
      <c r="NT84" s="119"/>
      <c r="NU84" s="119"/>
      <c r="NV84" s="119"/>
      <c r="NW84" s="119"/>
      <c r="NX84" s="119"/>
      <c r="NY84" s="119"/>
      <c r="NZ84" s="119"/>
      <c r="OA84" s="119"/>
    </row>
    <row r="85" spans="1:391" x14ac:dyDescent="0.2">
      <c r="A85" s="499"/>
      <c r="B85" s="548" t="s">
        <v>375</v>
      </c>
      <c r="C85" s="187"/>
      <c r="D85" s="187"/>
      <c r="E85" s="187"/>
      <c r="F85" s="564">
        <f t="shared" ca="1" si="6"/>
        <v>-43388</v>
      </c>
      <c r="G85" s="556"/>
      <c r="H85" s="556"/>
      <c r="I85" s="556"/>
      <c r="J85" s="38" t="str">
        <f t="shared" ca="1" si="7"/>
        <v>OVERDUE</v>
      </c>
      <c r="K85" s="557"/>
      <c r="BN85" s="119"/>
      <c r="BO85" s="119"/>
      <c r="BP85" s="119"/>
      <c r="BQ85" s="119"/>
      <c r="BR85" s="119"/>
      <c r="BS85" s="119"/>
      <c r="BT85" s="119"/>
      <c r="BU85" s="119"/>
      <c r="BV85" s="119"/>
      <c r="BW85" s="119"/>
      <c r="BX85" s="119"/>
      <c r="BY85" s="119"/>
      <c r="BZ85" s="119"/>
      <c r="CA85" s="119"/>
      <c r="CB85" s="119"/>
      <c r="CC85" s="119"/>
      <c r="CD85" s="119"/>
      <c r="CE85" s="119"/>
      <c r="CF85" s="119"/>
      <c r="CG85" s="119"/>
      <c r="CH85" s="119"/>
      <c r="CI85" s="119"/>
      <c r="CJ85" s="119"/>
      <c r="CK85" s="119"/>
      <c r="CL85" s="119"/>
      <c r="CM85" s="119"/>
      <c r="CN85" s="119"/>
      <c r="CO85" s="119"/>
      <c r="CP85" s="119"/>
      <c r="CQ85" s="119"/>
      <c r="CR85" s="119"/>
      <c r="CS85" s="119"/>
      <c r="CT85" s="119"/>
      <c r="CU85" s="119"/>
      <c r="CV85" s="119"/>
      <c r="CW85" s="119"/>
      <c r="CX85" s="119"/>
      <c r="CY85" s="119"/>
      <c r="CZ85" s="119"/>
      <c r="DA85" s="119"/>
      <c r="DB85" s="119"/>
      <c r="DC85" s="119"/>
      <c r="DD85" s="119"/>
      <c r="DE85" s="119"/>
      <c r="DF85" s="119"/>
      <c r="DG85" s="119"/>
      <c r="DH85" s="119"/>
      <c r="DI85" s="119"/>
      <c r="DJ85" s="119"/>
      <c r="DK85" s="119"/>
      <c r="DL85" s="119"/>
      <c r="DM85" s="119"/>
      <c r="DN85" s="119"/>
      <c r="DO85" s="119"/>
      <c r="DP85" s="119"/>
      <c r="DQ85" s="119"/>
      <c r="DR85" s="119"/>
      <c r="DS85" s="119"/>
      <c r="DT85" s="119"/>
      <c r="DU85" s="119"/>
      <c r="DV85" s="119"/>
      <c r="DW85" s="119"/>
      <c r="DX85" s="119"/>
      <c r="DY85" s="119"/>
      <c r="DZ85" s="119"/>
      <c r="EA85" s="119"/>
      <c r="EB85" s="119"/>
      <c r="EC85" s="119"/>
      <c r="ED85" s="119"/>
      <c r="EE85" s="119"/>
      <c r="EF85" s="119"/>
      <c r="EG85" s="119"/>
      <c r="EH85" s="119"/>
      <c r="EI85" s="119"/>
      <c r="EJ85" s="119"/>
      <c r="EK85" s="119"/>
      <c r="EL85" s="119"/>
      <c r="EM85" s="119"/>
      <c r="EN85" s="119"/>
      <c r="EO85" s="119"/>
      <c r="EP85" s="119"/>
      <c r="EQ85" s="119"/>
      <c r="ER85" s="119"/>
      <c r="ES85" s="119"/>
      <c r="ET85" s="119"/>
      <c r="EU85" s="119"/>
      <c r="EV85" s="119"/>
      <c r="EW85" s="119"/>
      <c r="EX85" s="119"/>
      <c r="EY85" s="119"/>
      <c r="EZ85" s="119"/>
      <c r="FA85" s="119"/>
      <c r="FB85" s="119"/>
      <c r="FC85" s="119"/>
      <c r="FD85" s="119"/>
      <c r="FE85" s="119"/>
      <c r="FF85" s="119"/>
      <c r="FG85" s="119"/>
      <c r="FH85" s="119"/>
      <c r="FI85" s="119"/>
      <c r="FJ85" s="119"/>
      <c r="FK85" s="119"/>
      <c r="FL85" s="119"/>
      <c r="FM85" s="119"/>
      <c r="FN85" s="119"/>
      <c r="FO85" s="119"/>
      <c r="FP85" s="119"/>
      <c r="FQ85" s="119"/>
      <c r="FR85" s="119"/>
      <c r="FS85" s="119"/>
      <c r="FT85" s="119"/>
      <c r="FU85" s="119"/>
      <c r="FV85" s="119"/>
      <c r="FW85" s="119"/>
      <c r="FX85" s="119"/>
      <c r="FY85" s="119"/>
      <c r="FZ85" s="119"/>
      <c r="GA85" s="119"/>
      <c r="GB85" s="119"/>
      <c r="GC85" s="119"/>
      <c r="GD85" s="119"/>
      <c r="GE85" s="119"/>
      <c r="GF85" s="119"/>
      <c r="GG85" s="119"/>
      <c r="GH85" s="119"/>
      <c r="GI85" s="119"/>
      <c r="GJ85" s="119"/>
      <c r="GK85" s="119"/>
      <c r="GL85" s="119"/>
      <c r="GM85" s="119"/>
      <c r="GN85" s="119"/>
      <c r="GO85" s="119"/>
      <c r="GP85" s="119"/>
      <c r="GQ85" s="119"/>
      <c r="GR85" s="119"/>
      <c r="GS85" s="119"/>
      <c r="GT85" s="119"/>
      <c r="GU85" s="119"/>
      <c r="GV85" s="119"/>
      <c r="GW85" s="119"/>
      <c r="GX85" s="119"/>
      <c r="GY85" s="119"/>
      <c r="GZ85" s="119"/>
      <c r="HA85" s="119"/>
      <c r="HB85" s="119"/>
      <c r="HC85" s="119"/>
      <c r="HD85" s="119"/>
      <c r="HE85" s="119"/>
      <c r="HF85" s="119"/>
      <c r="HG85" s="119"/>
      <c r="HH85" s="119"/>
      <c r="HI85" s="119"/>
      <c r="HJ85" s="119"/>
      <c r="HK85" s="119"/>
      <c r="HL85" s="119"/>
      <c r="HM85" s="119"/>
      <c r="HN85" s="119"/>
      <c r="HO85" s="119"/>
      <c r="HP85" s="119"/>
      <c r="HQ85" s="119"/>
      <c r="HR85" s="119"/>
      <c r="HS85" s="119"/>
      <c r="HT85" s="119"/>
      <c r="HU85" s="119"/>
      <c r="HV85" s="119"/>
      <c r="HW85" s="119"/>
      <c r="HX85" s="119"/>
      <c r="HY85" s="119"/>
      <c r="HZ85" s="119"/>
      <c r="IA85" s="119"/>
      <c r="IB85" s="119"/>
      <c r="IC85" s="119"/>
      <c r="ID85" s="119"/>
      <c r="IE85" s="119"/>
      <c r="IF85" s="119"/>
      <c r="IG85" s="119"/>
      <c r="IH85" s="119"/>
      <c r="II85" s="119"/>
      <c r="IJ85" s="119"/>
      <c r="IK85" s="119"/>
      <c r="IL85" s="119"/>
      <c r="IM85" s="119"/>
      <c r="IN85" s="119"/>
      <c r="IO85" s="119"/>
      <c r="IP85" s="119"/>
      <c r="IQ85" s="119"/>
      <c r="IR85" s="119"/>
      <c r="IS85" s="119"/>
      <c r="IT85" s="119"/>
      <c r="IU85" s="119"/>
      <c r="IV85" s="119"/>
      <c r="IW85" s="119"/>
      <c r="IX85" s="119"/>
      <c r="IY85" s="119"/>
      <c r="IZ85" s="119"/>
      <c r="JA85" s="119"/>
      <c r="JB85" s="119"/>
      <c r="JC85" s="119"/>
      <c r="JD85" s="119"/>
      <c r="JE85" s="119"/>
      <c r="JF85" s="119"/>
      <c r="JG85" s="119"/>
      <c r="JH85" s="119"/>
      <c r="JI85" s="119"/>
      <c r="JJ85" s="119"/>
      <c r="JK85" s="119"/>
      <c r="JL85" s="119"/>
      <c r="JM85" s="119"/>
      <c r="JN85" s="119"/>
      <c r="JO85" s="119"/>
      <c r="JP85" s="119"/>
      <c r="JQ85" s="119"/>
      <c r="JR85" s="119"/>
      <c r="JS85" s="119"/>
      <c r="JT85" s="119"/>
      <c r="JU85" s="119"/>
      <c r="JV85" s="119"/>
      <c r="JW85" s="119"/>
      <c r="JX85" s="119"/>
      <c r="JY85" s="119"/>
      <c r="JZ85" s="119"/>
      <c r="KA85" s="119"/>
      <c r="KB85" s="119"/>
      <c r="KC85" s="119"/>
      <c r="KD85" s="119"/>
      <c r="KE85" s="119"/>
      <c r="KF85" s="119"/>
      <c r="KG85" s="119"/>
      <c r="KH85" s="119"/>
      <c r="KI85" s="119"/>
      <c r="KJ85" s="119"/>
      <c r="KK85" s="119"/>
      <c r="KL85" s="119"/>
      <c r="KM85" s="119"/>
      <c r="KN85" s="119"/>
      <c r="KO85" s="119"/>
      <c r="KP85" s="119"/>
      <c r="KQ85" s="119"/>
      <c r="KR85" s="119"/>
      <c r="KS85" s="119"/>
      <c r="KT85" s="119"/>
      <c r="KU85" s="119"/>
      <c r="KV85" s="119"/>
      <c r="KW85" s="119"/>
      <c r="KX85" s="119"/>
      <c r="KY85" s="119"/>
      <c r="KZ85" s="119"/>
      <c r="LA85" s="119"/>
      <c r="LB85" s="119"/>
      <c r="LC85" s="119"/>
      <c r="LD85" s="119"/>
      <c r="LE85" s="119"/>
      <c r="LF85" s="119"/>
      <c r="LG85" s="119"/>
      <c r="LH85" s="119"/>
      <c r="LI85" s="119"/>
      <c r="LJ85" s="119"/>
      <c r="LK85" s="119"/>
      <c r="LL85" s="119"/>
      <c r="LM85" s="119"/>
      <c r="LN85" s="119"/>
      <c r="LO85" s="119"/>
      <c r="LP85" s="119"/>
      <c r="LQ85" s="119"/>
      <c r="LR85" s="119"/>
      <c r="LS85" s="119"/>
      <c r="LT85" s="119"/>
      <c r="LU85" s="119"/>
      <c r="LV85" s="119"/>
      <c r="LW85" s="119"/>
      <c r="LX85" s="119"/>
      <c r="LY85" s="119"/>
      <c r="LZ85" s="119"/>
      <c r="MA85" s="119"/>
      <c r="MB85" s="119"/>
      <c r="MC85" s="119"/>
      <c r="MD85" s="119"/>
      <c r="ME85" s="119"/>
      <c r="MF85" s="119"/>
      <c r="MG85" s="119"/>
      <c r="MH85" s="119"/>
      <c r="MI85" s="119"/>
      <c r="MJ85" s="119"/>
      <c r="MK85" s="119"/>
      <c r="ML85" s="119"/>
      <c r="MM85" s="119"/>
      <c r="MN85" s="119"/>
      <c r="MO85" s="119"/>
      <c r="MP85" s="119"/>
      <c r="MQ85" s="119"/>
      <c r="MR85" s="119"/>
      <c r="MS85" s="119"/>
      <c r="MT85" s="119"/>
      <c r="MU85" s="119"/>
      <c r="MV85" s="119"/>
      <c r="MW85" s="119"/>
      <c r="MX85" s="119"/>
      <c r="MY85" s="119"/>
      <c r="MZ85" s="119"/>
      <c r="NA85" s="119"/>
      <c r="NB85" s="119"/>
      <c r="NC85" s="119"/>
      <c r="ND85" s="119"/>
      <c r="NE85" s="119"/>
      <c r="NF85" s="119"/>
      <c r="NG85" s="119"/>
      <c r="NH85" s="119"/>
      <c r="NI85" s="119"/>
      <c r="NJ85" s="119"/>
      <c r="NK85" s="119"/>
      <c r="NL85" s="119"/>
      <c r="NM85" s="119"/>
      <c r="NN85" s="119"/>
      <c r="NO85" s="119"/>
      <c r="NP85" s="119"/>
      <c r="NQ85" s="119"/>
      <c r="NR85" s="119"/>
      <c r="NS85" s="119"/>
      <c r="NT85" s="119"/>
      <c r="NU85" s="119"/>
      <c r="NV85" s="119"/>
      <c r="NW85" s="119"/>
      <c r="NX85" s="119"/>
      <c r="NY85" s="119"/>
      <c r="NZ85" s="119"/>
      <c r="OA85" s="119"/>
    </row>
    <row r="86" spans="1:391" x14ac:dyDescent="0.2">
      <c r="A86" s="499"/>
      <c r="B86" s="548" t="s">
        <v>374</v>
      </c>
      <c r="C86" s="187"/>
      <c r="D86" s="187"/>
      <c r="E86" s="187"/>
      <c r="F86" s="564">
        <f t="shared" ca="1" si="6"/>
        <v>-43388</v>
      </c>
      <c r="G86" s="556"/>
      <c r="H86" s="556"/>
      <c r="I86" s="556"/>
      <c r="J86" s="38" t="str">
        <f t="shared" ca="1" si="7"/>
        <v>OVERDUE</v>
      </c>
      <c r="K86" s="557"/>
      <c r="BN86" s="119"/>
      <c r="BO86" s="119"/>
      <c r="BP86" s="119"/>
      <c r="BQ86" s="119"/>
      <c r="BR86" s="119"/>
      <c r="BS86" s="119"/>
      <c r="BT86" s="119"/>
      <c r="BU86" s="119"/>
      <c r="BV86" s="119"/>
      <c r="BW86" s="119"/>
      <c r="BX86" s="119"/>
      <c r="BY86" s="119"/>
      <c r="BZ86" s="119"/>
      <c r="CA86" s="119"/>
      <c r="CB86" s="119"/>
      <c r="CC86" s="119"/>
      <c r="CD86" s="119"/>
      <c r="CE86" s="119"/>
      <c r="CF86" s="119"/>
      <c r="CG86" s="119"/>
      <c r="CH86" s="119"/>
      <c r="CI86" s="119"/>
      <c r="CJ86" s="119"/>
      <c r="CK86" s="119"/>
      <c r="CL86" s="119"/>
      <c r="CM86" s="119"/>
      <c r="CN86" s="119"/>
      <c r="CO86" s="119"/>
      <c r="CP86" s="119"/>
      <c r="CQ86" s="119"/>
      <c r="CR86" s="119"/>
      <c r="CS86" s="119"/>
      <c r="CT86" s="119"/>
      <c r="CU86" s="119"/>
      <c r="CV86" s="119"/>
      <c r="CW86" s="119"/>
      <c r="CX86" s="119"/>
      <c r="CY86" s="119"/>
      <c r="CZ86" s="119"/>
      <c r="DA86" s="119"/>
      <c r="DB86" s="119"/>
      <c r="DC86" s="119"/>
      <c r="DD86" s="119"/>
      <c r="DE86" s="119"/>
      <c r="DF86" s="119"/>
      <c r="DG86" s="119"/>
      <c r="DH86" s="119"/>
      <c r="DI86" s="119"/>
      <c r="DJ86" s="119"/>
      <c r="DK86" s="119"/>
      <c r="DL86" s="119"/>
      <c r="DM86" s="119"/>
      <c r="DN86" s="119"/>
      <c r="DO86" s="119"/>
      <c r="DP86" s="119"/>
      <c r="DQ86" s="119"/>
      <c r="DR86" s="119"/>
      <c r="DS86" s="119"/>
      <c r="DT86" s="119"/>
      <c r="DU86" s="119"/>
      <c r="DV86" s="119"/>
      <c r="DW86" s="119"/>
      <c r="DX86" s="119"/>
      <c r="DY86" s="119"/>
      <c r="DZ86" s="119"/>
      <c r="EA86" s="119"/>
      <c r="EB86" s="119"/>
      <c r="EC86" s="119"/>
      <c r="ED86" s="119"/>
      <c r="EE86" s="119"/>
      <c r="EF86" s="119"/>
      <c r="EG86" s="119"/>
      <c r="EH86" s="119"/>
      <c r="EI86" s="119"/>
      <c r="EJ86" s="119"/>
      <c r="EK86" s="119"/>
      <c r="EL86" s="119"/>
      <c r="EM86" s="119"/>
      <c r="EN86" s="119"/>
      <c r="EO86" s="119"/>
      <c r="EP86" s="119"/>
      <c r="EQ86" s="119"/>
      <c r="ER86" s="119"/>
      <c r="ES86" s="119"/>
      <c r="ET86" s="119"/>
      <c r="EU86" s="119"/>
      <c r="EV86" s="119"/>
      <c r="EW86" s="119"/>
      <c r="EX86" s="119"/>
      <c r="EY86" s="119"/>
      <c r="EZ86" s="119"/>
      <c r="FA86" s="119"/>
      <c r="FB86" s="119"/>
      <c r="FC86" s="119"/>
      <c r="FD86" s="119"/>
      <c r="FE86" s="119"/>
      <c r="FF86" s="119"/>
      <c r="FG86" s="119"/>
      <c r="FH86" s="119"/>
      <c r="FI86" s="119"/>
      <c r="FJ86" s="119"/>
      <c r="FK86" s="119"/>
      <c r="FL86" s="119"/>
      <c r="FM86" s="119"/>
      <c r="FN86" s="119"/>
      <c r="FO86" s="119"/>
      <c r="FP86" s="119"/>
      <c r="FQ86" s="119"/>
      <c r="FR86" s="119"/>
      <c r="FS86" s="119"/>
      <c r="FT86" s="119"/>
      <c r="FU86" s="119"/>
      <c r="FV86" s="119"/>
      <c r="FW86" s="119"/>
      <c r="FX86" s="119"/>
      <c r="FY86" s="119"/>
      <c r="FZ86" s="119"/>
      <c r="GA86" s="119"/>
      <c r="GB86" s="119"/>
      <c r="GC86" s="119"/>
      <c r="GD86" s="119"/>
      <c r="GE86" s="119"/>
      <c r="GF86" s="119"/>
      <c r="GG86" s="119"/>
      <c r="GH86" s="119"/>
      <c r="GI86" s="119"/>
      <c r="GJ86" s="119"/>
      <c r="GK86" s="119"/>
      <c r="GL86" s="119"/>
      <c r="GM86" s="119"/>
      <c r="GN86" s="119"/>
      <c r="GO86" s="119"/>
      <c r="GP86" s="119"/>
      <c r="GQ86" s="119"/>
      <c r="GR86" s="119"/>
      <c r="GS86" s="119"/>
      <c r="GT86" s="119"/>
      <c r="GU86" s="119"/>
      <c r="GV86" s="119"/>
      <c r="GW86" s="119"/>
      <c r="GX86" s="119"/>
      <c r="GY86" s="119"/>
      <c r="GZ86" s="119"/>
      <c r="HA86" s="119"/>
      <c r="HB86" s="119"/>
      <c r="HC86" s="119"/>
      <c r="HD86" s="119"/>
      <c r="HE86" s="119"/>
      <c r="HF86" s="119"/>
      <c r="HG86" s="119"/>
      <c r="HH86" s="119"/>
      <c r="HI86" s="119"/>
      <c r="HJ86" s="119"/>
      <c r="HK86" s="119"/>
      <c r="HL86" s="119"/>
      <c r="HM86" s="119"/>
      <c r="HN86" s="119"/>
      <c r="HO86" s="119"/>
      <c r="HP86" s="119"/>
      <c r="HQ86" s="119"/>
      <c r="HR86" s="119"/>
      <c r="HS86" s="119"/>
      <c r="HT86" s="119"/>
      <c r="HU86" s="119"/>
      <c r="HV86" s="119"/>
      <c r="HW86" s="119"/>
      <c r="HX86" s="119"/>
      <c r="HY86" s="119"/>
      <c r="HZ86" s="119"/>
      <c r="IA86" s="119"/>
      <c r="IB86" s="119"/>
      <c r="IC86" s="119"/>
      <c r="ID86" s="119"/>
      <c r="IE86" s="119"/>
      <c r="IF86" s="119"/>
      <c r="IG86" s="119"/>
      <c r="IH86" s="119"/>
      <c r="II86" s="119"/>
      <c r="IJ86" s="119"/>
      <c r="IK86" s="119"/>
      <c r="IL86" s="119"/>
      <c r="IM86" s="119"/>
      <c r="IN86" s="119"/>
      <c r="IO86" s="119"/>
      <c r="IP86" s="119"/>
      <c r="IQ86" s="119"/>
      <c r="IR86" s="119"/>
      <c r="IS86" s="119"/>
      <c r="IT86" s="119"/>
      <c r="IU86" s="119"/>
      <c r="IV86" s="119"/>
      <c r="IW86" s="119"/>
      <c r="IX86" s="119"/>
      <c r="IY86" s="119"/>
      <c r="IZ86" s="119"/>
      <c r="JA86" s="119"/>
      <c r="JB86" s="119"/>
      <c r="JC86" s="119"/>
      <c r="JD86" s="119"/>
      <c r="JE86" s="119"/>
      <c r="JF86" s="119"/>
      <c r="JG86" s="119"/>
      <c r="JH86" s="119"/>
      <c r="JI86" s="119"/>
      <c r="JJ86" s="119"/>
      <c r="JK86" s="119"/>
      <c r="JL86" s="119"/>
      <c r="JM86" s="119"/>
      <c r="JN86" s="119"/>
      <c r="JO86" s="119"/>
      <c r="JP86" s="119"/>
      <c r="JQ86" s="119"/>
      <c r="JR86" s="119"/>
      <c r="JS86" s="119"/>
      <c r="JT86" s="119"/>
      <c r="JU86" s="119"/>
      <c r="JV86" s="119"/>
      <c r="JW86" s="119"/>
      <c r="JX86" s="119"/>
      <c r="JY86" s="119"/>
      <c r="JZ86" s="119"/>
      <c r="KA86" s="119"/>
      <c r="KB86" s="119"/>
      <c r="KC86" s="119"/>
      <c r="KD86" s="119"/>
      <c r="KE86" s="119"/>
      <c r="KF86" s="119"/>
      <c r="KG86" s="119"/>
      <c r="KH86" s="119"/>
      <c r="KI86" s="119"/>
      <c r="KJ86" s="119"/>
      <c r="KK86" s="119"/>
      <c r="KL86" s="119"/>
      <c r="KM86" s="119"/>
      <c r="KN86" s="119"/>
      <c r="KO86" s="119"/>
      <c r="KP86" s="119"/>
      <c r="KQ86" s="119"/>
      <c r="KR86" s="119"/>
      <c r="KS86" s="119"/>
      <c r="KT86" s="119"/>
      <c r="KU86" s="119"/>
      <c r="KV86" s="119"/>
      <c r="KW86" s="119"/>
      <c r="KX86" s="119"/>
      <c r="KY86" s="119"/>
      <c r="KZ86" s="119"/>
      <c r="LA86" s="119"/>
      <c r="LB86" s="119"/>
      <c r="LC86" s="119"/>
      <c r="LD86" s="119"/>
      <c r="LE86" s="119"/>
      <c r="LF86" s="119"/>
      <c r="LG86" s="119"/>
      <c r="LH86" s="119"/>
      <c r="LI86" s="119"/>
      <c r="LJ86" s="119"/>
      <c r="LK86" s="119"/>
      <c r="LL86" s="119"/>
      <c r="LM86" s="119"/>
      <c r="LN86" s="119"/>
      <c r="LO86" s="119"/>
      <c r="LP86" s="119"/>
      <c r="LQ86" s="119"/>
      <c r="LR86" s="119"/>
      <c r="LS86" s="119"/>
      <c r="LT86" s="119"/>
      <c r="LU86" s="119"/>
      <c r="LV86" s="119"/>
      <c r="LW86" s="119"/>
      <c r="LX86" s="119"/>
      <c r="LY86" s="119"/>
      <c r="LZ86" s="119"/>
      <c r="MA86" s="119"/>
      <c r="MB86" s="119"/>
      <c r="MC86" s="119"/>
      <c r="MD86" s="119"/>
      <c r="ME86" s="119"/>
      <c r="MF86" s="119"/>
      <c r="MG86" s="119"/>
      <c r="MH86" s="119"/>
      <c r="MI86" s="119"/>
      <c r="MJ86" s="119"/>
      <c r="MK86" s="119"/>
      <c r="ML86" s="119"/>
      <c r="MM86" s="119"/>
      <c r="MN86" s="119"/>
      <c r="MO86" s="119"/>
      <c r="MP86" s="119"/>
      <c r="MQ86" s="119"/>
      <c r="MR86" s="119"/>
      <c r="MS86" s="119"/>
      <c r="MT86" s="119"/>
      <c r="MU86" s="119"/>
      <c r="MV86" s="119"/>
      <c r="MW86" s="119"/>
      <c r="MX86" s="119"/>
      <c r="MY86" s="119"/>
      <c r="MZ86" s="119"/>
      <c r="NA86" s="119"/>
      <c r="NB86" s="119"/>
      <c r="NC86" s="119"/>
      <c r="ND86" s="119"/>
      <c r="NE86" s="119"/>
      <c r="NF86" s="119"/>
      <c r="NG86" s="119"/>
      <c r="NH86" s="119"/>
      <c r="NI86" s="119"/>
      <c r="NJ86" s="119"/>
      <c r="NK86" s="119"/>
      <c r="NL86" s="119"/>
      <c r="NM86" s="119"/>
      <c r="NN86" s="119"/>
      <c r="NO86" s="119"/>
      <c r="NP86" s="119"/>
      <c r="NQ86" s="119"/>
      <c r="NR86" s="119"/>
      <c r="NS86" s="119"/>
      <c r="NT86" s="119"/>
      <c r="NU86" s="119"/>
      <c r="NV86" s="119"/>
      <c r="NW86" s="119"/>
      <c r="NX86" s="119"/>
      <c r="NY86" s="119"/>
      <c r="NZ86" s="119"/>
      <c r="OA86" s="119"/>
    </row>
    <row r="87" spans="1:391" x14ac:dyDescent="0.2">
      <c r="A87" s="499"/>
      <c r="B87" s="548" t="s">
        <v>376</v>
      </c>
      <c r="C87" s="187"/>
      <c r="D87" s="187"/>
      <c r="E87" s="187"/>
      <c r="F87" s="564">
        <f t="shared" ca="1" si="6"/>
        <v>-43388</v>
      </c>
      <c r="G87" s="556"/>
      <c r="H87" s="556"/>
      <c r="I87" s="556"/>
      <c r="J87" s="38" t="str">
        <f t="shared" ca="1" si="7"/>
        <v>OVERDUE</v>
      </c>
      <c r="K87" s="557"/>
      <c r="BN87" s="119"/>
      <c r="BO87" s="119"/>
      <c r="BP87" s="119"/>
      <c r="BQ87" s="119"/>
      <c r="BR87" s="119"/>
      <c r="BS87" s="119"/>
      <c r="BT87" s="119"/>
      <c r="BU87" s="119"/>
      <c r="BV87" s="119"/>
      <c r="BW87" s="119"/>
      <c r="BX87" s="119"/>
      <c r="BY87" s="119"/>
      <c r="BZ87" s="119"/>
      <c r="CA87" s="119"/>
      <c r="CB87" s="119"/>
      <c r="CC87" s="119"/>
      <c r="CD87" s="119"/>
      <c r="CE87" s="119"/>
      <c r="CF87" s="119"/>
      <c r="CG87" s="119"/>
      <c r="CH87" s="119"/>
      <c r="CI87" s="119"/>
      <c r="CJ87" s="119"/>
      <c r="CK87" s="119"/>
      <c r="CL87" s="119"/>
      <c r="CM87" s="119"/>
      <c r="CN87" s="119"/>
      <c r="CO87" s="119"/>
      <c r="CP87" s="119"/>
      <c r="CQ87" s="119"/>
      <c r="CR87" s="119"/>
      <c r="CS87" s="119"/>
      <c r="CT87" s="119"/>
      <c r="CU87" s="119"/>
      <c r="CV87" s="119"/>
      <c r="CW87" s="119"/>
      <c r="CX87" s="119"/>
      <c r="CY87" s="119"/>
      <c r="CZ87" s="119"/>
      <c r="DA87" s="119"/>
      <c r="DB87" s="119"/>
      <c r="DC87" s="119"/>
      <c r="DD87" s="119"/>
      <c r="DE87" s="119"/>
      <c r="DF87" s="119"/>
      <c r="DG87" s="119"/>
      <c r="DH87" s="119"/>
      <c r="DI87" s="119"/>
      <c r="DJ87" s="119"/>
      <c r="DK87" s="119"/>
      <c r="DL87" s="119"/>
      <c r="DM87" s="119"/>
      <c r="DN87" s="119"/>
      <c r="DO87" s="119"/>
      <c r="DP87" s="119"/>
      <c r="DQ87" s="119"/>
      <c r="DR87" s="119"/>
      <c r="DS87" s="119"/>
      <c r="DT87" s="119"/>
      <c r="DU87" s="119"/>
      <c r="DV87" s="119"/>
      <c r="DW87" s="119"/>
      <c r="DX87" s="119"/>
      <c r="DY87" s="119"/>
      <c r="DZ87" s="119"/>
      <c r="EA87" s="119"/>
      <c r="EB87" s="119"/>
      <c r="EC87" s="119"/>
      <c r="ED87" s="119"/>
      <c r="EE87" s="119"/>
      <c r="EF87" s="119"/>
      <c r="EG87" s="119"/>
      <c r="EH87" s="119"/>
      <c r="EI87" s="119"/>
      <c r="EJ87" s="119"/>
      <c r="EK87" s="119"/>
      <c r="EL87" s="119"/>
      <c r="EM87" s="119"/>
      <c r="EN87" s="119"/>
      <c r="EO87" s="119"/>
      <c r="EP87" s="119"/>
      <c r="EQ87" s="119"/>
      <c r="ER87" s="119"/>
      <c r="ES87" s="119"/>
      <c r="ET87" s="119"/>
      <c r="EU87" s="119"/>
      <c r="EV87" s="119"/>
      <c r="EW87" s="119"/>
      <c r="EX87" s="119"/>
      <c r="EY87" s="119"/>
      <c r="EZ87" s="119"/>
      <c r="FA87" s="119"/>
      <c r="FB87" s="119"/>
      <c r="FC87" s="119"/>
      <c r="FD87" s="119"/>
      <c r="FE87" s="119"/>
      <c r="FF87" s="119"/>
      <c r="FG87" s="119"/>
      <c r="FH87" s="119"/>
      <c r="FI87" s="119"/>
      <c r="FJ87" s="119"/>
      <c r="FK87" s="119"/>
      <c r="FL87" s="119"/>
      <c r="FM87" s="119"/>
      <c r="FN87" s="119"/>
      <c r="FO87" s="119"/>
      <c r="FP87" s="119"/>
      <c r="FQ87" s="119"/>
      <c r="FR87" s="119"/>
      <c r="FS87" s="119"/>
      <c r="FT87" s="119"/>
      <c r="FU87" s="119"/>
      <c r="FV87" s="119"/>
      <c r="FW87" s="119"/>
      <c r="FX87" s="119"/>
      <c r="FY87" s="119"/>
      <c r="FZ87" s="119"/>
      <c r="GA87" s="119"/>
      <c r="GB87" s="119"/>
      <c r="GC87" s="119"/>
      <c r="GD87" s="119"/>
      <c r="GE87" s="119"/>
      <c r="GF87" s="119"/>
      <c r="GG87" s="119"/>
      <c r="GH87" s="119"/>
      <c r="GI87" s="119"/>
      <c r="GJ87" s="119"/>
      <c r="GK87" s="119"/>
      <c r="GL87" s="119"/>
      <c r="GM87" s="119"/>
      <c r="GN87" s="119"/>
      <c r="GO87" s="119"/>
      <c r="GP87" s="119"/>
      <c r="GQ87" s="119"/>
      <c r="GR87" s="119"/>
      <c r="GS87" s="119"/>
      <c r="GT87" s="119"/>
      <c r="GU87" s="119"/>
      <c r="GV87" s="119"/>
      <c r="GW87" s="119"/>
      <c r="GX87" s="119"/>
      <c r="GY87" s="119"/>
      <c r="GZ87" s="119"/>
      <c r="HA87" s="119"/>
      <c r="HB87" s="119"/>
      <c r="HC87" s="119"/>
      <c r="HD87" s="119"/>
      <c r="HE87" s="119"/>
      <c r="HF87" s="119"/>
      <c r="HG87" s="119"/>
      <c r="HH87" s="119"/>
      <c r="HI87" s="119"/>
      <c r="HJ87" s="119"/>
      <c r="HK87" s="119"/>
      <c r="HL87" s="119"/>
      <c r="HM87" s="119"/>
      <c r="HN87" s="119"/>
      <c r="HO87" s="119"/>
      <c r="HP87" s="119"/>
      <c r="HQ87" s="119"/>
      <c r="HR87" s="119"/>
      <c r="HS87" s="119"/>
      <c r="HT87" s="119"/>
      <c r="HU87" s="119"/>
      <c r="HV87" s="119"/>
      <c r="HW87" s="119"/>
      <c r="HX87" s="119"/>
      <c r="HY87" s="119"/>
      <c r="HZ87" s="119"/>
      <c r="IA87" s="119"/>
      <c r="IB87" s="119"/>
      <c r="IC87" s="119"/>
      <c r="ID87" s="119"/>
      <c r="IE87" s="119"/>
      <c r="IF87" s="119"/>
      <c r="IG87" s="119"/>
      <c r="IH87" s="119"/>
      <c r="II87" s="119"/>
      <c r="IJ87" s="119"/>
      <c r="IK87" s="119"/>
      <c r="IL87" s="119"/>
      <c r="IM87" s="119"/>
      <c r="IN87" s="119"/>
      <c r="IO87" s="119"/>
      <c r="IP87" s="119"/>
      <c r="IQ87" s="119"/>
      <c r="IR87" s="119"/>
      <c r="IS87" s="119"/>
      <c r="IT87" s="119"/>
      <c r="IU87" s="119"/>
      <c r="IV87" s="119"/>
      <c r="IW87" s="119"/>
      <c r="IX87" s="119"/>
      <c r="IY87" s="119"/>
      <c r="IZ87" s="119"/>
      <c r="JA87" s="119"/>
      <c r="JB87" s="119"/>
      <c r="JC87" s="119"/>
      <c r="JD87" s="119"/>
      <c r="JE87" s="119"/>
      <c r="JF87" s="119"/>
      <c r="JG87" s="119"/>
      <c r="JH87" s="119"/>
      <c r="JI87" s="119"/>
      <c r="JJ87" s="119"/>
      <c r="JK87" s="119"/>
      <c r="JL87" s="119"/>
      <c r="JM87" s="119"/>
      <c r="JN87" s="119"/>
      <c r="JO87" s="119"/>
      <c r="JP87" s="119"/>
      <c r="JQ87" s="119"/>
      <c r="JR87" s="119"/>
      <c r="JS87" s="119"/>
      <c r="JT87" s="119"/>
      <c r="JU87" s="119"/>
      <c r="JV87" s="119"/>
      <c r="JW87" s="119"/>
      <c r="JX87" s="119"/>
      <c r="JY87" s="119"/>
      <c r="JZ87" s="119"/>
      <c r="KA87" s="119"/>
      <c r="KB87" s="119"/>
      <c r="KC87" s="119"/>
      <c r="KD87" s="119"/>
      <c r="KE87" s="119"/>
      <c r="KF87" s="119"/>
      <c r="KG87" s="119"/>
      <c r="KH87" s="119"/>
      <c r="KI87" s="119"/>
      <c r="KJ87" s="119"/>
      <c r="KK87" s="119"/>
      <c r="KL87" s="119"/>
      <c r="KM87" s="119"/>
      <c r="KN87" s="119"/>
      <c r="KO87" s="119"/>
      <c r="KP87" s="119"/>
      <c r="KQ87" s="119"/>
      <c r="KR87" s="119"/>
      <c r="KS87" s="119"/>
      <c r="KT87" s="119"/>
      <c r="KU87" s="119"/>
      <c r="KV87" s="119"/>
      <c r="KW87" s="119"/>
      <c r="KX87" s="119"/>
      <c r="KY87" s="119"/>
      <c r="KZ87" s="119"/>
      <c r="LA87" s="119"/>
      <c r="LB87" s="119"/>
      <c r="LC87" s="119"/>
      <c r="LD87" s="119"/>
      <c r="LE87" s="119"/>
      <c r="LF87" s="119"/>
      <c r="LG87" s="119"/>
      <c r="LH87" s="119"/>
      <c r="LI87" s="119"/>
      <c r="LJ87" s="119"/>
      <c r="LK87" s="119"/>
      <c r="LL87" s="119"/>
      <c r="LM87" s="119"/>
      <c r="LN87" s="119"/>
      <c r="LO87" s="119"/>
      <c r="LP87" s="119"/>
      <c r="LQ87" s="119"/>
      <c r="LR87" s="119"/>
      <c r="LS87" s="119"/>
      <c r="LT87" s="119"/>
      <c r="LU87" s="119"/>
      <c r="LV87" s="119"/>
      <c r="LW87" s="119"/>
      <c r="LX87" s="119"/>
      <c r="LY87" s="119"/>
      <c r="LZ87" s="119"/>
      <c r="MA87" s="119"/>
      <c r="MB87" s="119"/>
      <c r="MC87" s="119"/>
      <c r="MD87" s="119"/>
      <c r="ME87" s="119"/>
      <c r="MF87" s="119"/>
      <c r="MG87" s="119"/>
      <c r="MH87" s="119"/>
      <c r="MI87" s="119"/>
      <c r="MJ87" s="119"/>
      <c r="MK87" s="119"/>
      <c r="ML87" s="119"/>
      <c r="MM87" s="119"/>
      <c r="MN87" s="119"/>
      <c r="MO87" s="119"/>
      <c r="MP87" s="119"/>
      <c r="MQ87" s="119"/>
      <c r="MR87" s="119"/>
      <c r="MS87" s="119"/>
      <c r="MT87" s="119"/>
      <c r="MU87" s="119"/>
      <c r="MV87" s="119"/>
      <c r="MW87" s="119"/>
      <c r="MX87" s="119"/>
      <c r="MY87" s="119"/>
      <c r="MZ87" s="119"/>
      <c r="NA87" s="119"/>
      <c r="NB87" s="119"/>
      <c r="NC87" s="119"/>
      <c r="ND87" s="119"/>
      <c r="NE87" s="119"/>
      <c r="NF87" s="119"/>
      <c r="NG87" s="119"/>
      <c r="NH87" s="119"/>
      <c r="NI87" s="119"/>
      <c r="NJ87" s="119"/>
      <c r="NK87" s="119"/>
      <c r="NL87" s="119"/>
      <c r="NM87" s="119"/>
      <c r="NN87" s="119"/>
      <c r="NO87" s="119"/>
      <c r="NP87" s="119"/>
      <c r="NQ87" s="119"/>
      <c r="NR87" s="119"/>
      <c r="NS87" s="119"/>
      <c r="NT87" s="119"/>
      <c r="NU87" s="119"/>
      <c r="NV87" s="119"/>
      <c r="NW87" s="119"/>
      <c r="NX87" s="119"/>
      <c r="NY87" s="119"/>
      <c r="NZ87" s="119"/>
      <c r="OA87" s="119"/>
    </row>
    <row r="88" spans="1:391" x14ac:dyDescent="0.2">
      <c r="A88" s="499"/>
      <c r="B88" s="548" t="s">
        <v>377</v>
      </c>
      <c r="C88" s="187"/>
      <c r="D88" s="187"/>
      <c r="E88" s="185"/>
      <c r="F88" s="564">
        <f t="shared" ca="1" si="6"/>
        <v>-43388</v>
      </c>
      <c r="G88" s="556"/>
      <c r="H88" s="556"/>
      <c r="I88" s="556"/>
      <c r="J88" s="38" t="str">
        <f t="shared" ca="1" si="7"/>
        <v>OVERDUE</v>
      </c>
      <c r="K88" s="557"/>
      <c r="BN88" s="119"/>
      <c r="BO88" s="119"/>
      <c r="BP88" s="119"/>
      <c r="BQ88" s="119"/>
      <c r="BR88" s="119"/>
      <c r="BS88" s="119"/>
      <c r="BT88" s="119"/>
      <c r="BU88" s="119"/>
      <c r="BV88" s="119"/>
      <c r="BW88" s="119"/>
      <c r="BX88" s="119"/>
      <c r="BY88" s="119"/>
      <c r="BZ88" s="119"/>
      <c r="CA88" s="119"/>
      <c r="CB88" s="119"/>
      <c r="CC88" s="119"/>
      <c r="CD88" s="119"/>
      <c r="CE88" s="119"/>
      <c r="CF88" s="119"/>
      <c r="CG88" s="119"/>
      <c r="CH88" s="119"/>
      <c r="CI88" s="119"/>
      <c r="CJ88" s="119"/>
      <c r="CK88" s="119"/>
      <c r="CL88" s="119"/>
      <c r="CM88" s="119"/>
      <c r="CN88" s="119"/>
      <c r="CO88" s="119"/>
      <c r="CP88" s="119"/>
      <c r="CQ88" s="119"/>
      <c r="CR88" s="119"/>
      <c r="CS88" s="119"/>
      <c r="CT88" s="119"/>
      <c r="CU88" s="119"/>
      <c r="CV88" s="119"/>
      <c r="CW88" s="119"/>
      <c r="CX88" s="119"/>
      <c r="CY88" s="119"/>
      <c r="CZ88" s="119"/>
      <c r="DA88" s="119"/>
      <c r="DB88" s="119"/>
      <c r="DC88" s="119"/>
      <c r="DD88" s="119"/>
      <c r="DE88" s="119"/>
      <c r="DF88" s="119"/>
      <c r="DG88" s="119"/>
      <c r="DH88" s="119"/>
      <c r="DI88" s="119"/>
      <c r="DJ88" s="119"/>
      <c r="DK88" s="119"/>
      <c r="DL88" s="119"/>
      <c r="DM88" s="119"/>
      <c r="DN88" s="119"/>
      <c r="DO88" s="119"/>
      <c r="DP88" s="119"/>
      <c r="DQ88" s="119"/>
      <c r="DR88" s="119"/>
      <c r="DS88" s="119"/>
      <c r="DT88" s="119"/>
      <c r="DU88" s="119"/>
      <c r="DV88" s="119"/>
      <c r="DW88" s="119"/>
      <c r="DX88" s="119"/>
      <c r="DY88" s="119"/>
      <c r="DZ88" s="119"/>
      <c r="EA88" s="119"/>
      <c r="EB88" s="119"/>
      <c r="EC88" s="119"/>
      <c r="ED88" s="119"/>
      <c r="EE88" s="119"/>
      <c r="EF88" s="119"/>
      <c r="EG88" s="119"/>
      <c r="EH88" s="119"/>
      <c r="EI88" s="119"/>
      <c r="EJ88" s="119"/>
      <c r="EK88" s="119"/>
      <c r="EL88" s="119"/>
      <c r="EM88" s="119"/>
      <c r="EN88" s="119"/>
      <c r="EO88" s="119"/>
      <c r="EP88" s="119"/>
      <c r="EQ88" s="119"/>
      <c r="ER88" s="119"/>
      <c r="ES88" s="119"/>
      <c r="ET88" s="119"/>
      <c r="EU88" s="119"/>
      <c r="EV88" s="119"/>
      <c r="EW88" s="119"/>
      <c r="EX88" s="119"/>
      <c r="EY88" s="119"/>
      <c r="EZ88" s="119"/>
      <c r="FA88" s="119"/>
      <c r="FB88" s="119"/>
      <c r="FC88" s="119"/>
      <c r="FD88" s="119"/>
      <c r="FE88" s="119"/>
      <c r="FF88" s="119"/>
      <c r="FG88" s="119"/>
      <c r="FH88" s="119"/>
      <c r="FI88" s="119"/>
      <c r="FJ88" s="119"/>
      <c r="FK88" s="119"/>
      <c r="FL88" s="119"/>
      <c r="FM88" s="119"/>
      <c r="FN88" s="119"/>
      <c r="FO88" s="119"/>
      <c r="FP88" s="119"/>
      <c r="FQ88" s="119"/>
      <c r="FR88" s="119"/>
      <c r="FS88" s="119"/>
      <c r="FT88" s="119"/>
      <c r="FU88" s="119"/>
      <c r="FV88" s="119"/>
      <c r="FW88" s="119"/>
      <c r="FX88" s="119"/>
      <c r="FY88" s="119"/>
      <c r="FZ88" s="119"/>
      <c r="GA88" s="119"/>
      <c r="GB88" s="119"/>
      <c r="GC88" s="119"/>
      <c r="GD88" s="119"/>
      <c r="GE88" s="119"/>
      <c r="GF88" s="119"/>
      <c r="GG88" s="119"/>
      <c r="GH88" s="119"/>
      <c r="GI88" s="119"/>
      <c r="GJ88" s="119"/>
      <c r="GK88" s="119"/>
      <c r="GL88" s="119"/>
      <c r="GM88" s="119"/>
      <c r="GN88" s="119"/>
      <c r="GO88" s="119"/>
      <c r="GP88" s="119"/>
      <c r="GQ88" s="119"/>
      <c r="GR88" s="119"/>
      <c r="GS88" s="119"/>
      <c r="GT88" s="119"/>
      <c r="GU88" s="119"/>
      <c r="GV88" s="119"/>
      <c r="GW88" s="119"/>
      <c r="GX88" s="119"/>
      <c r="GY88" s="119"/>
      <c r="GZ88" s="119"/>
      <c r="HA88" s="119"/>
      <c r="HB88" s="119"/>
      <c r="HC88" s="119"/>
      <c r="HD88" s="119"/>
      <c r="HE88" s="119"/>
      <c r="HF88" s="119"/>
      <c r="HG88" s="119"/>
      <c r="HH88" s="119"/>
      <c r="HI88" s="119"/>
      <c r="HJ88" s="119"/>
      <c r="HK88" s="119"/>
      <c r="HL88" s="119"/>
      <c r="HM88" s="119"/>
      <c r="HN88" s="119"/>
      <c r="HO88" s="119"/>
      <c r="HP88" s="119"/>
      <c r="HQ88" s="119"/>
      <c r="HR88" s="119"/>
      <c r="HS88" s="119"/>
      <c r="HT88" s="119"/>
      <c r="HU88" s="119"/>
      <c r="HV88" s="119"/>
      <c r="HW88" s="119"/>
      <c r="HX88" s="119"/>
      <c r="HY88" s="119"/>
      <c r="HZ88" s="119"/>
      <c r="IA88" s="119"/>
      <c r="IB88" s="119"/>
      <c r="IC88" s="119"/>
      <c r="ID88" s="119"/>
      <c r="IE88" s="119"/>
      <c r="IF88" s="119"/>
      <c r="IG88" s="119"/>
      <c r="IH88" s="119"/>
      <c r="II88" s="119"/>
      <c r="IJ88" s="119"/>
      <c r="IK88" s="119"/>
      <c r="IL88" s="119"/>
      <c r="IM88" s="119"/>
      <c r="IN88" s="119"/>
      <c r="IO88" s="119"/>
      <c r="IP88" s="119"/>
      <c r="IQ88" s="119"/>
      <c r="IR88" s="119"/>
      <c r="IS88" s="119"/>
      <c r="IT88" s="119"/>
      <c r="IU88" s="119"/>
      <c r="IV88" s="119"/>
      <c r="IW88" s="119"/>
      <c r="IX88" s="119"/>
      <c r="IY88" s="119"/>
      <c r="IZ88" s="119"/>
      <c r="JA88" s="119"/>
      <c r="JB88" s="119"/>
      <c r="JC88" s="119"/>
      <c r="JD88" s="119"/>
      <c r="JE88" s="119"/>
      <c r="JF88" s="119"/>
      <c r="JG88" s="119"/>
      <c r="JH88" s="119"/>
      <c r="JI88" s="119"/>
      <c r="JJ88" s="119"/>
      <c r="JK88" s="119"/>
      <c r="JL88" s="119"/>
      <c r="JM88" s="119"/>
      <c r="JN88" s="119"/>
      <c r="JO88" s="119"/>
      <c r="JP88" s="119"/>
      <c r="JQ88" s="119"/>
      <c r="JR88" s="119"/>
      <c r="JS88" s="119"/>
      <c r="JT88" s="119"/>
      <c r="JU88" s="119"/>
      <c r="JV88" s="119"/>
      <c r="JW88" s="119"/>
      <c r="JX88" s="119"/>
      <c r="JY88" s="119"/>
      <c r="JZ88" s="119"/>
      <c r="KA88" s="119"/>
      <c r="KB88" s="119"/>
      <c r="KC88" s="119"/>
      <c r="KD88" s="119"/>
      <c r="KE88" s="119"/>
      <c r="KF88" s="119"/>
      <c r="KG88" s="119"/>
      <c r="KH88" s="119"/>
      <c r="KI88" s="119"/>
      <c r="KJ88" s="119"/>
      <c r="KK88" s="119"/>
      <c r="KL88" s="119"/>
      <c r="KM88" s="119"/>
      <c r="KN88" s="119"/>
      <c r="KO88" s="119"/>
      <c r="KP88" s="119"/>
      <c r="KQ88" s="119"/>
      <c r="KR88" s="119"/>
      <c r="KS88" s="119"/>
      <c r="KT88" s="119"/>
      <c r="KU88" s="119"/>
      <c r="KV88" s="119"/>
      <c r="KW88" s="119"/>
      <c r="KX88" s="119"/>
      <c r="KY88" s="119"/>
      <c r="KZ88" s="119"/>
      <c r="LA88" s="119"/>
      <c r="LB88" s="119"/>
      <c r="LC88" s="119"/>
      <c r="LD88" s="119"/>
      <c r="LE88" s="119"/>
      <c r="LF88" s="119"/>
      <c r="LG88" s="119"/>
      <c r="LH88" s="119"/>
      <c r="LI88" s="119"/>
      <c r="LJ88" s="119"/>
      <c r="LK88" s="119"/>
      <c r="LL88" s="119"/>
      <c r="LM88" s="119"/>
      <c r="LN88" s="119"/>
      <c r="LO88" s="119"/>
      <c r="LP88" s="119"/>
      <c r="LQ88" s="119"/>
      <c r="LR88" s="119"/>
      <c r="LS88" s="119"/>
      <c r="LT88" s="119"/>
      <c r="LU88" s="119"/>
      <c r="LV88" s="119"/>
      <c r="LW88" s="119"/>
      <c r="LX88" s="119"/>
      <c r="LY88" s="119"/>
      <c r="LZ88" s="119"/>
      <c r="MA88" s="119"/>
      <c r="MB88" s="119"/>
      <c r="MC88" s="119"/>
      <c r="MD88" s="119"/>
      <c r="ME88" s="119"/>
      <c r="MF88" s="119"/>
      <c r="MG88" s="119"/>
      <c r="MH88" s="119"/>
      <c r="MI88" s="119"/>
      <c r="MJ88" s="119"/>
      <c r="MK88" s="119"/>
      <c r="ML88" s="119"/>
      <c r="MM88" s="119"/>
      <c r="MN88" s="119"/>
      <c r="MO88" s="119"/>
      <c r="MP88" s="119"/>
      <c r="MQ88" s="119"/>
      <c r="MR88" s="119"/>
      <c r="MS88" s="119"/>
      <c r="MT88" s="119"/>
      <c r="MU88" s="119"/>
      <c r="MV88" s="119"/>
      <c r="MW88" s="119"/>
      <c r="MX88" s="119"/>
      <c r="MY88" s="119"/>
      <c r="MZ88" s="119"/>
      <c r="NA88" s="119"/>
      <c r="NB88" s="119"/>
      <c r="NC88" s="119"/>
      <c r="ND88" s="119"/>
      <c r="NE88" s="119"/>
      <c r="NF88" s="119"/>
      <c r="NG88" s="119"/>
      <c r="NH88" s="119"/>
      <c r="NI88" s="119"/>
      <c r="NJ88" s="119"/>
      <c r="NK88" s="119"/>
      <c r="NL88" s="119"/>
      <c r="NM88" s="119"/>
      <c r="NN88" s="119"/>
      <c r="NO88" s="119"/>
      <c r="NP88" s="119"/>
      <c r="NQ88" s="119"/>
      <c r="NR88" s="119"/>
      <c r="NS88" s="119"/>
      <c r="NT88" s="119"/>
      <c r="NU88" s="119"/>
      <c r="NV88" s="119"/>
      <c r="NW88" s="119"/>
      <c r="NX88" s="119"/>
      <c r="NY88" s="119"/>
      <c r="NZ88" s="119"/>
      <c r="OA88" s="119"/>
    </row>
    <row r="89" spans="1:391" ht="15" x14ac:dyDescent="0.25">
      <c r="A89" s="499"/>
      <c r="B89" s="550" t="s">
        <v>378</v>
      </c>
      <c r="C89" s="187"/>
      <c r="D89" s="551"/>
      <c r="E89" s="551"/>
      <c r="F89" s="564">
        <f t="shared" ca="1" si="6"/>
        <v>-43388</v>
      </c>
      <c r="G89" s="556"/>
      <c r="H89" s="556"/>
      <c r="I89" s="556"/>
      <c r="J89" s="38" t="str">
        <f ca="1">IF(AND(J90="completed",J91="completed",J92="completed"),"Deliverable Completed","DELIVERABLE STILL IN PROGRESS")</f>
        <v>DELIVERABLE STILL IN PROGRESS</v>
      </c>
      <c r="K89" s="557"/>
      <c r="BN89" s="119"/>
      <c r="BO89" s="119"/>
      <c r="BP89" s="119"/>
      <c r="BQ89" s="119"/>
      <c r="BR89" s="119"/>
      <c r="BS89" s="119"/>
      <c r="BT89" s="119"/>
      <c r="BU89" s="119"/>
      <c r="BV89" s="119"/>
      <c r="BW89" s="119"/>
      <c r="BX89" s="119"/>
      <c r="BY89" s="119"/>
      <c r="BZ89" s="119"/>
      <c r="CA89" s="119"/>
      <c r="CB89" s="119"/>
      <c r="CC89" s="119"/>
      <c r="CD89" s="119"/>
      <c r="CE89" s="119"/>
      <c r="CF89" s="119"/>
      <c r="CG89" s="119"/>
      <c r="CH89" s="119"/>
      <c r="CI89" s="119"/>
      <c r="CJ89" s="119"/>
      <c r="CK89" s="119"/>
      <c r="CL89" s="119"/>
      <c r="CM89" s="119"/>
      <c r="CN89" s="119"/>
      <c r="CO89" s="119"/>
      <c r="CP89" s="119"/>
      <c r="CQ89" s="119"/>
      <c r="CR89" s="119"/>
      <c r="CS89" s="119"/>
      <c r="CT89" s="119"/>
      <c r="CU89" s="119"/>
      <c r="CV89" s="119"/>
      <c r="CW89" s="119"/>
      <c r="CX89" s="119"/>
      <c r="CY89" s="119"/>
      <c r="CZ89" s="119"/>
      <c r="DA89" s="119"/>
      <c r="DB89" s="119"/>
      <c r="DC89" s="119"/>
      <c r="DD89" s="119"/>
      <c r="DE89" s="119"/>
      <c r="DF89" s="119"/>
      <c r="DG89" s="119"/>
      <c r="DH89" s="119"/>
      <c r="DI89" s="119"/>
      <c r="DJ89" s="119"/>
      <c r="DK89" s="119"/>
      <c r="DL89" s="119"/>
      <c r="DM89" s="119"/>
      <c r="DN89" s="119"/>
      <c r="DO89" s="119"/>
      <c r="DP89" s="119"/>
      <c r="DQ89" s="119"/>
      <c r="DR89" s="119"/>
      <c r="DS89" s="119"/>
      <c r="DT89" s="119"/>
      <c r="DU89" s="119"/>
      <c r="DV89" s="119"/>
      <c r="DW89" s="119"/>
      <c r="DX89" s="119"/>
      <c r="DY89" s="119"/>
      <c r="DZ89" s="119"/>
      <c r="EA89" s="119"/>
      <c r="EB89" s="119"/>
      <c r="EC89" s="119"/>
      <c r="ED89" s="119"/>
      <c r="EE89" s="119"/>
      <c r="EF89" s="119"/>
      <c r="EG89" s="119"/>
      <c r="EH89" s="119"/>
      <c r="EI89" s="119"/>
      <c r="EJ89" s="119"/>
      <c r="EK89" s="119"/>
      <c r="EL89" s="119"/>
      <c r="EM89" s="119"/>
      <c r="EN89" s="119"/>
      <c r="EO89" s="119"/>
      <c r="EP89" s="119"/>
      <c r="EQ89" s="119"/>
      <c r="ER89" s="119"/>
      <c r="ES89" s="119"/>
      <c r="ET89" s="119"/>
      <c r="EU89" s="119"/>
      <c r="EV89" s="119"/>
      <c r="EW89" s="119"/>
      <c r="EX89" s="119"/>
      <c r="EY89" s="119"/>
      <c r="EZ89" s="119"/>
      <c r="FA89" s="119"/>
      <c r="FB89" s="119"/>
      <c r="FC89" s="119"/>
      <c r="FD89" s="119"/>
      <c r="FE89" s="119"/>
      <c r="FF89" s="119"/>
      <c r="FG89" s="119"/>
      <c r="FH89" s="119"/>
      <c r="FI89" s="119"/>
      <c r="FJ89" s="119"/>
      <c r="FK89" s="119"/>
      <c r="FL89" s="119"/>
      <c r="FM89" s="119"/>
      <c r="FN89" s="119"/>
      <c r="FO89" s="119"/>
      <c r="FP89" s="119"/>
      <c r="FQ89" s="119"/>
      <c r="FR89" s="119"/>
      <c r="FS89" s="119"/>
      <c r="FT89" s="119"/>
      <c r="FU89" s="119"/>
      <c r="FV89" s="119"/>
      <c r="FW89" s="119"/>
      <c r="FX89" s="119"/>
      <c r="FY89" s="119"/>
      <c r="FZ89" s="119"/>
      <c r="GA89" s="119"/>
      <c r="GB89" s="119"/>
      <c r="GC89" s="119"/>
      <c r="GD89" s="119"/>
      <c r="GE89" s="119"/>
      <c r="GF89" s="119"/>
      <c r="GG89" s="119"/>
      <c r="GH89" s="119"/>
      <c r="GI89" s="119"/>
      <c r="GJ89" s="119"/>
      <c r="GK89" s="119"/>
      <c r="GL89" s="119"/>
      <c r="GM89" s="119"/>
      <c r="GN89" s="119"/>
      <c r="GO89" s="119"/>
      <c r="GP89" s="119"/>
      <c r="GQ89" s="119"/>
      <c r="GR89" s="119"/>
      <c r="GS89" s="119"/>
      <c r="GT89" s="119"/>
      <c r="GU89" s="119"/>
      <c r="GV89" s="119"/>
      <c r="GW89" s="119"/>
      <c r="GX89" s="119"/>
      <c r="GY89" s="119"/>
      <c r="GZ89" s="119"/>
      <c r="HA89" s="119"/>
      <c r="HB89" s="119"/>
      <c r="HC89" s="119"/>
      <c r="HD89" s="119"/>
      <c r="HE89" s="119"/>
      <c r="HF89" s="119"/>
      <c r="HG89" s="119"/>
      <c r="HH89" s="119"/>
      <c r="HI89" s="119"/>
      <c r="HJ89" s="119"/>
      <c r="HK89" s="119"/>
      <c r="HL89" s="119"/>
      <c r="HM89" s="119"/>
      <c r="HN89" s="119"/>
      <c r="HO89" s="119"/>
      <c r="HP89" s="119"/>
      <c r="HQ89" s="119"/>
      <c r="HR89" s="119"/>
      <c r="HS89" s="119"/>
      <c r="HT89" s="119"/>
      <c r="HU89" s="119"/>
      <c r="HV89" s="119"/>
      <c r="HW89" s="119"/>
      <c r="HX89" s="119"/>
      <c r="HY89" s="119"/>
      <c r="HZ89" s="119"/>
      <c r="IA89" s="119"/>
      <c r="IB89" s="119"/>
      <c r="IC89" s="119"/>
      <c r="ID89" s="119"/>
      <c r="IE89" s="119"/>
      <c r="IF89" s="119"/>
      <c r="IG89" s="119"/>
      <c r="IH89" s="119"/>
      <c r="II89" s="119"/>
      <c r="IJ89" s="119"/>
      <c r="IK89" s="119"/>
      <c r="IL89" s="119"/>
      <c r="IM89" s="119"/>
      <c r="IN89" s="119"/>
      <c r="IO89" s="119"/>
      <c r="IP89" s="119"/>
      <c r="IQ89" s="119"/>
      <c r="IR89" s="119"/>
      <c r="IS89" s="119"/>
      <c r="IT89" s="119"/>
      <c r="IU89" s="119"/>
      <c r="IV89" s="119"/>
      <c r="IW89" s="119"/>
      <c r="IX89" s="119"/>
      <c r="IY89" s="119"/>
      <c r="IZ89" s="119"/>
      <c r="JA89" s="119"/>
      <c r="JB89" s="119"/>
      <c r="JC89" s="119"/>
      <c r="JD89" s="119"/>
      <c r="JE89" s="119"/>
      <c r="JF89" s="119"/>
      <c r="JG89" s="119"/>
      <c r="JH89" s="119"/>
      <c r="JI89" s="119"/>
      <c r="JJ89" s="119"/>
      <c r="JK89" s="119"/>
      <c r="JL89" s="119"/>
      <c r="JM89" s="119"/>
      <c r="JN89" s="119"/>
      <c r="JO89" s="119"/>
      <c r="JP89" s="119"/>
      <c r="JQ89" s="119"/>
      <c r="JR89" s="119"/>
      <c r="JS89" s="119"/>
      <c r="JT89" s="119"/>
      <c r="JU89" s="119"/>
      <c r="JV89" s="119"/>
      <c r="JW89" s="119"/>
      <c r="JX89" s="119"/>
      <c r="JY89" s="119"/>
      <c r="JZ89" s="119"/>
      <c r="KA89" s="119"/>
      <c r="KB89" s="119"/>
      <c r="KC89" s="119"/>
      <c r="KD89" s="119"/>
      <c r="KE89" s="119"/>
      <c r="KF89" s="119"/>
      <c r="KG89" s="119"/>
      <c r="KH89" s="119"/>
      <c r="KI89" s="119"/>
      <c r="KJ89" s="119"/>
      <c r="KK89" s="119"/>
      <c r="KL89" s="119"/>
      <c r="KM89" s="119"/>
      <c r="KN89" s="119"/>
      <c r="KO89" s="119"/>
      <c r="KP89" s="119"/>
      <c r="KQ89" s="119"/>
      <c r="KR89" s="119"/>
      <c r="KS89" s="119"/>
      <c r="KT89" s="119"/>
      <c r="KU89" s="119"/>
      <c r="KV89" s="119"/>
      <c r="KW89" s="119"/>
      <c r="KX89" s="119"/>
      <c r="KY89" s="119"/>
      <c r="KZ89" s="119"/>
      <c r="LA89" s="119"/>
      <c r="LB89" s="119"/>
      <c r="LC89" s="119"/>
      <c r="LD89" s="119"/>
      <c r="LE89" s="119"/>
      <c r="LF89" s="119"/>
      <c r="LG89" s="119"/>
      <c r="LH89" s="119"/>
      <c r="LI89" s="119"/>
      <c r="LJ89" s="119"/>
      <c r="LK89" s="119"/>
      <c r="LL89" s="119"/>
      <c r="LM89" s="119"/>
      <c r="LN89" s="119"/>
      <c r="LO89" s="119"/>
      <c r="LP89" s="119"/>
      <c r="LQ89" s="119"/>
      <c r="LR89" s="119"/>
      <c r="LS89" s="119"/>
      <c r="LT89" s="119"/>
      <c r="LU89" s="119"/>
      <c r="LV89" s="119"/>
      <c r="LW89" s="119"/>
      <c r="LX89" s="119"/>
      <c r="LY89" s="119"/>
      <c r="LZ89" s="119"/>
      <c r="MA89" s="119"/>
      <c r="MB89" s="119"/>
      <c r="MC89" s="119"/>
      <c r="MD89" s="119"/>
      <c r="ME89" s="119"/>
      <c r="MF89" s="119"/>
      <c r="MG89" s="119"/>
      <c r="MH89" s="119"/>
      <c r="MI89" s="119"/>
      <c r="MJ89" s="119"/>
      <c r="MK89" s="119"/>
      <c r="ML89" s="119"/>
      <c r="MM89" s="119"/>
      <c r="MN89" s="119"/>
      <c r="MO89" s="119"/>
      <c r="MP89" s="119"/>
      <c r="MQ89" s="119"/>
      <c r="MR89" s="119"/>
      <c r="MS89" s="119"/>
      <c r="MT89" s="119"/>
      <c r="MU89" s="119"/>
      <c r="MV89" s="119"/>
      <c r="MW89" s="119"/>
      <c r="MX89" s="119"/>
      <c r="MY89" s="119"/>
      <c r="MZ89" s="119"/>
      <c r="NA89" s="119"/>
      <c r="NB89" s="119"/>
      <c r="NC89" s="119"/>
      <c r="ND89" s="119"/>
      <c r="NE89" s="119"/>
      <c r="NF89" s="119"/>
      <c r="NG89" s="119"/>
      <c r="NH89" s="119"/>
      <c r="NI89" s="119"/>
      <c r="NJ89" s="119"/>
      <c r="NK89" s="119"/>
      <c r="NL89" s="119"/>
      <c r="NM89" s="119"/>
      <c r="NN89" s="119"/>
      <c r="NO89" s="119"/>
      <c r="NP89" s="119"/>
      <c r="NQ89" s="119"/>
      <c r="NR89" s="119"/>
      <c r="NS89" s="119"/>
      <c r="NT89" s="119"/>
      <c r="NU89" s="119"/>
      <c r="NV89" s="119"/>
      <c r="NW89" s="119"/>
      <c r="NX89" s="119"/>
      <c r="NY89" s="119"/>
      <c r="NZ89" s="119"/>
      <c r="OA89" s="119"/>
    </row>
    <row r="90" spans="1:391" x14ac:dyDescent="0.2">
      <c r="A90" s="499"/>
      <c r="B90" s="548" t="s">
        <v>379</v>
      </c>
      <c r="C90" s="187"/>
      <c r="D90" s="187"/>
      <c r="E90" s="187"/>
      <c r="F90" s="564">
        <f t="shared" ca="1" si="6"/>
        <v>-43388</v>
      </c>
      <c r="G90" s="556"/>
      <c r="H90" s="556"/>
      <c r="I90" s="556"/>
      <c r="J90" s="38" t="str">
        <f ca="1">IF(G90&gt;0,"COMPLETED",(IF(I90&gt;0,"ISSUE IDENTIFIED",(IF(TODAY()&gt;E90,"OVERDUE","In Progress")))))</f>
        <v>OVERDUE</v>
      </c>
      <c r="K90" s="557"/>
      <c r="BN90" s="119"/>
      <c r="BO90" s="119"/>
      <c r="BP90" s="119"/>
      <c r="BQ90" s="119"/>
      <c r="BR90" s="119"/>
      <c r="BS90" s="119"/>
      <c r="BT90" s="119"/>
      <c r="BU90" s="119"/>
      <c r="BV90" s="119"/>
      <c r="BW90" s="119"/>
      <c r="BX90" s="119"/>
      <c r="BY90" s="119"/>
      <c r="BZ90" s="119"/>
      <c r="CA90" s="119"/>
      <c r="CB90" s="119"/>
      <c r="CC90" s="119"/>
      <c r="CD90" s="119"/>
      <c r="CE90" s="119"/>
      <c r="CF90" s="119"/>
      <c r="CG90" s="119"/>
      <c r="CH90" s="119"/>
      <c r="CI90" s="119"/>
      <c r="CJ90" s="119"/>
      <c r="CK90" s="119"/>
      <c r="CL90" s="119"/>
      <c r="CM90" s="119"/>
      <c r="CN90" s="119"/>
      <c r="CO90" s="119"/>
      <c r="CP90" s="119"/>
      <c r="CQ90" s="119"/>
      <c r="CR90" s="119"/>
      <c r="CS90" s="119"/>
      <c r="CT90" s="119"/>
      <c r="CU90" s="119"/>
      <c r="CV90" s="119"/>
      <c r="CW90" s="119"/>
      <c r="CX90" s="119"/>
      <c r="CY90" s="119"/>
      <c r="CZ90" s="119"/>
      <c r="DA90" s="119"/>
      <c r="DB90" s="119"/>
      <c r="DC90" s="119"/>
      <c r="DD90" s="119"/>
      <c r="DE90" s="119"/>
      <c r="DF90" s="119"/>
      <c r="DG90" s="119"/>
      <c r="DH90" s="119"/>
      <c r="DI90" s="119"/>
      <c r="DJ90" s="119"/>
      <c r="DK90" s="119"/>
      <c r="DL90" s="119"/>
      <c r="DM90" s="119"/>
      <c r="DN90" s="119"/>
      <c r="DO90" s="119"/>
      <c r="DP90" s="119"/>
      <c r="DQ90" s="119"/>
      <c r="DR90" s="119"/>
      <c r="DS90" s="119"/>
      <c r="DT90" s="119"/>
      <c r="DU90" s="119"/>
      <c r="DV90" s="119"/>
      <c r="DW90" s="119"/>
      <c r="DX90" s="119"/>
      <c r="DY90" s="119"/>
      <c r="DZ90" s="119"/>
      <c r="EA90" s="119"/>
      <c r="EB90" s="119"/>
      <c r="EC90" s="119"/>
      <c r="ED90" s="119"/>
      <c r="EE90" s="119"/>
      <c r="EF90" s="119"/>
      <c r="EG90" s="119"/>
      <c r="EH90" s="119"/>
      <c r="EI90" s="119"/>
      <c r="EJ90" s="119"/>
      <c r="EK90" s="119"/>
      <c r="EL90" s="119"/>
      <c r="EM90" s="119"/>
      <c r="EN90" s="119"/>
      <c r="EO90" s="119"/>
      <c r="EP90" s="119"/>
      <c r="EQ90" s="119"/>
      <c r="ER90" s="119"/>
      <c r="ES90" s="119"/>
      <c r="ET90" s="119"/>
      <c r="EU90" s="119"/>
      <c r="EV90" s="119"/>
      <c r="EW90" s="119"/>
      <c r="EX90" s="119"/>
      <c r="EY90" s="119"/>
      <c r="EZ90" s="119"/>
      <c r="FA90" s="119"/>
      <c r="FB90" s="119"/>
      <c r="FC90" s="119"/>
      <c r="FD90" s="119"/>
      <c r="FE90" s="119"/>
      <c r="FF90" s="119"/>
      <c r="FG90" s="119"/>
      <c r="FH90" s="119"/>
      <c r="FI90" s="119"/>
      <c r="FJ90" s="119"/>
      <c r="FK90" s="119"/>
      <c r="FL90" s="119"/>
      <c r="FM90" s="119"/>
      <c r="FN90" s="119"/>
      <c r="FO90" s="119"/>
      <c r="FP90" s="119"/>
      <c r="FQ90" s="119"/>
      <c r="FR90" s="119"/>
      <c r="FS90" s="119"/>
      <c r="FT90" s="119"/>
      <c r="FU90" s="119"/>
      <c r="FV90" s="119"/>
      <c r="FW90" s="119"/>
      <c r="FX90" s="119"/>
      <c r="FY90" s="119"/>
      <c r="FZ90" s="119"/>
      <c r="GA90" s="119"/>
      <c r="GB90" s="119"/>
      <c r="GC90" s="119"/>
      <c r="GD90" s="119"/>
      <c r="GE90" s="119"/>
      <c r="GF90" s="119"/>
      <c r="GG90" s="119"/>
      <c r="GH90" s="119"/>
      <c r="GI90" s="119"/>
      <c r="GJ90" s="119"/>
      <c r="GK90" s="119"/>
      <c r="GL90" s="119"/>
      <c r="GM90" s="119"/>
      <c r="GN90" s="119"/>
      <c r="GO90" s="119"/>
      <c r="GP90" s="119"/>
      <c r="GQ90" s="119"/>
      <c r="GR90" s="119"/>
      <c r="GS90" s="119"/>
      <c r="GT90" s="119"/>
      <c r="GU90" s="119"/>
      <c r="GV90" s="119"/>
      <c r="GW90" s="119"/>
      <c r="GX90" s="119"/>
      <c r="GY90" s="119"/>
      <c r="GZ90" s="119"/>
      <c r="HA90" s="119"/>
      <c r="HB90" s="119"/>
      <c r="HC90" s="119"/>
      <c r="HD90" s="119"/>
      <c r="HE90" s="119"/>
      <c r="HF90" s="119"/>
      <c r="HG90" s="119"/>
      <c r="HH90" s="119"/>
      <c r="HI90" s="119"/>
      <c r="HJ90" s="119"/>
      <c r="HK90" s="119"/>
      <c r="HL90" s="119"/>
      <c r="HM90" s="119"/>
      <c r="HN90" s="119"/>
      <c r="HO90" s="119"/>
      <c r="HP90" s="119"/>
      <c r="HQ90" s="119"/>
      <c r="HR90" s="119"/>
      <c r="HS90" s="119"/>
      <c r="HT90" s="119"/>
      <c r="HU90" s="119"/>
      <c r="HV90" s="119"/>
      <c r="HW90" s="119"/>
      <c r="HX90" s="119"/>
      <c r="HY90" s="119"/>
      <c r="HZ90" s="119"/>
      <c r="IA90" s="119"/>
      <c r="IB90" s="119"/>
      <c r="IC90" s="119"/>
      <c r="ID90" s="119"/>
      <c r="IE90" s="119"/>
      <c r="IF90" s="119"/>
      <c r="IG90" s="119"/>
      <c r="IH90" s="119"/>
      <c r="II90" s="119"/>
      <c r="IJ90" s="119"/>
      <c r="IK90" s="119"/>
      <c r="IL90" s="119"/>
      <c r="IM90" s="119"/>
      <c r="IN90" s="119"/>
      <c r="IO90" s="119"/>
      <c r="IP90" s="119"/>
      <c r="IQ90" s="119"/>
      <c r="IR90" s="119"/>
      <c r="IS90" s="119"/>
      <c r="IT90" s="119"/>
      <c r="IU90" s="119"/>
      <c r="IV90" s="119"/>
      <c r="IW90" s="119"/>
      <c r="IX90" s="119"/>
      <c r="IY90" s="119"/>
      <c r="IZ90" s="119"/>
      <c r="JA90" s="119"/>
      <c r="JB90" s="119"/>
      <c r="JC90" s="119"/>
      <c r="JD90" s="119"/>
      <c r="JE90" s="119"/>
      <c r="JF90" s="119"/>
      <c r="JG90" s="119"/>
      <c r="JH90" s="119"/>
      <c r="JI90" s="119"/>
      <c r="JJ90" s="119"/>
      <c r="JK90" s="119"/>
      <c r="JL90" s="119"/>
      <c r="JM90" s="119"/>
      <c r="JN90" s="119"/>
      <c r="JO90" s="119"/>
      <c r="JP90" s="119"/>
      <c r="JQ90" s="119"/>
      <c r="JR90" s="119"/>
      <c r="JS90" s="119"/>
      <c r="JT90" s="119"/>
      <c r="JU90" s="119"/>
      <c r="JV90" s="119"/>
      <c r="JW90" s="119"/>
      <c r="JX90" s="119"/>
      <c r="JY90" s="119"/>
      <c r="JZ90" s="119"/>
      <c r="KA90" s="119"/>
      <c r="KB90" s="119"/>
      <c r="KC90" s="119"/>
      <c r="KD90" s="119"/>
      <c r="KE90" s="119"/>
      <c r="KF90" s="119"/>
      <c r="KG90" s="119"/>
      <c r="KH90" s="119"/>
      <c r="KI90" s="119"/>
      <c r="KJ90" s="119"/>
      <c r="KK90" s="119"/>
      <c r="KL90" s="119"/>
      <c r="KM90" s="119"/>
      <c r="KN90" s="119"/>
      <c r="KO90" s="119"/>
      <c r="KP90" s="119"/>
      <c r="KQ90" s="119"/>
      <c r="KR90" s="119"/>
      <c r="KS90" s="119"/>
      <c r="KT90" s="119"/>
      <c r="KU90" s="119"/>
      <c r="KV90" s="119"/>
      <c r="KW90" s="119"/>
      <c r="KX90" s="119"/>
      <c r="KY90" s="119"/>
      <c r="KZ90" s="119"/>
      <c r="LA90" s="119"/>
      <c r="LB90" s="119"/>
      <c r="LC90" s="119"/>
      <c r="LD90" s="119"/>
      <c r="LE90" s="119"/>
      <c r="LF90" s="119"/>
      <c r="LG90" s="119"/>
      <c r="LH90" s="119"/>
      <c r="LI90" s="119"/>
      <c r="LJ90" s="119"/>
      <c r="LK90" s="119"/>
      <c r="LL90" s="119"/>
      <c r="LM90" s="119"/>
      <c r="LN90" s="119"/>
      <c r="LO90" s="119"/>
      <c r="LP90" s="119"/>
      <c r="LQ90" s="119"/>
      <c r="LR90" s="119"/>
      <c r="LS90" s="119"/>
      <c r="LT90" s="119"/>
      <c r="LU90" s="119"/>
      <c r="LV90" s="119"/>
      <c r="LW90" s="119"/>
      <c r="LX90" s="119"/>
      <c r="LY90" s="119"/>
      <c r="LZ90" s="119"/>
      <c r="MA90" s="119"/>
      <c r="MB90" s="119"/>
      <c r="MC90" s="119"/>
      <c r="MD90" s="119"/>
      <c r="ME90" s="119"/>
      <c r="MF90" s="119"/>
      <c r="MG90" s="119"/>
      <c r="MH90" s="119"/>
      <c r="MI90" s="119"/>
      <c r="MJ90" s="119"/>
      <c r="MK90" s="119"/>
      <c r="ML90" s="119"/>
      <c r="MM90" s="119"/>
      <c r="MN90" s="119"/>
      <c r="MO90" s="119"/>
      <c r="MP90" s="119"/>
      <c r="MQ90" s="119"/>
      <c r="MR90" s="119"/>
      <c r="MS90" s="119"/>
      <c r="MT90" s="119"/>
      <c r="MU90" s="119"/>
      <c r="MV90" s="119"/>
      <c r="MW90" s="119"/>
      <c r="MX90" s="119"/>
      <c r="MY90" s="119"/>
      <c r="MZ90" s="119"/>
      <c r="NA90" s="119"/>
      <c r="NB90" s="119"/>
      <c r="NC90" s="119"/>
      <c r="ND90" s="119"/>
      <c r="NE90" s="119"/>
      <c r="NF90" s="119"/>
      <c r="NG90" s="119"/>
      <c r="NH90" s="119"/>
      <c r="NI90" s="119"/>
      <c r="NJ90" s="119"/>
      <c r="NK90" s="119"/>
      <c r="NL90" s="119"/>
      <c r="NM90" s="119"/>
      <c r="NN90" s="119"/>
      <c r="NO90" s="119"/>
      <c r="NP90" s="119"/>
      <c r="NQ90" s="119"/>
      <c r="NR90" s="119"/>
      <c r="NS90" s="119"/>
      <c r="NT90" s="119"/>
      <c r="NU90" s="119"/>
      <c r="NV90" s="119"/>
      <c r="NW90" s="119"/>
      <c r="NX90" s="119"/>
      <c r="NY90" s="119"/>
      <c r="NZ90" s="119"/>
      <c r="OA90" s="119"/>
    </row>
    <row r="91" spans="1:391" x14ac:dyDescent="0.2">
      <c r="A91" s="499"/>
      <c r="B91" s="548" t="s">
        <v>380</v>
      </c>
      <c r="C91" s="187"/>
      <c r="D91" s="187"/>
      <c r="E91" s="187"/>
      <c r="F91" s="564">
        <f t="shared" ca="1" si="6"/>
        <v>-43388</v>
      </c>
      <c r="G91" s="556"/>
      <c r="H91" s="556"/>
      <c r="I91" s="556"/>
      <c r="J91" s="38" t="str">
        <f ca="1">IF(G91&gt;0,"COMPLETED",(IF(I91&gt;0,"ISSUE IDENTIFIED",(IF(TODAY()&gt;E91,"OVERDUE","In Progress")))))</f>
        <v>OVERDUE</v>
      </c>
      <c r="K91" s="557"/>
      <c r="BN91" s="119"/>
      <c r="BO91" s="119"/>
      <c r="BP91" s="119"/>
      <c r="BQ91" s="119"/>
      <c r="BR91" s="119"/>
      <c r="BS91" s="119"/>
      <c r="BT91" s="119"/>
      <c r="BU91" s="119"/>
      <c r="BV91" s="119"/>
      <c r="BW91" s="119"/>
      <c r="BX91" s="119"/>
      <c r="BY91" s="119"/>
      <c r="BZ91" s="119"/>
      <c r="CA91" s="119"/>
      <c r="CB91" s="119"/>
      <c r="CC91" s="119"/>
      <c r="CD91" s="119"/>
      <c r="CE91" s="119"/>
      <c r="CF91" s="119"/>
      <c r="CG91" s="119"/>
      <c r="CH91" s="119"/>
      <c r="CI91" s="119"/>
      <c r="CJ91" s="119"/>
      <c r="CK91" s="119"/>
      <c r="CL91" s="119"/>
      <c r="CM91" s="119"/>
      <c r="CN91" s="119"/>
      <c r="CO91" s="119"/>
      <c r="CP91" s="119"/>
      <c r="CQ91" s="119"/>
      <c r="CR91" s="119"/>
      <c r="CS91" s="119"/>
      <c r="CT91" s="119"/>
      <c r="CU91" s="119"/>
      <c r="CV91" s="119"/>
      <c r="CW91" s="119"/>
      <c r="CX91" s="119"/>
      <c r="CY91" s="119"/>
      <c r="CZ91" s="119"/>
      <c r="DA91" s="119"/>
      <c r="DB91" s="119"/>
      <c r="DC91" s="119"/>
      <c r="DD91" s="119"/>
      <c r="DE91" s="119"/>
      <c r="DF91" s="119"/>
      <c r="DG91" s="119"/>
      <c r="DH91" s="119"/>
      <c r="DI91" s="119"/>
      <c r="DJ91" s="119"/>
      <c r="DK91" s="119"/>
      <c r="DL91" s="119"/>
      <c r="DM91" s="119"/>
      <c r="DN91" s="119"/>
      <c r="DO91" s="119"/>
      <c r="DP91" s="119"/>
      <c r="DQ91" s="119"/>
      <c r="DR91" s="119"/>
      <c r="DS91" s="119"/>
      <c r="DT91" s="119"/>
      <c r="DU91" s="119"/>
      <c r="DV91" s="119"/>
      <c r="DW91" s="119"/>
      <c r="DX91" s="119"/>
      <c r="DY91" s="119"/>
      <c r="DZ91" s="119"/>
      <c r="EA91" s="119"/>
      <c r="EB91" s="119"/>
      <c r="EC91" s="119"/>
      <c r="ED91" s="119"/>
      <c r="EE91" s="119"/>
      <c r="EF91" s="119"/>
      <c r="EG91" s="119"/>
      <c r="EH91" s="119"/>
      <c r="EI91" s="119"/>
      <c r="EJ91" s="119"/>
      <c r="EK91" s="119"/>
      <c r="EL91" s="119"/>
      <c r="EM91" s="119"/>
      <c r="EN91" s="119"/>
      <c r="EO91" s="119"/>
      <c r="EP91" s="119"/>
      <c r="EQ91" s="119"/>
      <c r="ER91" s="119"/>
      <c r="ES91" s="119"/>
      <c r="ET91" s="119"/>
      <c r="EU91" s="119"/>
      <c r="EV91" s="119"/>
      <c r="EW91" s="119"/>
      <c r="EX91" s="119"/>
      <c r="EY91" s="119"/>
      <c r="EZ91" s="119"/>
      <c r="FA91" s="119"/>
      <c r="FB91" s="119"/>
      <c r="FC91" s="119"/>
      <c r="FD91" s="119"/>
      <c r="FE91" s="119"/>
      <c r="FF91" s="119"/>
      <c r="FG91" s="119"/>
      <c r="FH91" s="119"/>
      <c r="FI91" s="119"/>
      <c r="FJ91" s="119"/>
      <c r="FK91" s="119"/>
      <c r="FL91" s="119"/>
      <c r="FM91" s="119"/>
      <c r="FN91" s="119"/>
      <c r="FO91" s="119"/>
      <c r="FP91" s="119"/>
      <c r="FQ91" s="119"/>
      <c r="FR91" s="119"/>
      <c r="FS91" s="119"/>
      <c r="FT91" s="119"/>
      <c r="FU91" s="119"/>
      <c r="FV91" s="119"/>
      <c r="FW91" s="119"/>
      <c r="FX91" s="119"/>
      <c r="FY91" s="119"/>
      <c r="FZ91" s="119"/>
      <c r="GA91" s="119"/>
      <c r="GB91" s="119"/>
      <c r="GC91" s="119"/>
      <c r="GD91" s="119"/>
      <c r="GE91" s="119"/>
      <c r="GF91" s="119"/>
      <c r="GG91" s="119"/>
      <c r="GH91" s="119"/>
      <c r="GI91" s="119"/>
      <c r="GJ91" s="119"/>
      <c r="GK91" s="119"/>
      <c r="GL91" s="119"/>
      <c r="GM91" s="119"/>
      <c r="GN91" s="119"/>
      <c r="GO91" s="119"/>
      <c r="GP91" s="119"/>
      <c r="GQ91" s="119"/>
      <c r="GR91" s="119"/>
      <c r="GS91" s="119"/>
      <c r="GT91" s="119"/>
      <c r="GU91" s="119"/>
      <c r="GV91" s="119"/>
      <c r="GW91" s="119"/>
      <c r="GX91" s="119"/>
      <c r="GY91" s="119"/>
      <c r="GZ91" s="119"/>
      <c r="HA91" s="119"/>
      <c r="HB91" s="119"/>
      <c r="HC91" s="119"/>
      <c r="HD91" s="119"/>
      <c r="HE91" s="119"/>
      <c r="HF91" s="119"/>
      <c r="HG91" s="119"/>
      <c r="HH91" s="119"/>
      <c r="HI91" s="119"/>
      <c r="HJ91" s="119"/>
      <c r="HK91" s="119"/>
      <c r="HL91" s="119"/>
      <c r="HM91" s="119"/>
      <c r="HN91" s="119"/>
      <c r="HO91" s="119"/>
      <c r="HP91" s="119"/>
      <c r="HQ91" s="119"/>
      <c r="HR91" s="119"/>
      <c r="HS91" s="119"/>
      <c r="HT91" s="119"/>
      <c r="HU91" s="119"/>
      <c r="HV91" s="119"/>
      <c r="HW91" s="119"/>
      <c r="HX91" s="119"/>
      <c r="HY91" s="119"/>
      <c r="HZ91" s="119"/>
      <c r="IA91" s="119"/>
      <c r="IB91" s="119"/>
      <c r="IC91" s="119"/>
      <c r="ID91" s="119"/>
      <c r="IE91" s="119"/>
      <c r="IF91" s="119"/>
      <c r="IG91" s="119"/>
      <c r="IH91" s="119"/>
      <c r="II91" s="119"/>
      <c r="IJ91" s="119"/>
      <c r="IK91" s="119"/>
      <c r="IL91" s="119"/>
      <c r="IM91" s="119"/>
      <c r="IN91" s="119"/>
      <c r="IO91" s="119"/>
      <c r="IP91" s="119"/>
      <c r="IQ91" s="119"/>
      <c r="IR91" s="119"/>
      <c r="IS91" s="119"/>
      <c r="IT91" s="119"/>
      <c r="IU91" s="119"/>
      <c r="IV91" s="119"/>
      <c r="IW91" s="119"/>
      <c r="IX91" s="119"/>
      <c r="IY91" s="119"/>
      <c r="IZ91" s="119"/>
      <c r="JA91" s="119"/>
      <c r="JB91" s="119"/>
      <c r="JC91" s="119"/>
      <c r="JD91" s="119"/>
      <c r="JE91" s="119"/>
      <c r="JF91" s="119"/>
      <c r="JG91" s="119"/>
      <c r="JH91" s="119"/>
      <c r="JI91" s="119"/>
      <c r="JJ91" s="119"/>
      <c r="JK91" s="119"/>
      <c r="JL91" s="119"/>
      <c r="JM91" s="119"/>
      <c r="JN91" s="119"/>
      <c r="JO91" s="119"/>
      <c r="JP91" s="119"/>
      <c r="JQ91" s="119"/>
      <c r="JR91" s="119"/>
      <c r="JS91" s="119"/>
      <c r="JT91" s="119"/>
      <c r="JU91" s="119"/>
      <c r="JV91" s="119"/>
      <c r="JW91" s="119"/>
      <c r="JX91" s="119"/>
      <c r="JY91" s="119"/>
      <c r="JZ91" s="119"/>
      <c r="KA91" s="119"/>
      <c r="KB91" s="119"/>
      <c r="KC91" s="119"/>
      <c r="KD91" s="119"/>
      <c r="KE91" s="119"/>
      <c r="KF91" s="119"/>
      <c r="KG91" s="119"/>
      <c r="KH91" s="119"/>
      <c r="KI91" s="119"/>
      <c r="KJ91" s="119"/>
      <c r="KK91" s="119"/>
      <c r="KL91" s="119"/>
      <c r="KM91" s="119"/>
      <c r="KN91" s="119"/>
      <c r="KO91" s="119"/>
      <c r="KP91" s="119"/>
      <c r="KQ91" s="119"/>
      <c r="KR91" s="119"/>
      <c r="KS91" s="119"/>
      <c r="KT91" s="119"/>
      <c r="KU91" s="119"/>
      <c r="KV91" s="119"/>
      <c r="KW91" s="119"/>
      <c r="KX91" s="119"/>
      <c r="KY91" s="119"/>
      <c r="KZ91" s="119"/>
      <c r="LA91" s="119"/>
      <c r="LB91" s="119"/>
      <c r="LC91" s="119"/>
      <c r="LD91" s="119"/>
      <c r="LE91" s="119"/>
      <c r="LF91" s="119"/>
      <c r="LG91" s="119"/>
      <c r="LH91" s="119"/>
      <c r="LI91" s="119"/>
      <c r="LJ91" s="119"/>
      <c r="LK91" s="119"/>
      <c r="LL91" s="119"/>
      <c r="LM91" s="119"/>
      <c r="LN91" s="119"/>
      <c r="LO91" s="119"/>
      <c r="LP91" s="119"/>
      <c r="LQ91" s="119"/>
      <c r="LR91" s="119"/>
      <c r="LS91" s="119"/>
      <c r="LT91" s="119"/>
      <c r="LU91" s="119"/>
      <c r="LV91" s="119"/>
      <c r="LW91" s="119"/>
      <c r="LX91" s="119"/>
      <c r="LY91" s="119"/>
      <c r="LZ91" s="119"/>
      <c r="MA91" s="119"/>
      <c r="MB91" s="119"/>
      <c r="MC91" s="119"/>
      <c r="MD91" s="119"/>
      <c r="ME91" s="119"/>
      <c r="MF91" s="119"/>
      <c r="MG91" s="119"/>
      <c r="MH91" s="119"/>
      <c r="MI91" s="119"/>
      <c r="MJ91" s="119"/>
      <c r="MK91" s="119"/>
      <c r="ML91" s="119"/>
      <c r="MM91" s="119"/>
      <c r="MN91" s="119"/>
      <c r="MO91" s="119"/>
      <c r="MP91" s="119"/>
      <c r="MQ91" s="119"/>
      <c r="MR91" s="119"/>
      <c r="MS91" s="119"/>
      <c r="MT91" s="119"/>
      <c r="MU91" s="119"/>
      <c r="MV91" s="119"/>
      <c r="MW91" s="119"/>
      <c r="MX91" s="119"/>
      <c r="MY91" s="119"/>
      <c r="MZ91" s="119"/>
      <c r="NA91" s="119"/>
      <c r="NB91" s="119"/>
      <c r="NC91" s="119"/>
      <c r="ND91" s="119"/>
      <c r="NE91" s="119"/>
      <c r="NF91" s="119"/>
      <c r="NG91" s="119"/>
      <c r="NH91" s="119"/>
      <c r="NI91" s="119"/>
      <c r="NJ91" s="119"/>
      <c r="NK91" s="119"/>
      <c r="NL91" s="119"/>
      <c r="NM91" s="119"/>
      <c r="NN91" s="119"/>
      <c r="NO91" s="119"/>
      <c r="NP91" s="119"/>
      <c r="NQ91" s="119"/>
      <c r="NR91" s="119"/>
      <c r="NS91" s="119"/>
      <c r="NT91" s="119"/>
      <c r="NU91" s="119"/>
      <c r="NV91" s="119"/>
      <c r="NW91" s="119"/>
      <c r="NX91" s="119"/>
      <c r="NY91" s="119"/>
      <c r="NZ91" s="119"/>
      <c r="OA91" s="119"/>
    </row>
    <row r="92" spans="1:391" x14ac:dyDescent="0.2">
      <c r="A92" s="499"/>
      <c r="B92" s="548" t="s">
        <v>381</v>
      </c>
      <c r="C92" s="187"/>
      <c r="D92" s="187"/>
      <c r="E92" s="185"/>
      <c r="F92" s="564">
        <f t="shared" ca="1" si="6"/>
        <v>-43388</v>
      </c>
      <c r="G92" s="556"/>
      <c r="H92" s="556"/>
      <c r="I92" s="556"/>
      <c r="J92" s="38" t="str">
        <f ca="1">IF(G92&gt;0,"COMPLETED",(IF(I92&gt;0,"ISSUE IDENTIFIED",(IF(TODAY()&gt;E92,"OVERDUE","In Progress")))))</f>
        <v>OVERDUE</v>
      </c>
      <c r="K92" s="557"/>
      <c r="BN92" s="119"/>
      <c r="BO92" s="119"/>
      <c r="BP92" s="119"/>
      <c r="BQ92" s="119"/>
      <c r="BR92" s="119"/>
      <c r="BS92" s="119"/>
      <c r="BT92" s="119"/>
      <c r="BU92" s="119"/>
      <c r="BV92" s="119"/>
      <c r="BW92" s="119"/>
      <c r="BX92" s="119"/>
      <c r="BY92" s="119"/>
      <c r="BZ92" s="119"/>
      <c r="CA92" s="119"/>
      <c r="CB92" s="119"/>
      <c r="CC92" s="119"/>
      <c r="CD92" s="119"/>
      <c r="CE92" s="119"/>
      <c r="CF92" s="119"/>
      <c r="CG92" s="119"/>
      <c r="CH92" s="119"/>
      <c r="CI92" s="119"/>
      <c r="CJ92" s="119"/>
      <c r="CK92" s="119"/>
      <c r="CL92" s="119"/>
      <c r="CM92" s="119"/>
      <c r="CN92" s="119"/>
      <c r="CO92" s="119"/>
      <c r="CP92" s="119"/>
      <c r="CQ92" s="119"/>
      <c r="CR92" s="119"/>
      <c r="CS92" s="119"/>
      <c r="CT92" s="119"/>
      <c r="CU92" s="119"/>
      <c r="CV92" s="119"/>
      <c r="CW92" s="119"/>
      <c r="CX92" s="119"/>
      <c r="CY92" s="119"/>
      <c r="CZ92" s="119"/>
      <c r="DA92" s="119"/>
      <c r="DB92" s="119"/>
      <c r="DC92" s="119"/>
      <c r="DD92" s="119"/>
      <c r="DE92" s="119"/>
      <c r="DF92" s="119"/>
      <c r="DG92" s="119"/>
      <c r="DH92" s="119"/>
      <c r="DI92" s="119"/>
      <c r="DJ92" s="119"/>
      <c r="DK92" s="119"/>
      <c r="DL92" s="119"/>
      <c r="DM92" s="119"/>
      <c r="DN92" s="119"/>
      <c r="DO92" s="119"/>
      <c r="DP92" s="119"/>
      <c r="DQ92" s="119"/>
      <c r="DR92" s="119"/>
      <c r="DS92" s="119"/>
      <c r="DT92" s="119"/>
      <c r="DU92" s="119"/>
      <c r="DV92" s="119"/>
      <c r="DW92" s="119"/>
      <c r="DX92" s="119"/>
      <c r="DY92" s="119"/>
      <c r="DZ92" s="119"/>
      <c r="EA92" s="119"/>
      <c r="EB92" s="119"/>
      <c r="EC92" s="119"/>
      <c r="ED92" s="119"/>
      <c r="EE92" s="119"/>
      <c r="EF92" s="119"/>
      <c r="EG92" s="119"/>
      <c r="EH92" s="119"/>
      <c r="EI92" s="119"/>
      <c r="EJ92" s="119"/>
      <c r="EK92" s="119"/>
      <c r="EL92" s="119"/>
      <c r="EM92" s="119"/>
      <c r="EN92" s="119"/>
      <c r="EO92" s="119"/>
      <c r="EP92" s="119"/>
      <c r="EQ92" s="119"/>
      <c r="ER92" s="119"/>
      <c r="ES92" s="119"/>
      <c r="ET92" s="119"/>
      <c r="EU92" s="119"/>
      <c r="EV92" s="119"/>
      <c r="EW92" s="119"/>
      <c r="EX92" s="119"/>
      <c r="EY92" s="119"/>
      <c r="EZ92" s="119"/>
      <c r="FA92" s="119"/>
      <c r="FB92" s="119"/>
      <c r="FC92" s="119"/>
      <c r="FD92" s="119"/>
      <c r="FE92" s="119"/>
      <c r="FF92" s="119"/>
      <c r="FG92" s="119"/>
      <c r="FH92" s="119"/>
      <c r="FI92" s="119"/>
      <c r="FJ92" s="119"/>
      <c r="FK92" s="119"/>
      <c r="FL92" s="119"/>
      <c r="FM92" s="119"/>
      <c r="FN92" s="119"/>
      <c r="FO92" s="119"/>
      <c r="FP92" s="119"/>
      <c r="FQ92" s="119"/>
      <c r="FR92" s="119"/>
      <c r="FS92" s="119"/>
      <c r="FT92" s="119"/>
      <c r="FU92" s="119"/>
      <c r="FV92" s="119"/>
      <c r="FW92" s="119"/>
      <c r="FX92" s="119"/>
      <c r="FY92" s="119"/>
      <c r="FZ92" s="119"/>
      <c r="GA92" s="119"/>
      <c r="GB92" s="119"/>
      <c r="GC92" s="119"/>
      <c r="GD92" s="119"/>
      <c r="GE92" s="119"/>
      <c r="GF92" s="119"/>
      <c r="GG92" s="119"/>
      <c r="GH92" s="119"/>
      <c r="GI92" s="119"/>
      <c r="GJ92" s="119"/>
      <c r="GK92" s="119"/>
      <c r="GL92" s="119"/>
      <c r="GM92" s="119"/>
      <c r="GN92" s="119"/>
      <c r="GO92" s="119"/>
      <c r="GP92" s="119"/>
      <c r="GQ92" s="119"/>
      <c r="GR92" s="119"/>
      <c r="GS92" s="119"/>
      <c r="GT92" s="119"/>
      <c r="GU92" s="119"/>
      <c r="GV92" s="119"/>
      <c r="GW92" s="119"/>
      <c r="GX92" s="119"/>
      <c r="GY92" s="119"/>
      <c r="GZ92" s="119"/>
      <c r="HA92" s="119"/>
      <c r="HB92" s="119"/>
      <c r="HC92" s="119"/>
      <c r="HD92" s="119"/>
      <c r="HE92" s="119"/>
      <c r="HF92" s="119"/>
      <c r="HG92" s="119"/>
      <c r="HH92" s="119"/>
      <c r="HI92" s="119"/>
      <c r="HJ92" s="119"/>
      <c r="HK92" s="119"/>
      <c r="HL92" s="119"/>
      <c r="HM92" s="119"/>
      <c r="HN92" s="119"/>
      <c r="HO92" s="119"/>
      <c r="HP92" s="119"/>
      <c r="HQ92" s="119"/>
      <c r="HR92" s="119"/>
      <c r="HS92" s="119"/>
      <c r="HT92" s="119"/>
      <c r="HU92" s="119"/>
      <c r="HV92" s="119"/>
      <c r="HW92" s="119"/>
      <c r="HX92" s="119"/>
      <c r="HY92" s="119"/>
      <c r="HZ92" s="119"/>
      <c r="IA92" s="119"/>
      <c r="IB92" s="119"/>
      <c r="IC92" s="119"/>
      <c r="ID92" s="119"/>
      <c r="IE92" s="119"/>
      <c r="IF92" s="119"/>
      <c r="IG92" s="119"/>
      <c r="IH92" s="119"/>
      <c r="II92" s="119"/>
      <c r="IJ92" s="119"/>
      <c r="IK92" s="119"/>
      <c r="IL92" s="119"/>
      <c r="IM92" s="119"/>
      <c r="IN92" s="119"/>
      <c r="IO92" s="119"/>
      <c r="IP92" s="119"/>
      <c r="IQ92" s="119"/>
      <c r="IR92" s="119"/>
      <c r="IS92" s="119"/>
      <c r="IT92" s="119"/>
      <c r="IU92" s="119"/>
      <c r="IV92" s="119"/>
      <c r="IW92" s="119"/>
      <c r="IX92" s="119"/>
      <c r="IY92" s="119"/>
      <c r="IZ92" s="119"/>
      <c r="JA92" s="119"/>
      <c r="JB92" s="119"/>
      <c r="JC92" s="119"/>
      <c r="JD92" s="119"/>
      <c r="JE92" s="119"/>
      <c r="JF92" s="119"/>
      <c r="JG92" s="119"/>
      <c r="JH92" s="119"/>
      <c r="JI92" s="119"/>
      <c r="JJ92" s="119"/>
      <c r="JK92" s="119"/>
      <c r="JL92" s="119"/>
      <c r="JM92" s="119"/>
      <c r="JN92" s="119"/>
      <c r="JO92" s="119"/>
      <c r="JP92" s="119"/>
      <c r="JQ92" s="119"/>
      <c r="JR92" s="119"/>
      <c r="JS92" s="119"/>
      <c r="JT92" s="119"/>
      <c r="JU92" s="119"/>
      <c r="JV92" s="119"/>
      <c r="JW92" s="119"/>
      <c r="JX92" s="119"/>
      <c r="JY92" s="119"/>
      <c r="JZ92" s="119"/>
      <c r="KA92" s="119"/>
      <c r="KB92" s="119"/>
      <c r="KC92" s="119"/>
      <c r="KD92" s="119"/>
      <c r="KE92" s="119"/>
      <c r="KF92" s="119"/>
      <c r="KG92" s="119"/>
      <c r="KH92" s="119"/>
      <c r="KI92" s="119"/>
      <c r="KJ92" s="119"/>
      <c r="KK92" s="119"/>
      <c r="KL92" s="119"/>
      <c r="KM92" s="119"/>
      <c r="KN92" s="119"/>
      <c r="KO92" s="119"/>
      <c r="KP92" s="119"/>
      <c r="KQ92" s="119"/>
      <c r="KR92" s="119"/>
      <c r="KS92" s="119"/>
      <c r="KT92" s="119"/>
      <c r="KU92" s="119"/>
      <c r="KV92" s="119"/>
      <c r="KW92" s="119"/>
      <c r="KX92" s="119"/>
      <c r="KY92" s="119"/>
      <c r="KZ92" s="119"/>
      <c r="LA92" s="119"/>
      <c r="LB92" s="119"/>
      <c r="LC92" s="119"/>
      <c r="LD92" s="119"/>
      <c r="LE92" s="119"/>
      <c r="LF92" s="119"/>
      <c r="LG92" s="119"/>
      <c r="LH92" s="119"/>
      <c r="LI92" s="119"/>
      <c r="LJ92" s="119"/>
      <c r="LK92" s="119"/>
      <c r="LL92" s="119"/>
      <c r="LM92" s="119"/>
      <c r="LN92" s="119"/>
      <c r="LO92" s="119"/>
      <c r="LP92" s="119"/>
      <c r="LQ92" s="119"/>
      <c r="LR92" s="119"/>
      <c r="LS92" s="119"/>
      <c r="LT92" s="119"/>
      <c r="LU92" s="119"/>
      <c r="LV92" s="119"/>
      <c r="LW92" s="119"/>
      <c r="LX92" s="119"/>
      <c r="LY92" s="119"/>
      <c r="LZ92" s="119"/>
      <c r="MA92" s="119"/>
      <c r="MB92" s="119"/>
      <c r="MC92" s="119"/>
      <c r="MD92" s="119"/>
      <c r="ME92" s="119"/>
      <c r="MF92" s="119"/>
      <c r="MG92" s="119"/>
      <c r="MH92" s="119"/>
      <c r="MI92" s="119"/>
      <c r="MJ92" s="119"/>
      <c r="MK92" s="119"/>
      <c r="ML92" s="119"/>
      <c r="MM92" s="119"/>
      <c r="MN92" s="119"/>
      <c r="MO92" s="119"/>
      <c r="MP92" s="119"/>
      <c r="MQ92" s="119"/>
      <c r="MR92" s="119"/>
      <c r="MS92" s="119"/>
      <c r="MT92" s="119"/>
      <c r="MU92" s="119"/>
      <c r="MV92" s="119"/>
      <c r="MW92" s="119"/>
      <c r="MX92" s="119"/>
      <c r="MY92" s="119"/>
      <c r="MZ92" s="119"/>
      <c r="NA92" s="119"/>
      <c r="NB92" s="119"/>
      <c r="NC92" s="119"/>
      <c r="ND92" s="119"/>
      <c r="NE92" s="119"/>
      <c r="NF92" s="119"/>
      <c r="NG92" s="119"/>
      <c r="NH92" s="119"/>
      <c r="NI92" s="119"/>
      <c r="NJ92" s="119"/>
      <c r="NK92" s="119"/>
      <c r="NL92" s="119"/>
      <c r="NM92" s="119"/>
      <c r="NN92" s="119"/>
      <c r="NO92" s="119"/>
      <c r="NP92" s="119"/>
      <c r="NQ92" s="119"/>
      <c r="NR92" s="119"/>
      <c r="NS92" s="119"/>
      <c r="NT92" s="119"/>
      <c r="NU92" s="119"/>
      <c r="NV92" s="119"/>
      <c r="NW92" s="119"/>
      <c r="NX92" s="119"/>
      <c r="NY92" s="119"/>
      <c r="NZ92" s="119"/>
      <c r="OA92" s="119"/>
    </row>
    <row r="93" spans="1:391" ht="15" x14ac:dyDescent="0.25">
      <c r="A93" s="499"/>
      <c r="B93" s="550" t="s">
        <v>382</v>
      </c>
      <c r="C93" s="187"/>
      <c r="D93" s="551"/>
      <c r="E93" s="551"/>
      <c r="F93" s="564">
        <f t="shared" ca="1" si="6"/>
        <v>-43388</v>
      </c>
      <c r="G93" s="556"/>
      <c r="H93" s="556"/>
      <c r="I93" s="556"/>
      <c r="J93" s="38" t="str">
        <f ca="1">IF(AND(J94="completed",J95="completed",J96="completed",J97="completed",J98="completed",J99="completed",J100="completed",J101="completed"),"Deliverable Completed","DELIVERABLE STILL IN PROGRESS")</f>
        <v>DELIVERABLE STILL IN PROGRESS</v>
      </c>
      <c r="K93" s="557"/>
      <c r="BN93" s="119"/>
      <c r="BO93" s="119"/>
      <c r="BP93" s="119"/>
      <c r="BQ93" s="119"/>
      <c r="BR93" s="119"/>
      <c r="BS93" s="119"/>
      <c r="BT93" s="119"/>
      <c r="BU93" s="119"/>
      <c r="BV93" s="119"/>
      <c r="BW93" s="119"/>
      <c r="BX93" s="119"/>
      <c r="BY93" s="119"/>
      <c r="BZ93" s="119"/>
      <c r="CA93" s="119"/>
      <c r="CB93" s="119"/>
      <c r="CC93" s="119"/>
      <c r="CD93" s="119"/>
      <c r="CE93" s="119"/>
      <c r="CF93" s="119"/>
      <c r="CG93" s="119"/>
      <c r="CH93" s="119"/>
      <c r="CI93" s="119"/>
      <c r="CJ93" s="119"/>
      <c r="CK93" s="119"/>
      <c r="CL93" s="119"/>
      <c r="CM93" s="119"/>
      <c r="CN93" s="119"/>
      <c r="CO93" s="119"/>
      <c r="CP93" s="119"/>
      <c r="CQ93" s="119"/>
      <c r="CR93" s="119"/>
      <c r="CS93" s="119"/>
      <c r="CT93" s="119"/>
      <c r="CU93" s="119"/>
      <c r="CV93" s="119"/>
      <c r="CW93" s="119"/>
      <c r="CX93" s="119"/>
      <c r="CY93" s="119"/>
      <c r="CZ93" s="119"/>
      <c r="DA93" s="119"/>
      <c r="DB93" s="119"/>
      <c r="DC93" s="119"/>
      <c r="DD93" s="119"/>
      <c r="DE93" s="119"/>
      <c r="DF93" s="119"/>
      <c r="DG93" s="119"/>
      <c r="DH93" s="119"/>
      <c r="DI93" s="119"/>
      <c r="DJ93" s="119"/>
      <c r="DK93" s="119"/>
      <c r="DL93" s="119"/>
      <c r="DM93" s="119"/>
      <c r="DN93" s="119"/>
      <c r="DO93" s="119"/>
      <c r="DP93" s="119"/>
      <c r="DQ93" s="119"/>
      <c r="DR93" s="119"/>
      <c r="DS93" s="119"/>
      <c r="DT93" s="119"/>
      <c r="DU93" s="119"/>
      <c r="DV93" s="119"/>
      <c r="DW93" s="119"/>
      <c r="DX93" s="119"/>
      <c r="DY93" s="119"/>
      <c r="DZ93" s="119"/>
      <c r="EA93" s="119"/>
      <c r="EB93" s="119"/>
      <c r="EC93" s="119"/>
      <c r="ED93" s="119"/>
      <c r="EE93" s="119"/>
      <c r="EF93" s="119"/>
      <c r="EG93" s="119"/>
      <c r="EH93" s="119"/>
      <c r="EI93" s="119"/>
      <c r="EJ93" s="119"/>
      <c r="EK93" s="119"/>
      <c r="EL93" s="119"/>
      <c r="EM93" s="119"/>
      <c r="EN93" s="119"/>
      <c r="EO93" s="119"/>
      <c r="EP93" s="119"/>
      <c r="EQ93" s="119"/>
      <c r="ER93" s="119"/>
      <c r="ES93" s="119"/>
      <c r="ET93" s="119"/>
      <c r="EU93" s="119"/>
      <c r="EV93" s="119"/>
      <c r="EW93" s="119"/>
      <c r="EX93" s="119"/>
      <c r="EY93" s="119"/>
      <c r="EZ93" s="119"/>
      <c r="FA93" s="119"/>
      <c r="FB93" s="119"/>
      <c r="FC93" s="119"/>
      <c r="FD93" s="119"/>
      <c r="FE93" s="119"/>
      <c r="FF93" s="119"/>
      <c r="FG93" s="119"/>
      <c r="FH93" s="119"/>
      <c r="FI93" s="119"/>
      <c r="FJ93" s="119"/>
      <c r="FK93" s="119"/>
      <c r="FL93" s="119"/>
      <c r="FM93" s="119"/>
      <c r="FN93" s="119"/>
      <c r="FO93" s="119"/>
      <c r="FP93" s="119"/>
      <c r="FQ93" s="119"/>
      <c r="FR93" s="119"/>
      <c r="FS93" s="119"/>
      <c r="FT93" s="119"/>
      <c r="FU93" s="119"/>
      <c r="FV93" s="119"/>
      <c r="FW93" s="119"/>
      <c r="FX93" s="119"/>
      <c r="FY93" s="119"/>
      <c r="FZ93" s="119"/>
      <c r="GA93" s="119"/>
      <c r="GB93" s="119"/>
      <c r="GC93" s="119"/>
      <c r="GD93" s="119"/>
      <c r="GE93" s="119"/>
      <c r="GF93" s="119"/>
      <c r="GG93" s="119"/>
      <c r="GH93" s="119"/>
      <c r="GI93" s="119"/>
      <c r="GJ93" s="119"/>
      <c r="GK93" s="119"/>
      <c r="GL93" s="119"/>
      <c r="GM93" s="119"/>
      <c r="GN93" s="119"/>
      <c r="GO93" s="119"/>
      <c r="GP93" s="119"/>
      <c r="GQ93" s="119"/>
      <c r="GR93" s="119"/>
      <c r="GS93" s="119"/>
      <c r="GT93" s="119"/>
      <c r="GU93" s="119"/>
      <c r="GV93" s="119"/>
      <c r="GW93" s="119"/>
      <c r="GX93" s="119"/>
      <c r="GY93" s="119"/>
      <c r="GZ93" s="119"/>
      <c r="HA93" s="119"/>
      <c r="HB93" s="119"/>
      <c r="HC93" s="119"/>
      <c r="HD93" s="119"/>
      <c r="HE93" s="119"/>
      <c r="HF93" s="119"/>
      <c r="HG93" s="119"/>
      <c r="HH93" s="119"/>
      <c r="HI93" s="119"/>
      <c r="HJ93" s="119"/>
      <c r="HK93" s="119"/>
      <c r="HL93" s="119"/>
      <c r="HM93" s="119"/>
      <c r="HN93" s="119"/>
      <c r="HO93" s="119"/>
      <c r="HP93" s="119"/>
      <c r="HQ93" s="119"/>
      <c r="HR93" s="119"/>
      <c r="HS93" s="119"/>
      <c r="HT93" s="119"/>
      <c r="HU93" s="119"/>
      <c r="HV93" s="119"/>
      <c r="HW93" s="119"/>
      <c r="HX93" s="119"/>
      <c r="HY93" s="119"/>
      <c r="HZ93" s="119"/>
      <c r="IA93" s="119"/>
      <c r="IB93" s="119"/>
      <c r="IC93" s="119"/>
      <c r="ID93" s="119"/>
      <c r="IE93" s="119"/>
      <c r="IF93" s="119"/>
      <c r="IG93" s="119"/>
      <c r="IH93" s="119"/>
      <c r="II93" s="119"/>
      <c r="IJ93" s="119"/>
      <c r="IK93" s="119"/>
      <c r="IL93" s="119"/>
      <c r="IM93" s="119"/>
      <c r="IN93" s="119"/>
      <c r="IO93" s="119"/>
      <c r="IP93" s="119"/>
      <c r="IQ93" s="119"/>
      <c r="IR93" s="119"/>
      <c r="IS93" s="119"/>
      <c r="IT93" s="119"/>
      <c r="IU93" s="119"/>
      <c r="IV93" s="119"/>
      <c r="IW93" s="119"/>
      <c r="IX93" s="119"/>
      <c r="IY93" s="119"/>
      <c r="IZ93" s="119"/>
      <c r="JA93" s="119"/>
      <c r="JB93" s="119"/>
      <c r="JC93" s="119"/>
      <c r="JD93" s="119"/>
      <c r="JE93" s="119"/>
      <c r="JF93" s="119"/>
      <c r="JG93" s="119"/>
      <c r="JH93" s="119"/>
      <c r="JI93" s="119"/>
      <c r="JJ93" s="119"/>
      <c r="JK93" s="119"/>
      <c r="JL93" s="119"/>
      <c r="JM93" s="119"/>
      <c r="JN93" s="119"/>
      <c r="JO93" s="119"/>
      <c r="JP93" s="119"/>
      <c r="JQ93" s="119"/>
      <c r="JR93" s="119"/>
      <c r="JS93" s="119"/>
      <c r="JT93" s="119"/>
      <c r="JU93" s="119"/>
      <c r="JV93" s="119"/>
      <c r="JW93" s="119"/>
      <c r="JX93" s="119"/>
      <c r="JY93" s="119"/>
      <c r="JZ93" s="119"/>
      <c r="KA93" s="119"/>
      <c r="KB93" s="119"/>
      <c r="KC93" s="119"/>
      <c r="KD93" s="119"/>
      <c r="KE93" s="119"/>
      <c r="KF93" s="119"/>
      <c r="KG93" s="119"/>
      <c r="KH93" s="119"/>
      <c r="KI93" s="119"/>
      <c r="KJ93" s="119"/>
      <c r="KK93" s="119"/>
      <c r="KL93" s="119"/>
      <c r="KM93" s="119"/>
      <c r="KN93" s="119"/>
      <c r="KO93" s="119"/>
      <c r="KP93" s="119"/>
      <c r="KQ93" s="119"/>
      <c r="KR93" s="119"/>
      <c r="KS93" s="119"/>
      <c r="KT93" s="119"/>
      <c r="KU93" s="119"/>
      <c r="KV93" s="119"/>
      <c r="KW93" s="119"/>
      <c r="KX93" s="119"/>
      <c r="KY93" s="119"/>
      <c r="KZ93" s="119"/>
      <c r="LA93" s="119"/>
      <c r="LB93" s="119"/>
      <c r="LC93" s="119"/>
      <c r="LD93" s="119"/>
      <c r="LE93" s="119"/>
      <c r="LF93" s="119"/>
      <c r="LG93" s="119"/>
      <c r="LH93" s="119"/>
      <c r="LI93" s="119"/>
      <c r="LJ93" s="119"/>
      <c r="LK93" s="119"/>
      <c r="LL93" s="119"/>
      <c r="LM93" s="119"/>
      <c r="LN93" s="119"/>
      <c r="LO93" s="119"/>
      <c r="LP93" s="119"/>
      <c r="LQ93" s="119"/>
      <c r="LR93" s="119"/>
      <c r="LS93" s="119"/>
      <c r="LT93" s="119"/>
      <c r="LU93" s="119"/>
      <c r="LV93" s="119"/>
      <c r="LW93" s="119"/>
      <c r="LX93" s="119"/>
      <c r="LY93" s="119"/>
      <c r="LZ93" s="119"/>
      <c r="MA93" s="119"/>
      <c r="MB93" s="119"/>
      <c r="MC93" s="119"/>
      <c r="MD93" s="119"/>
      <c r="ME93" s="119"/>
      <c r="MF93" s="119"/>
      <c r="MG93" s="119"/>
      <c r="MH93" s="119"/>
      <c r="MI93" s="119"/>
      <c r="MJ93" s="119"/>
      <c r="MK93" s="119"/>
      <c r="ML93" s="119"/>
      <c r="MM93" s="119"/>
      <c r="MN93" s="119"/>
      <c r="MO93" s="119"/>
      <c r="MP93" s="119"/>
      <c r="MQ93" s="119"/>
      <c r="MR93" s="119"/>
      <c r="MS93" s="119"/>
      <c r="MT93" s="119"/>
      <c r="MU93" s="119"/>
      <c r="MV93" s="119"/>
      <c r="MW93" s="119"/>
      <c r="MX93" s="119"/>
      <c r="MY93" s="119"/>
      <c r="MZ93" s="119"/>
      <c r="NA93" s="119"/>
      <c r="NB93" s="119"/>
      <c r="NC93" s="119"/>
      <c r="ND93" s="119"/>
      <c r="NE93" s="119"/>
      <c r="NF93" s="119"/>
      <c r="NG93" s="119"/>
      <c r="NH93" s="119"/>
      <c r="NI93" s="119"/>
      <c r="NJ93" s="119"/>
      <c r="NK93" s="119"/>
      <c r="NL93" s="119"/>
      <c r="NM93" s="119"/>
      <c r="NN93" s="119"/>
      <c r="NO93" s="119"/>
      <c r="NP93" s="119"/>
      <c r="NQ93" s="119"/>
      <c r="NR93" s="119"/>
      <c r="NS93" s="119"/>
      <c r="NT93" s="119"/>
      <c r="NU93" s="119"/>
      <c r="NV93" s="119"/>
      <c r="NW93" s="119"/>
      <c r="NX93" s="119"/>
      <c r="NY93" s="119"/>
      <c r="NZ93" s="119"/>
      <c r="OA93" s="119"/>
    </row>
    <row r="94" spans="1:391" x14ac:dyDescent="0.2">
      <c r="A94" s="499"/>
      <c r="B94" s="554" t="s">
        <v>383</v>
      </c>
      <c r="C94" s="187"/>
      <c r="D94" s="187"/>
      <c r="E94" s="187"/>
      <c r="F94" s="564">
        <f t="shared" ca="1" si="6"/>
        <v>-43388</v>
      </c>
      <c r="G94" s="556"/>
      <c r="H94" s="556"/>
      <c r="I94" s="556"/>
      <c r="J94" s="38" t="str">
        <f t="shared" ref="J94:J101" ca="1" si="8">IF(G94&gt;0,"COMPLETED",(IF(I94&gt;0,"ISSUE IDENTIFIED",(IF(TODAY()&gt;E94,"OVERDUE","In Progress")))))</f>
        <v>OVERDUE</v>
      </c>
      <c r="K94" s="557"/>
      <c r="BN94" s="119"/>
      <c r="BO94" s="119"/>
      <c r="BP94" s="119"/>
      <c r="BQ94" s="119"/>
      <c r="BR94" s="119"/>
      <c r="BS94" s="119"/>
      <c r="BT94" s="119"/>
      <c r="BU94" s="119"/>
      <c r="BV94" s="119"/>
      <c r="BW94" s="119"/>
      <c r="BX94" s="119"/>
      <c r="BY94" s="119"/>
      <c r="BZ94" s="119"/>
      <c r="CA94" s="119"/>
      <c r="CB94" s="119"/>
      <c r="CC94" s="119"/>
      <c r="CD94" s="119"/>
      <c r="CE94" s="119"/>
      <c r="CF94" s="119"/>
      <c r="CG94" s="119"/>
      <c r="CH94" s="119"/>
      <c r="CI94" s="119"/>
      <c r="CJ94" s="119"/>
      <c r="CK94" s="119"/>
      <c r="CL94" s="119"/>
      <c r="CM94" s="119"/>
      <c r="CN94" s="119"/>
      <c r="CO94" s="119"/>
      <c r="CP94" s="119"/>
      <c r="CQ94" s="119"/>
      <c r="CR94" s="119"/>
      <c r="CS94" s="119"/>
      <c r="CT94" s="119"/>
      <c r="CU94" s="119"/>
      <c r="CV94" s="119"/>
      <c r="CW94" s="119"/>
      <c r="CX94" s="119"/>
      <c r="CY94" s="119"/>
      <c r="CZ94" s="119"/>
      <c r="DA94" s="119"/>
      <c r="DB94" s="119"/>
      <c r="DC94" s="119"/>
      <c r="DD94" s="119"/>
      <c r="DE94" s="119"/>
      <c r="DF94" s="119"/>
      <c r="DG94" s="119"/>
      <c r="DH94" s="119"/>
      <c r="DI94" s="119"/>
      <c r="DJ94" s="119"/>
      <c r="DK94" s="119"/>
      <c r="DL94" s="119"/>
      <c r="DM94" s="119"/>
      <c r="DN94" s="119"/>
      <c r="DO94" s="119"/>
      <c r="DP94" s="119"/>
      <c r="DQ94" s="119"/>
      <c r="DR94" s="119"/>
      <c r="DS94" s="119"/>
      <c r="DT94" s="119"/>
      <c r="DU94" s="119"/>
      <c r="DV94" s="119"/>
      <c r="DW94" s="119"/>
      <c r="DX94" s="119"/>
      <c r="DY94" s="119"/>
      <c r="DZ94" s="119"/>
      <c r="EA94" s="119"/>
      <c r="EB94" s="119"/>
      <c r="EC94" s="119"/>
      <c r="ED94" s="119"/>
      <c r="EE94" s="119"/>
      <c r="EF94" s="119"/>
      <c r="EG94" s="119"/>
      <c r="EH94" s="119"/>
      <c r="EI94" s="119"/>
      <c r="EJ94" s="119"/>
      <c r="EK94" s="119"/>
      <c r="EL94" s="119"/>
      <c r="EM94" s="119"/>
      <c r="EN94" s="119"/>
      <c r="EO94" s="119"/>
      <c r="EP94" s="119"/>
      <c r="EQ94" s="119"/>
      <c r="ER94" s="119"/>
      <c r="ES94" s="119"/>
      <c r="ET94" s="119"/>
      <c r="EU94" s="119"/>
      <c r="EV94" s="119"/>
      <c r="EW94" s="119"/>
      <c r="EX94" s="119"/>
      <c r="EY94" s="119"/>
      <c r="EZ94" s="119"/>
      <c r="FA94" s="119"/>
      <c r="FB94" s="119"/>
      <c r="FC94" s="119"/>
      <c r="FD94" s="119"/>
      <c r="FE94" s="119"/>
      <c r="FF94" s="119"/>
      <c r="FG94" s="119"/>
      <c r="FH94" s="119"/>
      <c r="FI94" s="119"/>
      <c r="FJ94" s="119"/>
      <c r="FK94" s="119"/>
      <c r="FL94" s="119"/>
      <c r="FM94" s="119"/>
      <c r="FN94" s="119"/>
      <c r="FO94" s="119"/>
      <c r="FP94" s="119"/>
      <c r="FQ94" s="119"/>
      <c r="FR94" s="119"/>
      <c r="FS94" s="119"/>
      <c r="FT94" s="119"/>
      <c r="FU94" s="119"/>
      <c r="FV94" s="119"/>
      <c r="FW94" s="119"/>
      <c r="FX94" s="119"/>
      <c r="FY94" s="119"/>
      <c r="FZ94" s="119"/>
      <c r="GA94" s="119"/>
      <c r="GB94" s="119"/>
      <c r="GC94" s="119"/>
      <c r="GD94" s="119"/>
      <c r="GE94" s="119"/>
      <c r="GF94" s="119"/>
      <c r="GG94" s="119"/>
      <c r="GH94" s="119"/>
      <c r="GI94" s="119"/>
      <c r="GJ94" s="119"/>
      <c r="GK94" s="119"/>
      <c r="GL94" s="119"/>
      <c r="GM94" s="119"/>
      <c r="GN94" s="119"/>
      <c r="GO94" s="119"/>
      <c r="GP94" s="119"/>
      <c r="GQ94" s="119"/>
      <c r="GR94" s="119"/>
      <c r="GS94" s="119"/>
      <c r="GT94" s="119"/>
      <c r="GU94" s="119"/>
      <c r="GV94" s="119"/>
      <c r="GW94" s="119"/>
      <c r="GX94" s="119"/>
      <c r="GY94" s="119"/>
      <c r="GZ94" s="119"/>
      <c r="HA94" s="119"/>
      <c r="HB94" s="119"/>
      <c r="HC94" s="119"/>
      <c r="HD94" s="119"/>
      <c r="HE94" s="119"/>
      <c r="HF94" s="119"/>
      <c r="HG94" s="119"/>
      <c r="HH94" s="119"/>
      <c r="HI94" s="119"/>
      <c r="HJ94" s="119"/>
      <c r="HK94" s="119"/>
      <c r="HL94" s="119"/>
      <c r="HM94" s="119"/>
      <c r="HN94" s="119"/>
      <c r="HO94" s="119"/>
      <c r="HP94" s="119"/>
      <c r="HQ94" s="119"/>
      <c r="HR94" s="119"/>
      <c r="HS94" s="119"/>
      <c r="HT94" s="119"/>
      <c r="HU94" s="119"/>
      <c r="HV94" s="119"/>
      <c r="HW94" s="119"/>
      <c r="HX94" s="119"/>
      <c r="HY94" s="119"/>
      <c r="HZ94" s="119"/>
      <c r="IA94" s="119"/>
      <c r="IB94" s="119"/>
      <c r="IC94" s="119"/>
      <c r="ID94" s="119"/>
      <c r="IE94" s="119"/>
      <c r="IF94" s="119"/>
      <c r="IG94" s="119"/>
      <c r="IH94" s="119"/>
      <c r="II94" s="119"/>
      <c r="IJ94" s="119"/>
      <c r="IK94" s="119"/>
      <c r="IL94" s="119"/>
      <c r="IM94" s="119"/>
      <c r="IN94" s="119"/>
      <c r="IO94" s="119"/>
      <c r="IP94" s="119"/>
      <c r="IQ94" s="119"/>
      <c r="IR94" s="119"/>
      <c r="IS94" s="119"/>
      <c r="IT94" s="119"/>
      <c r="IU94" s="119"/>
      <c r="IV94" s="119"/>
      <c r="IW94" s="119"/>
      <c r="IX94" s="119"/>
      <c r="IY94" s="119"/>
      <c r="IZ94" s="119"/>
      <c r="JA94" s="119"/>
      <c r="JB94" s="119"/>
      <c r="JC94" s="119"/>
      <c r="JD94" s="119"/>
      <c r="JE94" s="119"/>
      <c r="JF94" s="119"/>
      <c r="JG94" s="119"/>
      <c r="JH94" s="119"/>
      <c r="JI94" s="119"/>
      <c r="JJ94" s="119"/>
      <c r="JK94" s="119"/>
      <c r="JL94" s="119"/>
      <c r="JM94" s="119"/>
      <c r="JN94" s="119"/>
      <c r="JO94" s="119"/>
      <c r="JP94" s="119"/>
      <c r="JQ94" s="119"/>
      <c r="JR94" s="119"/>
      <c r="JS94" s="119"/>
      <c r="JT94" s="119"/>
      <c r="JU94" s="119"/>
      <c r="JV94" s="119"/>
      <c r="JW94" s="119"/>
      <c r="JX94" s="119"/>
      <c r="JY94" s="119"/>
      <c r="JZ94" s="119"/>
      <c r="KA94" s="119"/>
      <c r="KB94" s="119"/>
      <c r="KC94" s="119"/>
      <c r="KD94" s="119"/>
      <c r="KE94" s="119"/>
      <c r="KF94" s="119"/>
      <c r="KG94" s="119"/>
      <c r="KH94" s="119"/>
      <c r="KI94" s="119"/>
      <c r="KJ94" s="119"/>
      <c r="KK94" s="119"/>
      <c r="KL94" s="119"/>
      <c r="KM94" s="119"/>
      <c r="KN94" s="119"/>
      <c r="KO94" s="119"/>
      <c r="KP94" s="119"/>
      <c r="KQ94" s="119"/>
      <c r="KR94" s="119"/>
      <c r="KS94" s="119"/>
      <c r="KT94" s="119"/>
      <c r="KU94" s="119"/>
      <c r="KV94" s="119"/>
      <c r="KW94" s="119"/>
      <c r="KX94" s="119"/>
      <c r="KY94" s="119"/>
      <c r="KZ94" s="119"/>
      <c r="LA94" s="119"/>
      <c r="LB94" s="119"/>
      <c r="LC94" s="119"/>
      <c r="LD94" s="119"/>
      <c r="LE94" s="119"/>
      <c r="LF94" s="119"/>
      <c r="LG94" s="119"/>
      <c r="LH94" s="119"/>
      <c r="LI94" s="119"/>
      <c r="LJ94" s="119"/>
      <c r="LK94" s="119"/>
      <c r="LL94" s="119"/>
      <c r="LM94" s="119"/>
      <c r="LN94" s="119"/>
      <c r="LO94" s="119"/>
      <c r="LP94" s="119"/>
      <c r="LQ94" s="119"/>
      <c r="LR94" s="119"/>
      <c r="LS94" s="119"/>
      <c r="LT94" s="119"/>
      <c r="LU94" s="119"/>
      <c r="LV94" s="119"/>
      <c r="LW94" s="119"/>
      <c r="LX94" s="119"/>
      <c r="LY94" s="119"/>
      <c r="LZ94" s="119"/>
      <c r="MA94" s="119"/>
      <c r="MB94" s="119"/>
      <c r="MC94" s="119"/>
      <c r="MD94" s="119"/>
      <c r="ME94" s="119"/>
      <c r="MF94" s="119"/>
      <c r="MG94" s="119"/>
      <c r="MH94" s="119"/>
      <c r="MI94" s="119"/>
      <c r="MJ94" s="119"/>
      <c r="MK94" s="119"/>
      <c r="ML94" s="119"/>
      <c r="MM94" s="119"/>
      <c r="MN94" s="119"/>
      <c r="MO94" s="119"/>
      <c r="MP94" s="119"/>
      <c r="MQ94" s="119"/>
      <c r="MR94" s="119"/>
      <c r="MS94" s="119"/>
      <c r="MT94" s="119"/>
      <c r="MU94" s="119"/>
      <c r="MV94" s="119"/>
      <c r="MW94" s="119"/>
      <c r="MX94" s="119"/>
      <c r="MY94" s="119"/>
      <c r="MZ94" s="119"/>
      <c r="NA94" s="119"/>
      <c r="NB94" s="119"/>
      <c r="NC94" s="119"/>
      <c r="ND94" s="119"/>
      <c r="NE94" s="119"/>
      <c r="NF94" s="119"/>
      <c r="NG94" s="119"/>
      <c r="NH94" s="119"/>
      <c r="NI94" s="119"/>
      <c r="NJ94" s="119"/>
      <c r="NK94" s="119"/>
      <c r="NL94" s="119"/>
      <c r="NM94" s="119"/>
      <c r="NN94" s="119"/>
      <c r="NO94" s="119"/>
      <c r="NP94" s="119"/>
      <c r="NQ94" s="119"/>
      <c r="NR94" s="119"/>
      <c r="NS94" s="119"/>
      <c r="NT94" s="119"/>
      <c r="NU94" s="119"/>
      <c r="NV94" s="119"/>
      <c r="NW94" s="119"/>
      <c r="NX94" s="119"/>
      <c r="NY94" s="119"/>
      <c r="NZ94" s="119"/>
      <c r="OA94" s="119"/>
    </row>
    <row r="95" spans="1:391" x14ac:dyDescent="0.2">
      <c r="A95" s="499"/>
      <c r="B95" s="554" t="s">
        <v>384</v>
      </c>
      <c r="C95" s="187"/>
      <c r="D95" s="187"/>
      <c r="E95" s="187"/>
      <c r="F95" s="564">
        <f t="shared" ca="1" si="6"/>
        <v>-43388</v>
      </c>
      <c r="G95" s="556"/>
      <c r="H95" s="556"/>
      <c r="I95" s="556"/>
      <c r="J95" s="38" t="str">
        <f t="shared" ca="1" si="8"/>
        <v>OVERDUE</v>
      </c>
      <c r="K95" s="557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19"/>
      <c r="BY95" s="119"/>
      <c r="BZ95" s="119"/>
      <c r="CA95" s="119"/>
      <c r="CB95" s="119"/>
      <c r="CC95" s="119"/>
      <c r="CD95" s="119"/>
      <c r="CE95" s="119"/>
      <c r="CF95" s="119"/>
      <c r="CG95" s="119"/>
      <c r="CH95" s="119"/>
      <c r="CI95" s="119"/>
      <c r="CJ95" s="119"/>
      <c r="CK95" s="119"/>
      <c r="CL95" s="119"/>
      <c r="CM95" s="119"/>
      <c r="CN95" s="119"/>
      <c r="CO95" s="119"/>
      <c r="CP95" s="119"/>
      <c r="CQ95" s="119"/>
      <c r="CR95" s="119"/>
      <c r="CS95" s="119"/>
      <c r="CT95" s="119"/>
      <c r="CU95" s="119"/>
      <c r="CV95" s="119"/>
      <c r="CW95" s="119"/>
      <c r="CX95" s="119"/>
      <c r="CY95" s="119"/>
      <c r="CZ95" s="119"/>
      <c r="DA95" s="119"/>
      <c r="DB95" s="119"/>
      <c r="DC95" s="119"/>
      <c r="DD95" s="119"/>
      <c r="DE95" s="119"/>
      <c r="DF95" s="119"/>
      <c r="DG95" s="119"/>
      <c r="DH95" s="119"/>
      <c r="DI95" s="119"/>
      <c r="DJ95" s="119"/>
      <c r="DK95" s="119"/>
      <c r="DL95" s="119"/>
      <c r="DM95" s="119"/>
      <c r="DN95" s="119"/>
      <c r="DO95" s="119"/>
      <c r="DP95" s="119"/>
      <c r="DQ95" s="119"/>
      <c r="DR95" s="119"/>
      <c r="DS95" s="119"/>
      <c r="DT95" s="119"/>
      <c r="DU95" s="119"/>
      <c r="DV95" s="119"/>
      <c r="DW95" s="119"/>
      <c r="DX95" s="119"/>
      <c r="DY95" s="119"/>
      <c r="DZ95" s="119"/>
      <c r="EA95" s="119"/>
      <c r="EB95" s="119"/>
      <c r="EC95" s="119"/>
      <c r="ED95" s="119"/>
      <c r="EE95" s="119"/>
      <c r="EF95" s="119"/>
      <c r="EG95" s="119"/>
      <c r="EH95" s="119"/>
      <c r="EI95" s="119"/>
      <c r="EJ95" s="119"/>
      <c r="EK95" s="119"/>
      <c r="EL95" s="119"/>
      <c r="EM95" s="119"/>
      <c r="EN95" s="119"/>
      <c r="EO95" s="119"/>
      <c r="EP95" s="119"/>
      <c r="EQ95" s="119"/>
      <c r="ER95" s="119"/>
      <c r="ES95" s="119"/>
      <c r="ET95" s="119"/>
      <c r="EU95" s="119"/>
      <c r="EV95" s="119"/>
      <c r="EW95" s="119"/>
      <c r="EX95" s="119"/>
      <c r="EY95" s="119"/>
      <c r="EZ95" s="119"/>
      <c r="FA95" s="119"/>
      <c r="FB95" s="119"/>
      <c r="FC95" s="119"/>
      <c r="FD95" s="119"/>
      <c r="FE95" s="119"/>
      <c r="FF95" s="119"/>
      <c r="FG95" s="119"/>
      <c r="FH95" s="119"/>
      <c r="FI95" s="119"/>
      <c r="FJ95" s="119"/>
      <c r="FK95" s="119"/>
      <c r="FL95" s="119"/>
      <c r="FM95" s="119"/>
      <c r="FN95" s="119"/>
      <c r="FO95" s="119"/>
      <c r="FP95" s="119"/>
      <c r="FQ95" s="119"/>
      <c r="FR95" s="119"/>
      <c r="FS95" s="119"/>
      <c r="FT95" s="119"/>
      <c r="FU95" s="119"/>
      <c r="FV95" s="119"/>
      <c r="FW95" s="119"/>
      <c r="FX95" s="119"/>
      <c r="FY95" s="119"/>
      <c r="FZ95" s="119"/>
      <c r="GA95" s="119"/>
      <c r="GB95" s="119"/>
      <c r="GC95" s="119"/>
      <c r="GD95" s="119"/>
      <c r="GE95" s="119"/>
      <c r="GF95" s="119"/>
      <c r="GG95" s="119"/>
      <c r="GH95" s="119"/>
      <c r="GI95" s="119"/>
      <c r="GJ95" s="119"/>
      <c r="GK95" s="119"/>
      <c r="GL95" s="119"/>
      <c r="GM95" s="119"/>
      <c r="GN95" s="119"/>
      <c r="GO95" s="119"/>
      <c r="GP95" s="119"/>
      <c r="GQ95" s="119"/>
      <c r="GR95" s="119"/>
      <c r="GS95" s="119"/>
      <c r="GT95" s="119"/>
      <c r="GU95" s="119"/>
      <c r="GV95" s="119"/>
      <c r="GW95" s="119"/>
      <c r="GX95" s="119"/>
      <c r="GY95" s="119"/>
      <c r="GZ95" s="119"/>
      <c r="HA95" s="119"/>
      <c r="HB95" s="119"/>
      <c r="HC95" s="119"/>
      <c r="HD95" s="119"/>
      <c r="HE95" s="119"/>
      <c r="HF95" s="119"/>
      <c r="HG95" s="119"/>
      <c r="HH95" s="119"/>
      <c r="HI95" s="119"/>
      <c r="HJ95" s="119"/>
      <c r="HK95" s="119"/>
      <c r="HL95" s="119"/>
      <c r="HM95" s="119"/>
      <c r="HN95" s="119"/>
      <c r="HO95" s="119"/>
      <c r="HP95" s="119"/>
      <c r="HQ95" s="119"/>
      <c r="HR95" s="119"/>
      <c r="HS95" s="119"/>
      <c r="HT95" s="119"/>
      <c r="HU95" s="119"/>
      <c r="HV95" s="119"/>
      <c r="HW95" s="119"/>
      <c r="HX95" s="119"/>
      <c r="HY95" s="119"/>
      <c r="HZ95" s="119"/>
      <c r="IA95" s="119"/>
      <c r="IB95" s="119"/>
      <c r="IC95" s="119"/>
      <c r="ID95" s="119"/>
      <c r="IE95" s="119"/>
      <c r="IF95" s="119"/>
      <c r="IG95" s="119"/>
      <c r="IH95" s="119"/>
      <c r="II95" s="119"/>
      <c r="IJ95" s="119"/>
      <c r="IK95" s="119"/>
      <c r="IL95" s="119"/>
      <c r="IM95" s="119"/>
      <c r="IN95" s="119"/>
      <c r="IO95" s="119"/>
      <c r="IP95" s="119"/>
      <c r="IQ95" s="119"/>
      <c r="IR95" s="119"/>
      <c r="IS95" s="119"/>
      <c r="IT95" s="119"/>
      <c r="IU95" s="119"/>
      <c r="IV95" s="119"/>
      <c r="IW95" s="119"/>
      <c r="IX95" s="119"/>
      <c r="IY95" s="119"/>
      <c r="IZ95" s="119"/>
      <c r="JA95" s="119"/>
      <c r="JB95" s="119"/>
      <c r="JC95" s="119"/>
      <c r="JD95" s="119"/>
      <c r="JE95" s="119"/>
      <c r="JF95" s="119"/>
      <c r="JG95" s="119"/>
      <c r="JH95" s="119"/>
      <c r="JI95" s="119"/>
      <c r="JJ95" s="119"/>
      <c r="JK95" s="119"/>
      <c r="JL95" s="119"/>
      <c r="JM95" s="119"/>
      <c r="JN95" s="119"/>
      <c r="JO95" s="119"/>
      <c r="JP95" s="119"/>
      <c r="JQ95" s="119"/>
      <c r="JR95" s="119"/>
      <c r="JS95" s="119"/>
      <c r="JT95" s="119"/>
      <c r="JU95" s="119"/>
      <c r="JV95" s="119"/>
      <c r="JW95" s="119"/>
      <c r="JX95" s="119"/>
      <c r="JY95" s="119"/>
      <c r="JZ95" s="119"/>
      <c r="KA95" s="119"/>
      <c r="KB95" s="119"/>
      <c r="KC95" s="119"/>
      <c r="KD95" s="119"/>
      <c r="KE95" s="119"/>
      <c r="KF95" s="119"/>
      <c r="KG95" s="119"/>
      <c r="KH95" s="119"/>
      <c r="KI95" s="119"/>
      <c r="KJ95" s="119"/>
      <c r="KK95" s="119"/>
      <c r="KL95" s="119"/>
      <c r="KM95" s="119"/>
      <c r="KN95" s="119"/>
      <c r="KO95" s="119"/>
      <c r="KP95" s="119"/>
      <c r="KQ95" s="119"/>
      <c r="KR95" s="119"/>
      <c r="KS95" s="119"/>
      <c r="KT95" s="119"/>
      <c r="KU95" s="119"/>
      <c r="KV95" s="119"/>
      <c r="KW95" s="119"/>
      <c r="KX95" s="119"/>
      <c r="KY95" s="119"/>
      <c r="KZ95" s="119"/>
      <c r="LA95" s="119"/>
      <c r="LB95" s="119"/>
      <c r="LC95" s="119"/>
      <c r="LD95" s="119"/>
      <c r="LE95" s="119"/>
      <c r="LF95" s="119"/>
      <c r="LG95" s="119"/>
      <c r="LH95" s="119"/>
      <c r="LI95" s="119"/>
      <c r="LJ95" s="119"/>
      <c r="LK95" s="119"/>
      <c r="LL95" s="119"/>
      <c r="LM95" s="119"/>
      <c r="LN95" s="119"/>
      <c r="LO95" s="119"/>
      <c r="LP95" s="119"/>
      <c r="LQ95" s="119"/>
      <c r="LR95" s="119"/>
      <c r="LS95" s="119"/>
      <c r="LT95" s="119"/>
      <c r="LU95" s="119"/>
      <c r="LV95" s="119"/>
      <c r="LW95" s="119"/>
      <c r="LX95" s="119"/>
      <c r="LY95" s="119"/>
      <c r="LZ95" s="119"/>
      <c r="MA95" s="119"/>
      <c r="MB95" s="119"/>
      <c r="MC95" s="119"/>
      <c r="MD95" s="119"/>
      <c r="ME95" s="119"/>
      <c r="MF95" s="119"/>
      <c r="MG95" s="119"/>
      <c r="MH95" s="119"/>
      <c r="MI95" s="119"/>
      <c r="MJ95" s="119"/>
      <c r="MK95" s="119"/>
      <c r="ML95" s="119"/>
      <c r="MM95" s="119"/>
      <c r="MN95" s="119"/>
      <c r="MO95" s="119"/>
      <c r="MP95" s="119"/>
      <c r="MQ95" s="119"/>
      <c r="MR95" s="119"/>
      <c r="MS95" s="119"/>
      <c r="MT95" s="119"/>
      <c r="MU95" s="119"/>
      <c r="MV95" s="119"/>
      <c r="MW95" s="119"/>
      <c r="MX95" s="119"/>
      <c r="MY95" s="119"/>
      <c r="MZ95" s="119"/>
      <c r="NA95" s="119"/>
      <c r="NB95" s="119"/>
      <c r="NC95" s="119"/>
      <c r="ND95" s="119"/>
      <c r="NE95" s="119"/>
      <c r="NF95" s="119"/>
      <c r="NG95" s="119"/>
      <c r="NH95" s="119"/>
      <c r="NI95" s="119"/>
      <c r="NJ95" s="119"/>
      <c r="NK95" s="119"/>
      <c r="NL95" s="119"/>
      <c r="NM95" s="119"/>
      <c r="NN95" s="119"/>
      <c r="NO95" s="119"/>
      <c r="NP95" s="119"/>
      <c r="NQ95" s="119"/>
      <c r="NR95" s="119"/>
      <c r="NS95" s="119"/>
      <c r="NT95" s="119"/>
      <c r="NU95" s="119"/>
      <c r="NV95" s="119"/>
      <c r="NW95" s="119"/>
      <c r="NX95" s="119"/>
      <c r="NY95" s="119"/>
      <c r="NZ95" s="119"/>
      <c r="OA95" s="119"/>
    </row>
    <row r="96" spans="1:391" x14ac:dyDescent="0.2">
      <c r="A96" s="499"/>
      <c r="B96" s="554" t="s">
        <v>385</v>
      </c>
      <c r="C96" s="187"/>
      <c r="D96" s="187"/>
      <c r="E96" s="187"/>
      <c r="F96" s="564">
        <f t="shared" ca="1" si="6"/>
        <v>-43388</v>
      </c>
      <c r="G96" s="556"/>
      <c r="H96" s="556"/>
      <c r="I96" s="556"/>
      <c r="J96" s="38" t="str">
        <f t="shared" ca="1" si="8"/>
        <v>OVERDUE</v>
      </c>
      <c r="K96" s="557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19"/>
      <c r="BY96" s="119"/>
      <c r="BZ96" s="119"/>
      <c r="CA96" s="119"/>
      <c r="CB96" s="119"/>
      <c r="CC96" s="119"/>
      <c r="CD96" s="119"/>
      <c r="CE96" s="119"/>
      <c r="CF96" s="119"/>
      <c r="CG96" s="119"/>
      <c r="CH96" s="119"/>
      <c r="CI96" s="119"/>
      <c r="CJ96" s="119"/>
      <c r="CK96" s="119"/>
      <c r="CL96" s="119"/>
      <c r="CM96" s="119"/>
      <c r="CN96" s="119"/>
      <c r="CO96" s="119"/>
      <c r="CP96" s="119"/>
      <c r="CQ96" s="119"/>
      <c r="CR96" s="119"/>
      <c r="CS96" s="119"/>
      <c r="CT96" s="119"/>
      <c r="CU96" s="119"/>
      <c r="CV96" s="119"/>
      <c r="CW96" s="119"/>
      <c r="CX96" s="119"/>
      <c r="CY96" s="119"/>
      <c r="CZ96" s="119"/>
      <c r="DA96" s="119"/>
      <c r="DB96" s="119"/>
      <c r="DC96" s="119"/>
      <c r="DD96" s="119"/>
      <c r="DE96" s="119"/>
      <c r="DF96" s="119"/>
      <c r="DG96" s="119"/>
      <c r="DH96" s="119"/>
      <c r="DI96" s="119"/>
      <c r="DJ96" s="119"/>
      <c r="DK96" s="119"/>
      <c r="DL96" s="119"/>
      <c r="DM96" s="119"/>
      <c r="DN96" s="119"/>
      <c r="DO96" s="119"/>
      <c r="DP96" s="119"/>
      <c r="DQ96" s="119"/>
      <c r="DR96" s="119"/>
      <c r="DS96" s="119"/>
      <c r="DT96" s="119"/>
      <c r="DU96" s="119"/>
      <c r="DV96" s="119"/>
      <c r="DW96" s="119"/>
      <c r="DX96" s="119"/>
      <c r="DY96" s="119"/>
      <c r="DZ96" s="119"/>
      <c r="EA96" s="119"/>
      <c r="EB96" s="119"/>
      <c r="EC96" s="119"/>
      <c r="ED96" s="119"/>
      <c r="EE96" s="119"/>
      <c r="EF96" s="119"/>
      <c r="EG96" s="119"/>
      <c r="EH96" s="119"/>
      <c r="EI96" s="119"/>
      <c r="EJ96" s="119"/>
      <c r="EK96" s="119"/>
      <c r="EL96" s="119"/>
      <c r="EM96" s="119"/>
      <c r="EN96" s="119"/>
      <c r="EO96" s="119"/>
      <c r="EP96" s="119"/>
      <c r="EQ96" s="119"/>
      <c r="ER96" s="119"/>
      <c r="ES96" s="119"/>
      <c r="ET96" s="119"/>
      <c r="EU96" s="119"/>
      <c r="EV96" s="119"/>
      <c r="EW96" s="119"/>
      <c r="EX96" s="119"/>
      <c r="EY96" s="119"/>
      <c r="EZ96" s="119"/>
      <c r="FA96" s="119"/>
      <c r="FB96" s="119"/>
      <c r="FC96" s="119"/>
      <c r="FD96" s="119"/>
      <c r="FE96" s="119"/>
      <c r="FF96" s="119"/>
      <c r="FG96" s="119"/>
      <c r="FH96" s="119"/>
      <c r="FI96" s="119"/>
      <c r="FJ96" s="119"/>
      <c r="FK96" s="119"/>
      <c r="FL96" s="119"/>
      <c r="FM96" s="119"/>
      <c r="FN96" s="119"/>
      <c r="FO96" s="119"/>
      <c r="FP96" s="119"/>
      <c r="FQ96" s="119"/>
      <c r="FR96" s="119"/>
      <c r="FS96" s="119"/>
      <c r="FT96" s="119"/>
      <c r="FU96" s="119"/>
      <c r="FV96" s="119"/>
      <c r="FW96" s="119"/>
      <c r="FX96" s="119"/>
      <c r="FY96" s="119"/>
      <c r="FZ96" s="119"/>
      <c r="GA96" s="119"/>
      <c r="GB96" s="119"/>
      <c r="GC96" s="119"/>
      <c r="GD96" s="119"/>
      <c r="GE96" s="119"/>
      <c r="GF96" s="119"/>
      <c r="GG96" s="119"/>
      <c r="GH96" s="119"/>
      <c r="GI96" s="119"/>
      <c r="GJ96" s="119"/>
      <c r="GK96" s="119"/>
      <c r="GL96" s="119"/>
      <c r="GM96" s="119"/>
      <c r="GN96" s="119"/>
      <c r="GO96" s="119"/>
      <c r="GP96" s="119"/>
      <c r="GQ96" s="119"/>
      <c r="GR96" s="119"/>
      <c r="GS96" s="119"/>
      <c r="GT96" s="119"/>
      <c r="GU96" s="119"/>
      <c r="GV96" s="119"/>
      <c r="GW96" s="119"/>
      <c r="GX96" s="119"/>
      <c r="GY96" s="119"/>
      <c r="GZ96" s="119"/>
      <c r="HA96" s="119"/>
      <c r="HB96" s="119"/>
      <c r="HC96" s="119"/>
      <c r="HD96" s="119"/>
      <c r="HE96" s="119"/>
      <c r="HF96" s="119"/>
      <c r="HG96" s="119"/>
      <c r="HH96" s="119"/>
      <c r="HI96" s="119"/>
      <c r="HJ96" s="119"/>
      <c r="HK96" s="119"/>
      <c r="HL96" s="119"/>
      <c r="HM96" s="119"/>
      <c r="HN96" s="119"/>
      <c r="HO96" s="119"/>
      <c r="HP96" s="119"/>
      <c r="HQ96" s="119"/>
      <c r="HR96" s="119"/>
      <c r="HS96" s="119"/>
      <c r="HT96" s="119"/>
      <c r="HU96" s="119"/>
      <c r="HV96" s="119"/>
      <c r="HW96" s="119"/>
      <c r="HX96" s="119"/>
      <c r="HY96" s="119"/>
      <c r="HZ96" s="119"/>
      <c r="IA96" s="119"/>
      <c r="IB96" s="119"/>
      <c r="IC96" s="119"/>
      <c r="ID96" s="119"/>
      <c r="IE96" s="119"/>
      <c r="IF96" s="119"/>
      <c r="IG96" s="119"/>
      <c r="IH96" s="119"/>
      <c r="II96" s="119"/>
      <c r="IJ96" s="119"/>
      <c r="IK96" s="119"/>
      <c r="IL96" s="119"/>
      <c r="IM96" s="119"/>
      <c r="IN96" s="119"/>
      <c r="IO96" s="119"/>
      <c r="IP96" s="119"/>
      <c r="IQ96" s="119"/>
      <c r="IR96" s="119"/>
      <c r="IS96" s="119"/>
      <c r="IT96" s="119"/>
      <c r="IU96" s="119"/>
      <c r="IV96" s="119"/>
      <c r="IW96" s="119"/>
      <c r="IX96" s="119"/>
      <c r="IY96" s="119"/>
      <c r="IZ96" s="119"/>
      <c r="JA96" s="119"/>
      <c r="JB96" s="119"/>
      <c r="JC96" s="119"/>
      <c r="JD96" s="119"/>
      <c r="JE96" s="119"/>
      <c r="JF96" s="119"/>
      <c r="JG96" s="119"/>
      <c r="JH96" s="119"/>
      <c r="JI96" s="119"/>
      <c r="JJ96" s="119"/>
      <c r="JK96" s="119"/>
      <c r="JL96" s="119"/>
      <c r="JM96" s="119"/>
      <c r="JN96" s="119"/>
      <c r="JO96" s="119"/>
      <c r="JP96" s="119"/>
      <c r="JQ96" s="119"/>
      <c r="JR96" s="119"/>
      <c r="JS96" s="119"/>
      <c r="JT96" s="119"/>
      <c r="JU96" s="119"/>
      <c r="JV96" s="119"/>
      <c r="JW96" s="119"/>
      <c r="JX96" s="119"/>
      <c r="JY96" s="119"/>
      <c r="JZ96" s="119"/>
      <c r="KA96" s="119"/>
      <c r="KB96" s="119"/>
      <c r="KC96" s="119"/>
      <c r="KD96" s="119"/>
      <c r="KE96" s="119"/>
      <c r="KF96" s="119"/>
      <c r="KG96" s="119"/>
      <c r="KH96" s="119"/>
      <c r="KI96" s="119"/>
      <c r="KJ96" s="119"/>
      <c r="KK96" s="119"/>
      <c r="KL96" s="119"/>
      <c r="KM96" s="119"/>
      <c r="KN96" s="119"/>
      <c r="KO96" s="119"/>
      <c r="KP96" s="119"/>
      <c r="KQ96" s="119"/>
      <c r="KR96" s="119"/>
      <c r="KS96" s="119"/>
      <c r="KT96" s="119"/>
      <c r="KU96" s="119"/>
      <c r="KV96" s="119"/>
      <c r="KW96" s="119"/>
      <c r="KX96" s="119"/>
      <c r="KY96" s="119"/>
      <c r="KZ96" s="119"/>
      <c r="LA96" s="119"/>
      <c r="LB96" s="119"/>
      <c r="LC96" s="119"/>
      <c r="LD96" s="119"/>
      <c r="LE96" s="119"/>
      <c r="LF96" s="119"/>
      <c r="LG96" s="119"/>
      <c r="LH96" s="119"/>
      <c r="LI96" s="119"/>
      <c r="LJ96" s="119"/>
      <c r="LK96" s="119"/>
      <c r="LL96" s="119"/>
      <c r="LM96" s="119"/>
      <c r="LN96" s="119"/>
      <c r="LO96" s="119"/>
      <c r="LP96" s="119"/>
      <c r="LQ96" s="119"/>
      <c r="LR96" s="119"/>
      <c r="LS96" s="119"/>
      <c r="LT96" s="119"/>
      <c r="LU96" s="119"/>
      <c r="LV96" s="119"/>
      <c r="LW96" s="119"/>
      <c r="LX96" s="119"/>
      <c r="LY96" s="119"/>
      <c r="LZ96" s="119"/>
      <c r="MA96" s="119"/>
      <c r="MB96" s="119"/>
      <c r="MC96" s="119"/>
      <c r="MD96" s="119"/>
      <c r="ME96" s="119"/>
      <c r="MF96" s="119"/>
      <c r="MG96" s="119"/>
      <c r="MH96" s="119"/>
      <c r="MI96" s="119"/>
      <c r="MJ96" s="119"/>
      <c r="MK96" s="119"/>
      <c r="ML96" s="119"/>
      <c r="MM96" s="119"/>
      <c r="MN96" s="119"/>
      <c r="MO96" s="119"/>
      <c r="MP96" s="119"/>
      <c r="MQ96" s="119"/>
      <c r="MR96" s="119"/>
      <c r="MS96" s="119"/>
      <c r="MT96" s="119"/>
      <c r="MU96" s="119"/>
      <c r="MV96" s="119"/>
      <c r="MW96" s="119"/>
      <c r="MX96" s="119"/>
      <c r="MY96" s="119"/>
      <c r="MZ96" s="119"/>
      <c r="NA96" s="119"/>
      <c r="NB96" s="119"/>
      <c r="NC96" s="119"/>
      <c r="ND96" s="119"/>
      <c r="NE96" s="119"/>
      <c r="NF96" s="119"/>
      <c r="NG96" s="119"/>
      <c r="NH96" s="119"/>
      <c r="NI96" s="119"/>
      <c r="NJ96" s="119"/>
      <c r="NK96" s="119"/>
      <c r="NL96" s="119"/>
      <c r="NM96" s="119"/>
      <c r="NN96" s="119"/>
      <c r="NO96" s="119"/>
      <c r="NP96" s="119"/>
      <c r="NQ96" s="119"/>
      <c r="NR96" s="119"/>
      <c r="NS96" s="119"/>
      <c r="NT96" s="119"/>
      <c r="NU96" s="119"/>
      <c r="NV96" s="119"/>
      <c r="NW96" s="119"/>
      <c r="NX96" s="119"/>
      <c r="NY96" s="119"/>
      <c r="NZ96" s="119"/>
      <c r="OA96" s="119"/>
    </row>
    <row r="97" spans="1:11" x14ac:dyDescent="0.2">
      <c r="A97" s="499"/>
      <c r="B97" s="554" t="s">
        <v>386</v>
      </c>
      <c r="C97" s="187"/>
      <c r="D97" s="187"/>
      <c r="E97" s="187"/>
      <c r="F97" s="564">
        <f t="shared" ca="1" si="6"/>
        <v>-43388</v>
      </c>
      <c r="G97" s="556"/>
      <c r="H97" s="556"/>
      <c r="I97" s="556"/>
      <c r="J97" s="38" t="str">
        <f t="shared" ca="1" si="8"/>
        <v>OVERDUE</v>
      </c>
      <c r="K97" s="557"/>
    </row>
    <row r="98" spans="1:11" x14ac:dyDescent="0.2">
      <c r="A98" s="499"/>
      <c r="B98" s="554" t="s">
        <v>387</v>
      </c>
      <c r="C98" s="187"/>
      <c r="D98" s="187"/>
      <c r="E98" s="187"/>
      <c r="F98" s="564">
        <f t="shared" ca="1" si="6"/>
        <v>-43388</v>
      </c>
      <c r="G98" s="556"/>
      <c r="H98" s="556"/>
      <c r="I98" s="556"/>
      <c r="J98" s="38" t="str">
        <f t="shared" ca="1" si="8"/>
        <v>OVERDUE</v>
      </c>
      <c r="K98" s="557"/>
    </row>
    <row r="99" spans="1:11" x14ac:dyDescent="0.2">
      <c r="A99" s="499"/>
      <c r="B99" s="554" t="s">
        <v>388</v>
      </c>
      <c r="C99" s="187"/>
      <c r="D99" s="187"/>
      <c r="E99" s="187"/>
      <c r="F99" s="564">
        <f t="shared" ca="1" si="6"/>
        <v>-43388</v>
      </c>
      <c r="G99" s="556"/>
      <c r="H99" s="556"/>
      <c r="I99" s="556"/>
      <c r="J99" s="38" t="str">
        <f t="shared" ca="1" si="8"/>
        <v>OVERDUE</v>
      </c>
      <c r="K99" s="557"/>
    </row>
    <row r="100" spans="1:11" x14ac:dyDescent="0.2">
      <c r="A100" s="499"/>
      <c r="B100" s="554" t="s">
        <v>389</v>
      </c>
      <c r="C100" s="187"/>
      <c r="D100" s="187"/>
      <c r="E100" s="187"/>
      <c r="F100" s="564">
        <f t="shared" ca="1" si="6"/>
        <v>-43388</v>
      </c>
      <c r="G100" s="556"/>
      <c r="H100" s="556"/>
      <c r="I100" s="556"/>
      <c r="J100" s="38" t="str">
        <f t="shared" ca="1" si="8"/>
        <v>OVERDUE</v>
      </c>
      <c r="K100" s="557"/>
    </row>
    <row r="101" spans="1:11" x14ac:dyDescent="0.2">
      <c r="A101" s="499"/>
      <c r="B101" s="554" t="s">
        <v>390</v>
      </c>
      <c r="C101" s="187"/>
      <c r="D101" s="187"/>
      <c r="E101" s="185"/>
      <c r="F101" s="564">
        <f t="shared" ca="1" si="6"/>
        <v>-43388</v>
      </c>
      <c r="G101" s="556"/>
      <c r="H101" s="556"/>
      <c r="I101" s="556"/>
      <c r="J101" s="38" t="str">
        <f t="shared" ca="1" si="8"/>
        <v>OVERDUE</v>
      </c>
      <c r="K101" s="557"/>
    </row>
    <row r="102" spans="1:11" ht="15" x14ac:dyDescent="0.25">
      <c r="A102" s="499"/>
      <c r="B102" s="550" t="s">
        <v>391</v>
      </c>
      <c r="C102" s="187"/>
      <c r="D102" s="551"/>
      <c r="E102" s="551"/>
      <c r="F102" s="564">
        <f t="shared" ca="1" si="6"/>
        <v>-43388</v>
      </c>
      <c r="G102" s="556"/>
      <c r="H102" s="556"/>
      <c r="I102" s="556"/>
      <c r="J102" s="38" t="str">
        <f ca="1">IF(AND(J103="completed",J104="completed",J105="completed"),"Deliverable Completed","DELIVERABLE STILL IN PROGRESS")</f>
        <v>DELIVERABLE STILL IN PROGRESS</v>
      </c>
      <c r="K102" s="557"/>
    </row>
    <row r="103" spans="1:11" x14ac:dyDescent="0.2">
      <c r="A103" s="499"/>
      <c r="B103" s="554" t="s">
        <v>392</v>
      </c>
      <c r="C103" s="187"/>
      <c r="D103" s="187"/>
      <c r="E103" s="187"/>
      <c r="F103" s="564">
        <f t="shared" ca="1" si="6"/>
        <v>-43388</v>
      </c>
      <c r="G103" s="556"/>
      <c r="H103" s="556"/>
      <c r="I103" s="556"/>
      <c r="J103" s="38" t="str">
        <f ca="1">IF(G103&gt;0,"COMPLETED",(IF(I103&gt;0,"ISSUE IDENTIFIED",(IF(TODAY()&gt;E103,"OVERDUE","In Progress")))))</f>
        <v>OVERDUE</v>
      </c>
      <c r="K103" s="557"/>
    </row>
    <row r="104" spans="1:11" x14ac:dyDescent="0.2">
      <c r="A104" s="499"/>
      <c r="B104" s="554" t="s">
        <v>393</v>
      </c>
      <c r="C104" s="187"/>
      <c r="D104" s="187"/>
      <c r="E104" s="187"/>
      <c r="F104" s="564">
        <f t="shared" ca="1" si="6"/>
        <v>-43388</v>
      </c>
      <c r="G104" s="556"/>
      <c r="H104" s="556"/>
      <c r="I104" s="556"/>
      <c r="J104" s="38" t="str">
        <f ca="1">IF(G104&gt;0,"COMPLETED",(IF(I104&gt;0,"ISSUE IDENTIFIED",(IF(TODAY()&gt;E104,"OVERDUE","In Progress")))))</f>
        <v>OVERDUE</v>
      </c>
      <c r="K104" s="557"/>
    </row>
    <row r="105" spans="1:11" x14ac:dyDescent="0.2">
      <c r="A105" s="499"/>
      <c r="B105" s="554" t="s">
        <v>394</v>
      </c>
      <c r="C105" s="187"/>
      <c r="D105" s="187"/>
      <c r="E105" s="187"/>
      <c r="F105" s="564">
        <f t="shared" ca="1" si="6"/>
        <v>-43388</v>
      </c>
      <c r="G105" s="556"/>
      <c r="H105" s="556"/>
      <c r="I105" s="556"/>
      <c r="J105" s="38" t="str">
        <f ca="1">IF(G105&gt;0,"COMPLETED",(IF(I105&gt;0,"ISSUE IDENTIFIED",(IF(TODAY()&gt;E105,"OVERDUE","In Progress")))))</f>
        <v>OVERDUE</v>
      </c>
      <c r="K105" s="557"/>
    </row>
    <row r="106" spans="1:11" ht="15" x14ac:dyDescent="0.25">
      <c r="A106" s="499"/>
      <c r="B106" s="550" t="s">
        <v>395</v>
      </c>
      <c r="C106" s="187"/>
      <c r="D106" s="551"/>
      <c r="E106" s="555"/>
      <c r="F106" s="564">
        <f t="shared" ca="1" si="6"/>
        <v>-43388</v>
      </c>
      <c r="G106" s="556"/>
      <c r="H106" s="556"/>
      <c r="I106" s="556"/>
      <c r="J106" s="38" t="str">
        <f ca="1">IF(AND(J107="completed",J108="completed",J109="completed"),"Deliverable Completed","DELIVERABLE STILL IN PROGRESS")</f>
        <v>DELIVERABLE STILL IN PROGRESS</v>
      </c>
      <c r="K106" s="557"/>
    </row>
    <row r="107" spans="1:11" x14ac:dyDescent="0.2">
      <c r="A107" s="499"/>
      <c r="B107" s="548" t="s">
        <v>396</v>
      </c>
      <c r="C107" s="187"/>
      <c r="D107" s="187"/>
      <c r="E107" s="187"/>
      <c r="F107" s="564">
        <f t="shared" ca="1" si="6"/>
        <v>-43388</v>
      </c>
      <c r="G107" s="556"/>
      <c r="H107" s="556"/>
      <c r="I107" s="556"/>
      <c r="J107" s="38" t="str">
        <f ca="1">IF(G107&gt;0,"COMPLETED",(IF(I107&gt;0,"ISSUE IDENTIFIED",(IF(TODAY()&gt;E107,"OVERDUE","In Progress")))))</f>
        <v>OVERDUE</v>
      </c>
      <c r="K107" s="557"/>
    </row>
    <row r="108" spans="1:11" x14ac:dyDescent="0.2">
      <c r="A108" s="499"/>
      <c r="B108" s="548" t="s">
        <v>1016</v>
      </c>
      <c r="C108" s="187"/>
      <c r="D108" s="187"/>
      <c r="E108" s="187"/>
      <c r="F108" s="564"/>
      <c r="G108" s="556"/>
      <c r="H108" s="556"/>
      <c r="I108" s="556"/>
      <c r="J108" s="38" t="str">
        <f ca="1">IF(G108&gt;0,"COMPLETED",(IF(I108&gt;0,"ISSUE IDENTIFIED",(IF(TODAY()&gt;E108,"OVERDUE","In Progress")))))</f>
        <v>OVERDUE</v>
      </c>
      <c r="K108" s="557"/>
    </row>
    <row r="109" spans="1:11" ht="26.25" thickBot="1" x14ac:dyDescent="0.25">
      <c r="A109" s="543"/>
      <c r="B109" s="558" t="s">
        <v>397</v>
      </c>
      <c r="C109" s="210"/>
      <c r="D109" s="210"/>
      <c r="E109" s="210"/>
      <c r="F109" s="565">
        <f t="shared" ca="1" si="6"/>
        <v>-43388</v>
      </c>
      <c r="G109" s="559"/>
      <c r="H109" s="560"/>
      <c r="I109" s="561"/>
      <c r="J109" s="212" t="str">
        <f ca="1">IF(G109&gt;0,"COMPLETED",(IF(I109&gt;0,"ISSUE IDENTIFIED",(IF(TODAY()&gt;E109,"OVERDUE","In Progress")))))</f>
        <v>OVERDUE</v>
      </c>
      <c r="K109" s="562"/>
    </row>
  </sheetData>
  <sheetProtection algorithmName="SHA-512" hashValue="WfZcsYjK8Q5ysKmS7cxvSO1/gM9fgs9HAcCgf70DSLuM2RFp12mfeUpLwcQQftWvwMJsbQvu1d4jOewiy6ykSw==" saltValue="9t5y+Fpu6PPSzF3m8UJAbA==" spinCount="100000" sheet="1" insertRows="0" deleteRows="0" sort="0" autoFilter="0"/>
  <mergeCells count="1">
    <mergeCell ref="A1:K1"/>
  </mergeCells>
  <conditionalFormatting sqref="F9:F150">
    <cfRule type="cellIs" dxfId="97" priority="2" stopIfTrue="1" operator="lessThan">
      <formula>-1000</formula>
    </cfRule>
  </conditionalFormatting>
  <conditionalFormatting sqref="D9:E109">
    <cfRule type="cellIs" dxfId="96" priority="1" operator="equal">
      <formula>0</formula>
    </cfRule>
  </conditionalFormatting>
  <conditionalFormatting sqref="J9:J150">
    <cfRule type="containsText" dxfId="95" priority="7" operator="containsText" text="DELIVERABLE STILL IN PROGRESS">
      <formula>NOT(ISERROR(SEARCH("DELIVERABLE STILL IN PROGRESS",J9)))</formula>
    </cfRule>
    <cfRule type="containsText" dxfId="94" priority="8" operator="containsText" text="DELIVERABLE COMPLETED">
      <formula>NOT(ISERROR(SEARCH("DELIVERABLE COMPLETED",J9)))</formula>
    </cfRule>
    <cfRule type="cellIs" dxfId="93" priority="9" stopIfTrue="1" operator="equal">
      <formula>"OVERDUE"</formula>
    </cfRule>
    <cfRule type="cellIs" dxfId="92" priority="10" stopIfTrue="1" operator="equal">
      <formula>"COMPLETED"</formula>
    </cfRule>
    <cfRule type="cellIs" dxfId="91" priority="11" stopIfTrue="1" operator="equal">
      <formula>"ISSUE IDENTIFIED"</formula>
    </cfRule>
  </conditionalFormatting>
  <printOptions horizontalCentered="1"/>
  <pageMargins left="0.25" right="0.25" top="0.5" bottom="0.75" header="0.25" footer="0.5"/>
  <pageSetup scale="42" fitToHeight="2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0C3964"/>
    <pageSetUpPr fitToPage="1"/>
  </sheetPr>
  <dimension ref="A1:L3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12" sqref="D12"/>
    </sheetView>
  </sheetViews>
  <sheetFormatPr defaultRowHeight="12.75" x14ac:dyDescent="0.2"/>
  <cols>
    <col min="1" max="1" width="18.42578125" style="306" bestFit="1" customWidth="1"/>
    <col min="2" max="2" width="87.7109375" style="309" customWidth="1"/>
    <col min="3" max="3" width="33.5703125" style="306" bestFit="1" customWidth="1"/>
    <col min="4" max="6" width="13.7109375" style="310" customWidth="1"/>
    <col min="7" max="7" width="13.7109375" style="311" customWidth="1"/>
    <col min="8" max="8" width="14.5703125" style="306" bestFit="1" customWidth="1"/>
    <col min="9" max="9" width="12.7109375" style="309" customWidth="1"/>
    <col min="10" max="10" width="26" style="306" bestFit="1" customWidth="1"/>
    <col min="11" max="11" width="40.7109375" style="306" customWidth="1"/>
    <col min="12" max="12" width="15.5703125" style="306" customWidth="1"/>
    <col min="13" max="256" width="9.140625" style="306"/>
    <col min="257" max="257" width="10.7109375" style="306" customWidth="1"/>
    <col min="258" max="258" width="50.7109375" style="306" customWidth="1"/>
    <col min="259" max="259" width="15.5703125" style="306" customWidth="1"/>
    <col min="260" max="263" width="10.7109375" style="306" customWidth="1"/>
    <col min="264" max="265" width="12.7109375" style="306" customWidth="1"/>
    <col min="266" max="266" width="15.7109375" style="306" customWidth="1"/>
    <col min="267" max="267" width="40.7109375" style="306" customWidth="1"/>
    <col min="268" max="268" width="15.5703125" style="306" customWidth="1"/>
    <col min="269" max="512" width="9.140625" style="306"/>
    <col min="513" max="513" width="10.7109375" style="306" customWidth="1"/>
    <col min="514" max="514" width="50.7109375" style="306" customWidth="1"/>
    <col min="515" max="515" width="15.5703125" style="306" customWidth="1"/>
    <col min="516" max="519" width="10.7109375" style="306" customWidth="1"/>
    <col min="520" max="521" width="12.7109375" style="306" customWidth="1"/>
    <col min="522" max="522" width="15.7109375" style="306" customWidth="1"/>
    <col min="523" max="523" width="40.7109375" style="306" customWidth="1"/>
    <col min="524" max="524" width="15.5703125" style="306" customWidth="1"/>
    <col min="525" max="768" width="9.140625" style="306"/>
    <col min="769" max="769" width="10.7109375" style="306" customWidth="1"/>
    <col min="770" max="770" width="50.7109375" style="306" customWidth="1"/>
    <col min="771" max="771" width="15.5703125" style="306" customWidth="1"/>
    <col min="772" max="775" width="10.7109375" style="306" customWidth="1"/>
    <col min="776" max="777" width="12.7109375" style="306" customWidth="1"/>
    <col min="778" max="778" width="15.7109375" style="306" customWidth="1"/>
    <col min="779" max="779" width="40.7109375" style="306" customWidth="1"/>
    <col min="780" max="780" width="15.5703125" style="306" customWidth="1"/>
    <col min="781" max="1024" width="9.140625" style="306"/>
    <col min="1025" max="1025" width="10.7109375" style="306" customWidth="1"/>
    <col min="1026" max="1026" width="50.7109375" style="306" customWidth="1"/>
    <col min="1027" max="1027" width="15.5703125" style="306" customWidth="1"/>
    <col min="1028" max="1031" width="10.7109375" style="306" customWidth="1"/>
    <col min="1032" max="1033" width="12.7109375" style="306" customWidth="1"/>
    <col min="1034" max="1034" width="15.7109375" style="306" customWidth="1"/>
    <col min="1035" max="1035" width="40.7109375" style="306" customWidth="1"/>
    <col min="1036" max="1036" width="15.5703125" style="306" customWidth="1"/>
    <col min="1037" max="1280" width="9.140625" style="306"/>
    <col min="1281" max="1281" width="10.7109375" style="306" customWidth="1"/>
    <col min="1282" max="1282" width="50.7109375" style="306" customWidth="1"/>
    <col min="1283" max="1283" width="15.5703125" style="306" customWidth="1"/>
    <col min="1284" max="1287" width="10.7109375" style="306" customWidth="1"/>
    <col min="1288" max="1289" width="12.7109375" style="306" customWidth="1"/>
    <col min="1290" max="1290" width="15.7109375" style="306" customWidth="1"/>
    <col min="1291" max="1291" width="40.7109375" style="306" customWidth="1"/>
    <col min="1292" max="1292" width="15.5703125" style="306" customWidth="1"/>
    <col min="1293" max="1536" width="9.140625" style="306"/>
    <col min="1537" max="1537" width="10.7109375" style="306" customWidth="1"/>
    <col min="1538" max="1538" width="50.7109375" style="306" customWidth="1"/>
    <col min="1539" max="1539" width="15.5703125" style="306" customWidth="1"/>
    <col min="1540" max="1543" width="10.7109375" style="306" customWidth="1"/>
    <col min="1544" max="1545" width="12.7109375" style="306" customWidth="1"/>
    <col min="1546" max="1546" width="15.7109375" style="306" customWidth="1"/>
    <col min="1547" max="1547" width="40.7109375" style="306" customWidth="1"/>
    <col min="1548" max="1548" width="15.5703125" style="306" customWidth="1"/>
    <col min="1549" max="1792" width="9.140625" style="306"/>
    <col min="1793" max="1793" width="10.7109375" style="306" customWidth="1"/>
    <col min="1794" max="1794" width="50.7109375" style="306" customWidth="1"/>
    <col min="1795" max="1795" width="15.5703125" style="306" customWidth="1"/>
    <col min="1796" max="1799" width="10.7109375" style="306" customWidth="1"/>
    <col min="1800" max="1801" width="12.7109375" style="306" customWidth="1"/>
    <col min="1802" max="1802" width="15.7109375" style="306" customWidth="1"/>
    <col min="1803" max="1803" width="40.7109375" style="306" customWidth="1"/>
    <col min="1804" max="1804" width="15.5703125" style="306" customWidth="1"/>
    <col min="1805" max="2048" width="9.140625" style="306"/>
    <col min="2049" max="2049" width="10.7109375" style="306" customWidth="1"/>
    <col min="2050" max="2050" width="50.7109375" style="306" customWidth="1"/>
    <col min="2051" max="2051" width="15.5703125" style="306" customWidth="1"/>
    <col min="2052" max="2055" width="10.7109375" style="306" customWidth="1"/>
    <col min="2056" max="2057" width="12.7109375" style="306" customWidth="1"/>
    <col min="2058" max="2058" width="15.7109375" style="306" customWidth="1"/>
    <col min="2059" max="2059" width="40.7109375" style="306" customWidth="1"/>
    <col min="2060" max="2060" width="15.5703125" style="306" customWidth="1"/>
    <col min="2061" max="2304" width="9.140625" style="306"/>
    <col min="2305" max="2305" width="10.7109375" style="306" customWidth="1"/>
    <col min="2306" max="2306" width="50.7109375" style="306" customWidth="1"/>
    <col min="2307" max="2307" width="15.5703125" style="306" customWidth="1"/>
    <col min="2308" max="2311" width="10.7109375" style="306" customWidth="1"/>
    <col min="2312" max="2313" width="12.7109375" style="306" customWidth="1"/>
    <col min="2314" max="2314" width="15.7109375" style="306" customWidth="1"/>
    <col min="2315" max="2315" width="40.7109375" style="306" customWidth="1"/>
    <col min="2316" max="2316" width="15.5703125" style="306" customWidth="1"/>
    <col min="2317" max="2560" width="9.140625" style="306"/>
    <col min="2561" max="2561" width="10.7109375" style="306" customWidth="1"/>
    <col min="2562" max="2562" width="50.7109375" style="306" customWidth="1"/>
    <col min="2563" max="2563" width="15.5703125" style="306" customWidth="1"/>
    <col min="2564" max="2567" width="10.7109375" style="306" customWidth="1"/>
    <col min="2568" max="2569" width="12.7109375" style="306" customWidth="1"/>
    <col min="2570" max="2570" width="15.7109375" style="306" customWidth="1"/>
    <col min="2571" max="2571" width="40.7109375" style="306" customWidth="1"/>
    <col min="2572" max="2572" width="15.5703125" style="306" customWidth="1"/>
    <col min="2573" max="2816" width="9.140625" style="306"/>
    <col min="2817" max="2817" width="10.7109375" style="306" customWidth="1"/>
    <col min="2818" max="2818" width="50.7109375" style="306" customWidth="1"/>
    <col min="2819" max="2819" width="15.5703125" style="306" customWidth="1"/>
    <col min="2820" max="2823" width="10.7109375" style="306" customWidth="1"/>
    <col min="2824" max="2825" width="12.7109375" style="306" customWidth="1"/>
    <col min="2826" max="2826" width="15.7109375" style="306" customWidth="1"/>
    <col min="2827" max="2827" width="40.7109375" style="306" customWidth="1"/>
    <col min="2828" max="2828" width="15.5703125" style="306" customWidth="1"/>
    <col min="2829" max="3072" width="9.140625" style="306"/>
    <col min="3073" max="3073" width="10.7109375" style="306" customWidth="1"/>
    <col min="3074" max="3074" width="50.7109375" style="306" customWidth="1"/>
    <col min="3075" max="3075" width="15.5703125" style="306" customWidth="1"/>
    <col min="3076" max="3079" width="10.7109375" style="306" customWidth="1"/>
    <col min="3080" max="3081" width="12.7109375" style="306" customWidth="1"/>
    <col min="3082" max="3082" width="15.7109375" style="306" customWidth="1"/>
    <col min="3083" max="3083" width="40.7109375" style="306" customWidth="1"/>
    <col min="3084" max="3084" width="15.5703125" style="306" customWidth="1"/>
    <col min="3085" max="3328" width="9.140625" style="306"/>
    <col min="3329" max="3329" width="10.7109375" style="306" customWidth="1"/>
    <col min="3330" max="3330" width="50.7109375" style="306" customWidth="1"/>
    <col min="3331" max="3331" width="15.5703125" style="306" customWidth="1"/>
    <col min="3332" max="3335" width="10.7109375" style="306" customWidth="1"/>
    <col min="3336" max="3337" width="12.7109375" style="306" customWidth="1"/>
    <col min="3338" max="3338" width="15.7109375" style="306" customWidth="1"/>
    <col min="3339" max="3339" width="40.7109375" style="306" customWidth="1"/>
    <col min="3340" max="3340" width="15.5703125" style="306" customWidth="1"/>
    <col min="3341" max="3584" width="9.140625" style="306"/>
    <col min="3585" max="3585" width="10.7109375" style="306" customWidth="1"/>
    <col min="3586" max="3586" width="50.7109375" style="306" customWidth="1"/>
    <col min="3587" max="3587" width="15.5703125" style="306" customWidth="1"/>
    <col min="3588" max="3591" width="10.7109375" style="306" customWidth="1"/>
    <col min="3592" max="3593" width="12.7109375" style="306" customWidth="1"/>
    <col min="3594" max="3594" width="15.7109375" style="306" customWidth="1"/>
    <col min="3595" max="3595" width="40.7109375" style="306" customWidth="1"/>
    <col min="3596" max="3596" width="15.5703125" style="306" customWidth="1"/>
    <col min="3597" max="3840" width="9.140625" style="306"/>
    <col min="3841" max="3841" width="10.7109375" style="306" customWidth="1"/>
    <col min="3842" max="3842" width="50.7109375" style="306" customWidth="1"/>
    <col min="3843" max="3843" width="15.5703125" style="306" customWidth="1"/>
    <col min="3844" max="3847" width="10.7109375" style="306" customWidth="1"/>
    <col min="3848" max="3849" width="12.7109375" style="306" customWidth="1"/>
    <col min="3850" max="3850" width="15.7109375" style="306" customWidth="1"/>
    <col min="3851" max="3851" width="40.7109375" style="306" customWidth="1"/>
    <col min="3852" max="3852" width="15.5703125" style="306" customWidth="1"/>
    <col min="3853" max="4096" width="9.140625" style="306"/>
    <col min="4097" max="4097" width="10.7109375" style="306" customWidth="1"/>
    <col min="4098" max="4098" width="50.7109375" style="306" customWidth="1"/>
    <col min="4099" max="4099" width="15.5703125" style="306" customWidth="1"/>
    <col min="4100" max="4103" width="10.7109375" style="306" customWidth="1"/>
    <col min="4104" max="4105" width="12.7109375" style="306" customWidth="1"/>
    <col min="4106" max="4106" width="15.7109375" style="306" customWidth="1"/>
    <col min="4107" max="4107" width="40.7109375" style="306" customWidth="1"/>
    <col min="4108" max="4108" width="15.5703125" style="306" customWidth="1"/>
    <col min="4109" max="4352" width="9.140625" style="306"/>
    <col min="4353" max="4353" width="10.7109375" style="306" customWidth="1"/>
    <col min="4354" max="4354" width="50.7109375" style="306" customWidth="1"/>
    <col min="4355" max="4355" width="15.5703125" style="306" customWidth="1"/>
    <col min="4356" max="4359" width="10.7109375" style="306" customWidth="1"/>
    <col min="4360" max="4361" width="12.7109375" style="306" customWidth="1"/>
    <col min="4362" max="4362" width="15.7109375" style="306" customWidth="1"/>
    <col min="4363" max="4363" width="40.7109375" style="306" customWidth="1"/>
    <col min="4364" max="4364" width="15.5703125" style="306" customWidth="1"/>
    <col min="4365" max="4608" width="9.140625" style="306"/>
    <col min="4609" max="4609" width="10.7109375" style="306" customWidth="1"/>
    <col min="4610" max="4610" width="50.7109375" style="306" customWidth="1"/>
    <col min="4611" max="4611" width="15.5703125" style="306" customWidth="1"/>
    <col min="4612" max="4615" width="10.7109375" style="306" customWidth="1"/>
    <col min="4616" max="4617" width="12.7109375" style="306" customWidth="1"/>
    <col min="4618" max="4618" width="15.7109375" style="306" customWidth="1"/>
    <col min="4619" max="4619" width="40.7109375" style="306" customWidth="1"/>
    <col min="4620" max="4620" width="15.5703125" style="306" customWidth="1"/>
    <col min="4621" max="4864" width="9.140625" style="306"/>
    <col min="4865" max="4865" width="10.7109375" style="306" customWidth="1"/>
    <col min="4866" max="4866" width="50.7109375" style="306" customWidth="1"/>
    <col min="4867" max="4867" width="15.5703125" style="306" customWidth="1"/>
    <col min="4868" max="4871" width="10.7109375" style="306" customWidth="1"/>
    <col min="4872" max="4873" width="12.7109375" style="306" customWidth="1"/>
    <col min="4874" max="4874" width="15.7109375" style="306" customWidth="1"/>
    <col min="4875" max="4875" width="40.7109375" style="306" customWidth="1"/>
    <col min="4876" max="4876" width="15.5703125" style="306" customWidth="1"/>
    <col min="4877" max="5120" width="9.140625" style="306"/>
    <col min="5121" max="5121" width="10.7109375" style="306" customWidth="1"/>
    <col min="5122" max="5122" width="50.7109375" style="306" customWidth="1"/>
    <col min="5123" max="5123" width="15.5703125" style="306" customWidth="1"/>
    <col min="5124" max="5127" width="10.7109375" style="306" customWidth="1"/>
    <col min="5128" max="5129" width="12.7109375" style="306" customWidth="1"/>
    <col min="5130" max="5130" width="15.7109375" style="306" customWidth="1"/>
    <col min="5131" max="5131" width="40.7109375" style="306" customWidth="1"/>
    <col min="5132" max="5132" width="15.5703125" style="306" customWidth="1"/>
    <col min="5133" max="5376" width="9.140625" style="306"/>
    <col min="5377" max="5377" width="10.7109375" style="306" customWidth="1"/>
    <col min="5378" max="5378" width="50.7109375" style="306" customWidth="1"/>
    <col min="5379" max="5379" width="15.5703125" style="306" customWidth="1"/>
    <col min="5380" max="5383" width="10.7109375" style="306" customWidth="1"/>
    <col min="5384" max="5385" width="12.7109375" style="306" customWidth="1"/>
    <col min="5386" max="5386" width="15.7109375" style="306" customWidth="1"/>
    <col min="5387" max="5387" width="40.7109375" style="306" customWidth="1"/>
    <col min="5388" max="5388" width="15.5703125" style="306" customWidth="1"/>
    <col min="5389" max="5632" width="9.140625" style="306"/>
    <col min="5633" max="5633" width="10.7109375" style="306" customWidth="1"/>
    <col min="5634" max="5634" width="50.7109375" style="306" customWidth="1"/>
    <col min="5635" max="5635" width="15.5703125" style="306" customWidth="1"/>
    <col min="5636" max="5639" width="10.7109375" style="306" customWidth="1"/>
    <col min="5640" max="5641" width="12.7109375" style="306" customWidth="1"/>
    <col min="5642" max="5642" width="15.7109375" style="306" customWidth="1"/>
    <col min="5643" max="5643" width="40.7109375" style="306" customWidth="1"/>
    <col min="5644" max="5644" width="15.5703125" style="306" customWidth="1"/>
    <col min="5645" max="5888" width="9.140625" style="306"/>
    <col min="5889" max="5889" width="10.7109375" style="306" customWidth="1"/>
    <col min="5890" max="5890" width="50.7109375" style="306" customWidth="1"/>
    <col min="5891" max="5891" width="15.5703125" style="306" customWidth="1"/>
    <col min="5892" max="5895" width="10.7109375" style="306" customWidth="1"/>
    <col min="5896" max="5897" width="12.7109375" style="306" customWidth="1"/>
    <col min="5898" max="5898" width="15.7109375" style="306" customWidth="1"/>
    <col min="5899" max="5899" width="40.7109375" style="306" customWidth="1"/>
    <col min="5900" max="5900" width="15.5703125" style="306" customWidth="1"/>
    <col min="5901" max="6144" width="9.140625" style="306"/>
    <col min="6145" max="6145" width="10.7109375" style="306" customWidth="1"/>
    <col min="6146" max="6146" width="50.7109375" style="306" customWidth="1"/>
    <col min="6147" max="6147" width="15.5703125" style="306" customWidth="1"/>
    <col min="6148" max="6151" width="10.7109375" style="306" customWidth="1"/>
    <col min="6152" max="6153" width="12.7109375" style="306" customWidth="1"/>
    <col min="6154" max="6154" width="15.7109375" style="306" customWidth="1"/>
    <col min="6155" max="6155" width="40.7109375" style="306" customWidth="1"/>
    <col min="6156" max="6156" width="15.5703125" style="306" customWidth="1"/>
    <col min="6157" max="6400" width="9.140625" style="306"/>
    <col min="6401" max="6401" width="10.7109375" style="306" customWidth="1"/>
    <col min="6402" max="6402" width="50.7109375" style="306" customWidth="1"/>
    <col min="6403" max="6403" width="15.5703125" style="306" customWidth="1"/>
    <col min="6404" max="6407" width="10.7109375" style="306" customWidth="1"/>
    <col min="6408" max="6409" width="12.7109375" style="306" customWidth="1"/>
    <col min="6410" max="6410" width="15.7109375" style="306" customWidth="1"/>
    <col min="6411" max="6411" width="40.7109375" style="306" customWidth="1"/>
    <col min="6412" max="6412" width="15.5703125" style="306" customWidth="1"/>
    <col min="6413" max="6656" width="9.140625" style="306"/>
    <col min="6657" max="6657" width="10.7109375" style="306" customWidth="1"/>
    <col min="6658" max="6658" width="50.7109375" style="306" customWidth="1"/>
    <col min="6659" max="6659" width="15.5703125" style="306" customWidth="1"/>
    <col min="6660" max="6663" width="10.7109375" style="306" customWidth="1"/>
    <col min="6664" max="6665" width="12.7109375" style="306" customWidth="1"/>
    <col min="6666" max="6666" width="15.7109375" style="306" customWidth="1"/>
    <col min="6667" max="6667" width="40.7109375" style="306" customWidth="1"/>
    <col min="6668" max="6668" width="15.5703125" style="306" customWidth="1"/>
    <col min="6669" max="6912" width="9.140625" style="306"/>
    <col min="6913" max="6913" width="10.7109375" style="306" customWidth="1"/>
    <col min="6914" max="6914" width="50.7109375" style="306" customWidth="1"/>
    <col min="6915" max="6915" width="15.5703125" style="306" customWidth="1"/>
    <col min="6916" max="6919" width="10.7109375" style="306" customWidth="1"/>
    <col min="6920" max="6921" width="12.7109375" style="306" customWidth="1"/>
    <col min="6922" max="6922" width="15.7109375" style="306" customWidth="1"/>
    <col min="6923" max="6923" width="40.7109375" style="306" customWidth="1"/>
    <col min="6924" max="6924" width="15.5703125" style="306" customWidth="1"/>
    <col min="6925" max="7168" width="9.140625" style="306"/>
    <col min="7169" max="7169" width="10.7109375" style="306" customWidth="1"/>
    <col min="7170" max="7170" width="50.7109375" style="306" customWidth="1"/>
    <col min="7171" max="7171" width="15.5703125" style="306" customWidth="1"/>
    <col min="7172" max="7175" width="10.7109375" style="306" customWidth="1"/>
    <col min="7176" max="7177" width="12.7109375" style="306" customWidth="1"/>
    <col min="7178" max="7178" width="15.7109375" style="306" customWidth="1"/>
    <col min="7179" max="7179" width="40.7109375" style="306" customWidth="1"/>
    <col min="7180" max="7180" width="15.5703125" style="306" customWidth="1"/>
    <col min="7181" max="7424" width="9.140625" style="306"/>
    <col min="7425" max="7425" width="10.7109375" style="306" customWidth="1"/>
    <col min="7426" max="7426" width="50.7109375" style="306" customWidth="1"/>
    <col min="7427" max="7427" width="15.5703125" style="306" customWidth="1"/>
    <col min="7428" max="7431" width="10.7109375" style="306" customWidth="1"/>
    <col min="7432" max="7433" width="12.7109375" style="306" customWidth="1"/>
    <col min="7434" max="7434" width="15.7109375" style="306" customWidth="1"/>
    <col min="7435" max="7435" width="40.7109375" style="306" customWidth="1"/>
    <col min="7436" max="7436" width="15.5703125" style="306" customWidth="1"/>
    <col min="7437" max="7680" width="9.140625" style="306"/>
    <col min="7681" max="7681" width="10.7109375" style="306" customWidth="1"/>
    <col min="7682" max="7682" width="50.7109375" style="306" customWidth="1"/>
    <col min="7683" max="7683" width="15.5703125" style="306" customWidth="1"/>
    <col min="7684" max="7687" width="10.7109375" style="306" customWidth="1"/>
    <col min="7688" max="7689" width="12.7109375" style="306" customWidth="1"/>
    <col min="7690" max="7690" width="15.7109375" style="306" customWidth="1"/>
    <col min="7691" max="7691" width="40.7109375" style="306" customWidth="1"/>
    <col min="7692" max="7692" width="15.5703125" style="306" customWidth="1"/>
    <col min="7693" max="7936" width="9.140625" style="306"/>
    <col min="7937" max="7937" width="10.7109375" style="306" customWidth="1"/>
    <col min="7938" max="7938" width="50.7109375" style="306" customWidth="1"/>
    <col min="7939" max="7939" width="15.5703125" style="306" customWidth="1"/>
    <col min="7940" max="7943" width="10.7109375" style="306" customWidth="1"/>
    <col min="7944" max="7945" width="12.7109375" style="306" customWidth="1"/>
    <col min="7946" max="7946" width="15.7109375" style="306" customWidth="1"/>
    <col min="7947" max="7947" width="40.7109375" style="306" customWidth="1"/>
    <col min="7948" max="7948" width="15.5703125" style="306" customWidth="1"/>
    <col min="7949" max="8192" width="9.140625" style="306"/>
    <col min="8193" max="8193" width="10.7109375" style="306" customWidth="1"/>
    <col min="8194" max="8194" width="50.7109375" style="306" customWidth="1"/>
    <col min="8195" max="8195" width="15.5703125" style="306" customWidth="1"/>
    <col min="8196" max="8199" width="10.7109375" style="306" customWidth="1"/>
    <col min="8200" max="8201" width="12.7109375" style="306" customWidth="1"/>
    <col min="8202" max="8202" width="15.7109375" style="306" customWidth="1"/>
    <col min="8203" max="8203" width="40.7109375" style="306" customWidth="1"/>
    <col min="8204" max="8204" width="15.5703125" style="306" customWidth="1"/>
    <col min="8205" max="8448" width="9.140625" style="306"/>
    <col min="8449" max="8449" width="10.7109375" style="306" customWidth="1"/>
    <col min="8450" max="8450" width="50.7109375" style="306" customWidth="1"/>
    <col min="8451" max="8451" width="15.5703125" style="306" customWidth="1"/>
    <col min="8452" max="8455" width="10.7109375" style="306" customWidth="1"/>
    <col min="8456" max="8457" width="12.7109375" style="306" customWidth="1"/>
    <col min="8458" max="8458" width="15.7109375" style="306" customWidth="1"/>
    <col min="8459" max="8459" width="40.7109375" style="306" customWidth="1"/>
    <col min="8460" max="8460" width="15.5703125" style="306" customWidth="1"/>
    <col min="8461" max="8704" width="9.140625" style="306"/>
    <col min="8705" max="8705" width="10.7109375" style="306" customWidth="1"/>
    <col min="8706" max="8706" width="50.7109375" style="306" customWidth="1"/>
    <col min="8707" max="8707" width="15.5703125" style="306" customWidth="1"/>
    <col min="8708" max="8711" width="10.7109375" style="306" customWidth="1"/>
    <col min="8712" max="8713" width="12.7109375" style="306" customWidth="1"/>
    <col min="8714" max="8714" width="15.7109375" style="306" customWidth="1"/>
    <col min="8715" max="8715" width="40.7109375" style="306" customWidth="1"/>
    <col min="8716" max="8716" width="15.5703125" style="306" customWidth="1"/>
    <col min="8717" max="8960" width="9.140625" style="306"/>
    <col min="8961" max="8961" width="10.7109375" style="306" customWidth="1"/>
    <col min="8962" max="8962" width="50.7109375" style="306" customWidth="1"/>
    <col min="8963" max="8963" width="15.5703125" style="306" customWidth="1"/>
    <col min="8964" max="8967" width="10.7109375" style="306" customWidth="1"/>
    <col min="8968" max="8969" width="12.7109375" style="306" customWidth="1"/>
    <col min="8970" max="8970" width="15.7109375" style="306" customWidth="1"/>
    <col min="8971" max="8971" width="40.7109375" style="306" customWidth="1"/>
    <col min="8972" max="8972" width="15.5703125" style="306" customWidth="1"/>
    <col min="8973" max="9216" width="9.140625" style="306"/>
    <col min="9217" max="9217" width="10.7109375" style="306" customWidth="1"/>
    <col min="9218" max="9218" width="50.7109375" style="306" customWidth="1"/>
    <col min="9219" max="9219" width="15.5703125" style="306" customWidth="1"/>
    <col min="9220" max="9223" width="10.7109375" style="306" customWidth="1"/>
    <col min="9224" max="9225" width="12.7109375" style="306" customWidth="1"/>
    <col min="9226" max="9226" width="15.7109375" style="306" customWidth="1"/>
    <col min="9227" max="9227" width="40.7109375" style="306" customWidth="1"/>
    <col min="9228" max="9228" width="15.5703125" style="306" customWidth="1"/>
    <col min="9229" max="9472" width="9.140625" style="306"/>
    <col min="9473" max="9473" width="10.7109375" style="306" customWidth="1"/>
    <col min="9474" max="9474" width="50.7109375" style="306" customWidth="1"/>
    <col min="9475" max="9475" width="15.5703125" style="306" customWidth="1"/>
    <col min="9476" max="9479" width="10.7109375" style="306" customWidth="1"/>
    <col min="9480" max="9481" width="12.7109375" style="306" customWidth="1"/>
    <col min="9482" max="9482" width="15.7109375" style="306" customWidth="1"/>
    <col min="9483" max="9483" width="40.7109375" style="306" customWidth="1"/>
    <col min="9484" max="9484" width="15.5703125" style="306" customWidth="1"/>
    <col min="9485" max="9728" width="9.140625" style="306"/>
    <col min="9729" max="9729" width="10.7109375" style="306" customWidth="1"/>
    <col min="9730" max="9730" width="50.7109375" style="306" customWidth="1"/>
    <col min="9731" max="9731" width="15.5703125" style="306" customWidth="1"/>
    <col min="9732" max="9735" width="10.7109375" style="306" customWidth="1"/>
    <col min="9736" max="9737" width="12.7109375" style="306" customWidth="1"/>
    <col min="9738" max="9738" width="15.7109375" style="306" customWidth="1"/>
    <col min="9739" max="9739" width="40.7109375" style="306" customWidth="1"/>
    <col min="9740" max="9740" width="15.5703125" style="306" customWidth="1"/>
    <col min="9741" max="9984" width="9.140625" style="306"/>
    <col min="9985" max="9985" width="10.7109375" style="306" customWidth="1"/>
    <col min="9986" max="9986" width="50.7109375" style="306" customWidth="1"/>
    <col min="9987" max="9987" width="15.5703125" style="306" customWidth="1"/>
    <col min="9988" max="9991" width="10.7109375" style="306" customWidth="1"/>
    <col min="9992" max="9993" width="12.7109375" style="306" customWidth="1"/>
    <col min="9994" max="9994" width="15.7109375" style="306" customWidth="1"/>
    <col min="9995" max="9995" width="40.7109375" style="306" customWidth="1"/>
    <col min="9996" max="9996" width="15.5703125" style="306" customWidth="1"/>
    <col min="9997" max="10240" width="9.140625" style="306"/>
    <col min="10241" max="10241" width="10.7109375" style="306" customWidth="1"/>
    <col min="10242" max="10242" width="50.7109375" style="306" customWidth="1"/>
    <col min="10243" max="10243" width="15.5703125" style="306" customWidth="1"/>
    <col min="10244" max="10247" width="10.7109375" style="306" customWidth="1"/>
    <col min="10248" max="10249" width="12.7109375" style="306" customWidth="1"/>
    <col min="10250" max="10250" width="15.7109375" style="306" customWidth="1"/>
    <col min="10251" max="10251" width="40.7109375" style="306" customWidth="1"/>
    <col min="10252" max="10252" width="15.5703125" style="306" customWidth="1"/>
    <col min="10253" max="10496" width="9.140625" style="306"/>
    <col min="10497" max="10497" width="10.7109375" style="306" customWidth="1"/>
    <col min="10498" max="10498" width="50.7109375" style="306" customWidth="1"/>
    <col min="10499" max="10499" width="15.5703125" style="306" customWidth="1"/>
    <col min="10500" max="10503" width="10.7109375" style="306" customWidth="1"/>
    <col min="10504" max="10505" width="12.7109375" style="306" customWidth="1"/>
    <col min="10506" max="10506" width="15.7109375" style="306" customWidth="1"/>
    <col min="10507" max="10507" width="40.7109375" style="306" customWidth="1"/>
    <col min="10508" max="10508" width="15.5703125" style="306" customWidth="1"/>
    <col min="10509" max="10752" width="9.140625" style="306"/>
    <col min="10753" max="10753" width="10.7109375" style="306" customWidth="1"/>
    <col min="10754" max="10754" width="50.7109375" style="306" customWidth="1"/>
    <col min="10755" max="10755" width="15.5703125" style="306" customWidth="1"/>
    <col min="10756" max="10759" width="10.7109375" style="306" customWidth="1"/>
    <col min="10760" max="10761" width="12.7109375" style="306" customWidth="1"/>
    <col min="10762" max="10762" width="15.7109375" style="306" customWidth="1"/>
    <col min="10763" max="10763" width="40.7109375" style="306" customWidth="1"/>
    <col min="10764" max="10764" width="15.5703125" style="306" customWidth="1"/>
    <col min="10765" max="11008" width="9.140625" style="306"/>
    <col min="11009" max="11009" width="10.7109375" style="306" customWidth="1"/>
    <col min="11010" max="11010" width="50.7109375" style="306" customWidth="1"/>
    <col min="11011" max="11011" width="15.5703125" style="306" customWidth="1"/>
    <col min="11012" max="11015" width="10.7109375" style="306" customWidth="1"/>
    <col min="11016" max="11017" width="12.7109375" style="306" customWidth="1"/>
    <col min="11018" max="11018" width="15.7109375" style="306" customWidth="1"/>
    <col min="11019" max="11019" width="40.7109375" style="306" customWidth="1"/>
    <col min="11020" max="11020" width="15.5703125" style="306" customWidth="1"/>
    <col min="11021" max="11264" width="9.140625" style="306"/>
    <col min="11265" max="11265" width="10.7109375" style="306" customWidth="1"/>
    <col min="11266" max="11266" width="50.7109375" style="306" customWidth="1"/>
    <col min="11267" max="11267" width="15.5703125" style="306" customWidth="1"/>
    <col min="11268" max="11271" width="10.7109375" style="306" customWidth="1"/>
    <col min="11272" max="11273" width="12.7109375" style="306" customWidth="1"/>
    <col min="11274" max="11274" width="15.7109375" style="306" customWidth="1"/>
    <col min="11275" max="11275" width="40.7109375" style="306" customWidth="1"/>
    <col min="11276" max="11276" width="15.5703125" style="306" customWidth="1"/>
    <col min="11277" max="11520" width="9.140625" style="306"/>
    <col min="11521" max="11521" width="10.7109375" style="306" customWidth="1"/>
    <col min="11522" max="11522" width="50.7109375" style="306" customWidth="1"/>
    <col min="11523" max="11523" width="15.5703125" style="306" customWidth="1"/>
    <col min="11524" max="11527" width="10.7109375" style="306" customWidth="1"/>
    <col min="11528" max="11529" width="12.7109375" style="306" customWidth="1"/>
    <col min="11530" max="11530" width="15.7109375" style="306" customWidth="1"/>
    <col min="11531" max="11531" width="40.7109375" style="306" customWidth="1"/>
    <col min="11532" max="11532" width="15.5703125" style="306" customWidth="1"/>
    <col min="11533" max="11776" width="9.140625" style="306"/>
    <col min="11777" max="11777" width="10.7109375" style="306" customWidth="1"/>
    <col min="11778" max="11778" width="50.7109375" style="306" customWidth="1"/>
    <col min="11779" max="11779" width="15.5703125" style="306" customWidth="1"/>
    <col min="11780" max="11783" width="10.7109375" style="306" customWidth="1"/>
    <col min="11784" max="11785" width="12.7109375" style="306" customWidth="1"/>
    <col min="11786" max="11786" width="15.7109375" style="306" customWidth="1"/>
    <col min="11787" max="11787" width="40.7109375" style="306" customWidth="1"/>
    <col min="11788" max="11788" width="15.5703125" style="306" customWidth="1"/>
    <col min="11789" max="12032" width="9.140625" style="306"/>
    <col min="12033" max="12033" width="10.7109375" style="306" customWidth="1"/>
    <col min="12034" max="12034" width="50.7109375" style="306" customWidth="1"/>
    <col min="12035" max="12035" width="15.5703125" style="306" customWidth="1"/>
    <col min="12036" max="12039" width="10.7109375" style="306" customWidth="1"/>
    <col min="12040" max="12041" width="12.7109375" style="306" customWidth="1"/>
    <col min="12042" max="12042" width="15.7109375" style="306" customWidth="1"/>
    <col min="12043" max="12043" width="40.7109375" style="306" customWidth="1"/>
    <col min="12044" max="12044" width="15.5703125" style="306" customWidth="1"/>
    <col min="12045" max="12288" width="9.140625" style="306"/>
    <col min="12289" max="12289" width="10.7109375" style="306" customWidth="1"/>
    <col min="12290" max="12290" width="50.7109375" style="306" customWidth="1"/>
    <col min="12291" max="12291" width="15.5703125" style="306" customWidth="1"/>
    <col min="12292" max="12295" width="10.7109375" style="306" customWidth="1"/>
    <col min="12296" max="12297" width="12.7109375" style="306" customWidth="1"/>
    <col min="12298" max="12298" width="15.7109375" style="306" customWidth="1"/>
    <col min="12299" max="12299" width="40.7109375" style="306" customWidth="1"/>
    <col min="12300" max="12300" width="15.5703125" style="306" customWidth="1"/>
    <col min="12301" max="12544" width="9.140625" style="306"/>
    <col min="12545" max="12545" width="10.7109375" style="306" customWidth="1"/>
    <col min="12546" max="12546" width="50.7109375" style="306" customWidth="1"/>
    <col min="12547" max="12547" width="15.5703125" style="306" customWidth="1"/>
    <col min="12548" max="12551" width="10.7109375" style="306" customWidth="1"/>
    <col min="12552" max="12553" width="12.7109375" style="306" customWidth="1"/>
    <col min="12554" max="12554" width="15.7109375" style="306" customWidth="1"/>
    <col min="12555" max="12555" width="40.7109375" style="306" customWidth="1"/>
    <col min="12556" max="12556" width="15.5703125" style="306" customWidth="1"/>
    <col min="12557" max="12800" width="9.140625" style="306"/>
    <col min="12801" max="12801" width="10.7109375" style="306" customWidth="1"/>
    <col min="12802" max="12802" width="50.7109375" style="306" customWidth="1"/>
    <col min="12803" max="12803" width="15.5703125" style="306" customWidth="1"/>
    <col min="12804" max="12807" width="10.7109375" style="306" customWidth="1"/>
    <col min="12808" max="12809" width="12.7109375" style="306" customWidth="1"/>
    <col min="12810" max="12810" width="15.7109375" style="306" customWidth="1"/>
    <col min="12811" max="12811" width="40.7109375" style="306" customWidth="1"/>
    <col min="12812" max="12812" width="15.5703125" style="306" customWidth="1"/>
    <col min="12813" max="13056" width="9.140625" style="306"/>
    <col min="13057" max="13057" width="10.7109375" style="306" customWidth="1"/>
    <col min="13058" max="13058" width="50.7109375" style="306" customWidth="1"/>
    <col min="13059" max="13059" width="15.5703125" style="306" customWidth="1"/>
    <col min="13060" max="13063" width="10.7109375" style="306" customWidth="1"/>
    <col min="13064" max="13065" width="12.7109375" style="306" customWidth="1"/>
    <col min="13066" max="13066" width="15.7109375" style="306" customWidth="1"/>
    <col min="13067" max="13067" width="40.7109375" style="306" customWidth="1"/>
    <col min="13068" max="13068" width="15.5703125" style="306" customWidth="1"/>
    <col min="13069" max="13312" width="9.140625" style="306"/>
    <col min="13313" max="13313" width="10.7109375" style="306" customWidth="1"/>
    <col min="13314" max="13314" width="50.7109375" style="306" customWidth="1"/>
    <col min="13315" max="13315" width="15.5703125" style="306" customWidth="1"/>
    <col min="13316" max="13319" width="10.7109375" style="306" customWidth="1"/>
    <col min="13320" max="13321" width="12.7109375" style="306" customWidth="1"/>
    <col min="13322" max="13322" width="15.7109375" style="306" customWidth="1"/>
    <col min="13323" max="13323" width="40.7109375" style="306" customWidth="1"/>
    <col min="13324" max="13324" width="15.5703125" style="306" customWidth="1"/>
    <col min="13325" max="13568" width="9.140625" style="306"/>
    <col min="13569" max="13569" width="10.7109375" style="306" customWidth="1"/>
    <col min="13570" max="13570" width="50.7109375" style="306" customWidth="1"/>
    <col min="13571" max="13571" width="15.5703125" style="306" customWidth="1"/>
    <col min="13572" max="13575" width="10.7109375" style="306" customWidth="1"/>
    <col min="13576" max="13577" width="12.7109375" style="306" customWidth="1"/>
    <col min="13578" max="13578" width="15.7109375" style="306" customWidth="1"/>
    <col min="13579" max="13579" width="40.7109375" style="306" customWidth="1"/>
    <col min="13580" max="13580" width="15.5703125" style="306" customWidth="1"/>
    <col min="13581" max="13824" width="9.140625" style="306"/>
    <col min="13825" max="13825" width="10.7109375" style="306" customWidth="1"/>
    <col min="13826" max="13826" width="50.7109375" style="306" customWidth="1"/>
    <col min="13827" max="13827" width="15.5703125" style="306" customWidth="1"/>
    <col min="13828" max="13831" width="10.7109375" style="306" customWidth="1"/>
    <col min="13832" max="13833" width="12.7109375" style="306" customWidth="1"/>
    <col min="13834" max="13834" width="15.7109375" style="306" customWidth="1"/>
    <col min="13835" max="13835" width="40.7109375" style="306" customWidth="1"/>
    <col min="13836" max="13836" width="15.5703125" style="306" customWidth="1"/>
    <col min="13837" max="14080" width="9.140625" style="306"/>
    <col min="14081" max="14081" width="10.7109375" style="306" customWidth="1"/>
    <col min="14082" max="14082" width="50.7109375" style="306" customWidth="1"/>
    <col min="14083" max="14083" width="15.5703125" style="306" customWidth="1"/>
    <col min="14084" max="14087" width="10.7109375" style="306" customWidth="1"/>
    <col min="14088" max="14089" width="12.7109375" style="306" customWidth="1"/>
    <col min="14090" max="14090" width="15.7109375" style="306" customWidth="1"/>
    <col min="14091" max="14091" width="40.7109375" style="306" customWidth="1"/>
    <col min="14092" max="14092" width="15.5703125" style="306" customWidth="1"/>
    <col min="14093" max="14336" width="9.140625" style="306"/>
    <col min="14337" max="14337" width="10.7109375" style="306" customWidth="1"/>
    <col min="14338" max="14338" width="50.7109375" style="306" customWidth="1"/>
    <col min="14339" max="14339" width="15.5703125" style="306" customWidth="1"/>
    <col min="14340" max="14343" width="10.7109375" style="306" customWidth="1"/>
    <col min="14344" max="14345" width="12.7109375" style="306" customWidth="1"/>
    <col min="14346" max="14346" width="15.7109375" style="306" customWidth="1"/>
    <col min="14347" max="14347" width="40.7109375" style="306" customWidth="1"/>
    <col min="14348" max="14348" width="15.5703125" style="306" customWidth="1"/>
    <col min="14349" max="14592" width="9.140625" style="306"/>
    <col min="14593" max="14593" width="10.7109375" style="306" customWidth="1"/>
    <col min="14594" max="14594" width="50.7109375" style="306" customWidth="1"/>
    <col min="14595" max="14595" width="15.5703125" style="306" customWidth="1"/>
    <col min="14596" max="14599" width="10.7109375" style="306" customWidth="1"/>
    <col min="14600" max="14601" width="12.7109375" style="306" customWidth="1"/>
    <col min="14602" max="14602" width="15.7109375" style="306" customWidth="1"/>
    <col min="14603" max="14603" width="40.7109375" style="306" customWidth="1"/>
    <col min="14604" max="14604" width="15.5703125" style="306" customWidth="1"/>
    <col min="14605" max="14848" width="9.140625" style="306"/>
    <col min="14849" max="14849" width="10.7109375" style="306" customWidth="1"/>
    <col min="14850" max="14850" width="50.7109375" style="306" customWidth="1"/>
    <col min="14851" max="14851" width="15.5703125" style="306" customWidth="1"/>
    <col min="14852" max="14855" width="10.7109375" style="306" customWidth="1"/>
    <col min="14856" max="14857" width="12.7109375" style="306" customWidth="1"/>
    <col min="14858" max="14858" width="15.7109375" style="306" customWidth="1"/>
    <col min="14859" max="14859" width="40.7109375" style="306" customWidth="1"/>
    <col min="14860" max="14860" width="15.5703125" style="306" customWidth="1"/>
    <col min="14861" max="15104" width="9.140625" style="306"/>
    <col min="15105" max="15105" width="10.7109375" style="306" customWidth="1"/>
    <col min="15106" max="15106" width="50.7109375" style="306" customWidth="1"/>
    <col min="15107" max="15107" width="15.5703125" style="306" customWidth="1"/>
    <col min="15108" max="15111" width="10.7109375" style="306" customWidth="1"/>
    <col min="15112" max="15113" width="12.7109375" style="306" customWidth="1"/>
    <col min="15114" max="15114" width="15.7109375" style="306" customWidth="1"/>
    <col min="15115" max="15115" width="40.7109375" style="306" customWidth="1"/>
    <col min="15116" max="15116" width="15.5703125" style="306" customWidth="1"/>
    <col min="15117" max="15360" width="9.140625" style="306"/>
    <col min="15361" max="15361" width="10.7109375" style="306" customWidth="1"/>
    <col min="15362" max="15362" width="50.7109375" style="306" customWidth="1"/>
    <col min="15363" max="15363" width="15.5703125" style="306" customWidth="1"/>
    <col min="15364" max="15367" width="10.7109375" style="306" customWidth="1"/>
    <col min="15368" max="15369" width="12.7109375" style="306" customWidth="1"/>
    <col min="15370" max="15370" width="15.7109375" style="306" customWidth="1"/>
    <col min="15371" max="15371" width="40.7109375" style="306" customWidth="1"/>
    <col min="15372" max="15372" width="15.5703125" style="306" customWidth="1"/>
    <col min="15373" max="15616" width="9.140625" style="306"/>
    <col min="15617" max="15617" width="10.7109375" style="306" customWidth="1"/>
    <col min="15618" max="15618" width="50.7109375" style="306" customWidth="1"/>
    <col min="15619" max="15619" width="15.5703125" style="306" customWidth="1"/>
    <col min="15620" max="15623" width="10.7109375" style="306" customWidth="1"/>
    <col min="15624" max="15625" width="12.7109375" style="306" customWidth="1"/>
    <col min="15626" max="15626" width="15.7109375" style="306" customWidth="1"/>
    <col min="15627" max="15627" width="40.7109375" style="306" customWidth="1"/>
    <col min="15628" max="15628" width="15.5703125" style="306" customWidth="1"/>
    <col min="15629" max="15872" width="9.140625" style="306"/>
    <col min="15873" max="15873" width="10.7109375" style="306" customWidth="1"/>
    <col min="15874" max="15874" width="50.7109375" style="306" customWidth="1"/>
    <col min="15875" max="15875" width="15.5703125" style="306" customWidth="1"/>
    <col min="15876" max="15879" width="10.7109375" style="306" customWidth="1"/>
    <col min="15880" max="15881" width="12.7109375" style="306" customWidth="1"/>
    <col min="15882" max="15882" width="15.7109375" style="306" customWidth="1"/>
    <col min="15883" max="15883" width="40.7109375" style="306" customWidth="1"/>
    <col min="15884" max="15884" width="15.5703125" style="306" customWidth="1"/>
    <col min="15885" max="16128" width="9.140625" style="306"/>
    <col min="16129" max="16129" width="10.7109375" style="306" customWidth="1"/>
    <col min="16130" max="16130" width="50.7109375" style="306" customWidth="1"/>
    <col min="16131" max="16131" width="15.5703125" style="306" customWidth="1"/>
    <col min="16132" max="16135" width="10.7109375" style="306" customWidth="1"/>
    <col min="16136" max="16137" width="12.7109375" style="306" customWidth="1"/>
    <col min="16138" max="16138" width="15.7109375" style="306" customWidth="1"/>
    <col min="16139" max="16139" width="40.7109375" style="306" customWidth="1"/>
    <col min="16140" max="16140" width="15.5703125" style="306" customWidth="1"/>
    <col min="16141" max="16384" width="9.140625" style="306"/>
  </cols>
  <sheetData>
    <row r="1" spans="1:12" ht="69.95" customHeight="1" thickBot="1" x14ac:dyDescent="0.25">
      <c r="A1" s="966" t="s">
        <v>67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312"/>
    </row>
    <row r="2" spans="1:12" s="493" customFormat="1" ht="15.95" customHeight="1" thickTop="1" x14ac:dyDescent="0.25">
      <c r="A2" s="436" t="s">
        <v>1019</v>
      </c>
      <c r="B2" s="437">
        <f>Resources!C18</f>
        <v>0</v>
      </c>
      <c r="C2" s="438" t="s">
        <v>776</v>
      </c>
      <c r="D2" s="439">
        <f ca="1">COUNTIF($J$9:$J$71,"Deliverable Still In Progress")</f>
        <v>4</v>
      </c>
      <c r="E2" s="440"/>
      <c r="F2" s="441"/>
      <c r="G2" s="504"/>
      <c r="H2" s="454"/>
      <c r="I2" s="490"/>
      <c r="J2" s="454"/>
      <c r="K2" s="505"/>
      <c r="L2" s="492"/>
    </row>
    <row r="3" spans="1:12" s="493" customFormat="1" ht="15.95" customHeight="1" x14ac:dyDescent="0.25">
      <c r="A3" s="436" t="s">
        <v>1020</v>
      </c>
      <c r="B3" s="437">
        <f>Resources!E18</f>
        <v>0</v>
      </c>
      <c r="C3" s="438" t="s">
        <v>777</v>
      </c>
      <c r="D3" s="439">
        <f ca="1">COUNTIF($J$9:$J$71,"Deliverable Completed")</f>
        <v>0</v>
      </c>
      <c r="E3" s="449">
        <f ca="1">D3/D6</f>
        <v>0</v>
      </c>
      <c r="F3" s="441"/>
      <c r="G3" s="504"/>
      <c r="H3" s="454"/>
      <c r="I3" s="490"/>
      <c r="J3" s="454"/>
      <c r="K3" s="505"/>
      <c r="L3" s="492"/>
    </row>
    <row r="4" spans="1:12" s="493" customFormat="1" ht="15.95" customHeight="1" x14ac:dyDescent="0.25">
      <c r="A4" s="436" t="s">
        <v>1021</v>
      </c>
      <c r="B4" s="450"/>
      <c r="C4" s="438" t="s">
        <v>778</v>
      </c>
      <c r="D4" s="439">
        <f ca="1">D7-COUNTIF($J$9:$J$71,"completed")</f>
        <v>11</v>
      </c>
      <c r="E4" s="440"/>
      <c r="F4" s="441"/>
      <c r="G4" s="504"/>
      <c r="H4" s="454"/>
      <c r="I4" s="490"/>
      <c r="J4" s="454"/>
      <c r="K4" s="505"/>
      <c r="L4" s="492"/>
    </row>
    <row r="5" spans="1:12" s="493" customFormat="1" ht="15.95" customHeight="1" x14ac:dyDescent="0.25">
      <c r="A5" s="451"/>
      <c r="B5" s="450"/>
      <c r="C5" s="452" t="s">
        <v>779</v>
      </c>
      <c r="D5" s="439">
        <f ca="1">D7-D4</f>
        <v>0</v>
      </c>
      <c r="E5" s="449">
        <f ca="1">D5/D7</f>
        <v>0</v>
      </c>
      <c r="F5" s="441"/>
      <c r="G5" s="504"/>
      <c r="H5" s="454"/>
      <c r="I5" s="490"/>
      <c r="J5" s="454"/>
      <c r="K5" s="505"/>
      <c r="L5" s="492"/>
    </row>
    <row r="6" spans="1:12" s="493" customFormat="1" ht="15.95" customHeight="1" thickBot="1" x14ac:dyDescent="0.3">
      <c r="A6" s="451"/>
      <c r="B6" s="450"/>
      <c r="C6" s="452" t="s">
        <v>780</v>
      </c>
      <c r="D6" s="439">
        <f ca="1">D2+D3</f>
        <v>4</v>
      </c>
      <c r="E6" s="449"/>
      <c r="F6" s="441"/>
      <c r="G6" s="504"/>
      <c r="H6" s="454"/>
      <c r="I6" s="490"/>
      <c r="J6" s="454"/>
      <c r="K6" s="505"/>
      <c r="L6" s="492"/>
    </row>
    <row r="7" spans="1:12" s="493" customFormat="1" ht="15.95" customHeight="1" thickBot="1" x14ac:dyDescent="0.3">
      <c r="A7" s="451"/>
      <c r="B7" s="506"/>
      <c r="C7" s="452" t="s">
        <v>781</v>
      </c>
      <c r="D7" s="439">
        <f ca="1">COUNTA(B9:B59)-D6</f>
        <v>11</v>
      </c>
      <c r="E7" s="449"/>
      <c r="F7" s="544" t="s">
        <v>1017</v>
      </c>
      <c r="G7" s="504"/>
      <c r="H7" s="454"/>
      <c r="I7" s="490"/>
      <c r="J7" s="544" t="s">
        <v>1017</v>
      </c>
      <c r="K7" s="505"/>
      <c r="L7" s="492"/>
    </row>
    <row r="8" spans="1:12" s="307" customFormat="1" ht="47.25" x14ac:dyDescent="0.25">
      <c r="A8" s="416" t="s">
        <v>90</v>
      </c>
      <c r="B8" s="512" t="s">
        <v>91</v>
      </c>
      <c r="C8" s="513" t="s">
        <v>48</v>
      </c>
      <c r="D8" s="514" t="s">
        <v>92</v>
      </c>
      <c r="E8" s="514" t="s">
        <v>782</v>
      </c>
      <c r="F8" s="514" t="s">
        <v>783</v>
      </c>
      <c r="G8" s="515" t="s">
        <v>53</v>
      </c>
      <c r="H8" s="514" t="s">
        <v>95</v>
      </c>
      <c r="I8" s="514" t="s">
        <v>54</v>
      </c>
      <c r="J8" s="512" t="s">
        <v>55</v>
      </c>
      <c r="K8" s="417" t="s">
        <v>56</v>
      </c>
      <c r="L8" s="126"/>
    </row>
    <row r="9" spans="1:12" ht="14.25" customHeight="1" x14ac:dyDescent="0.2">
      <c r="A9" s="516"/>
      <c r="B9" s="520" t="s">
        <v>398</v>
      </c>
      <c r="C9" s="145"/>
      <c r="D9" s="172"/>
      <c r="E9" s="184"/>
      <c r="F9" s="409">
        <f ca="1">IF(ISBLANK(G9),IF(ISERROR(DAYS360(TODAY(),E9))," ",(DAYS360(TODAY(),E9))),E9-G9)</f>
        <v>-43388</v>
      </c>
      <c r="G9" s="154"/>
      <c r="H9" s="173"/>
      <c r="I9" s="145"/>
      <c r="J9" s="173" t="str">
        <f ca="1">IF(AND(J10="completed",J11="completed",J12="completed",J13="completed",J14="completed",J15="completed"),"Deliverable Completed","DELIVERABLE STILL IN PROGRESS")</f>
        <v>DELIVERABLE STILL IN PROGRESS</v>
      </c>
      <c r="K9" s="106"/>
      <c r="L9" s="18"/>
    </row>
    <row r="10" spans="1:12" ht="15" x14ac:dyDescent="0.2">
      <c r="A10" s="517"/>
      <c r="B10" s="156" t="s">
        <v>399</v>
      </c>
      <c r="C10" s="39"/>
      <c r="D10" s="185"/>
      <c r="E10" s="185"/>
      <c r="F10" s="231">
        <f ca="1">IF(ISBLANK(G10),IF(ISERROR(DAYS360(TODAY(),E10))," ",(DAYS360(TODAY(),E10))),E10-G10)</f>
        <v>-43388</v>
      </c>
      <c r="G10" s="200"/>
      <c r="H10" s="38"/>
      <c r="I10" s="39"/>
      <c r="J10" s="38" t="str">
        <f t="shared" ref="J10:J27" ca="1" si="0">IF(G10&gt;0,"COMPLETED",(IF(I10&gt;0,"ISSUE IDENTIFIED",(IF(TODAY()&gt;E10,"OVERDUE","In Progress")))))</f>
        <v>OVERDUE</v>
      </c>
      <c r="K10" s="107"/>
      <c r="L10" s="18"/>
    </row>
    <row r="11" spans="1:12" ht="15" x14ac:dyDescent="0.2">
      <c r="A11" s="517"/>
      <c r="B11" s="146" t="s">
        <v>400</v>
      </c>
      <c r="C11" s="39"/>
      <c r="D11" s="185"/>
      <c r="E11" s="185"/>
      <c r="F11" s="231">
        <f t="shared" ref="F11:F13" ca="1" si="1">IF(ISBLANK(G11),IF(ISERROR(DAYS360(TODAY(),E11))," ",(DAYS360(TODAY(),E11))),E11-G11)</f>
        <v>-43388</v>
      </c>
      <c r="G11" s="200"/>
      <c r="H11" s="38"/>
      <c r="I11" s="39"/>
      <c r="J11" s="38" t="str">
        <f t="shared" ca="1" si="0"/>
        <v>OVERDUE</v>
      </c>
      <c r="K11" s="107"/>
      <c r="L11" s="18"/>
    </row>
    <row r="12" spans="1:12" ht="15" x14ac:dyDescent="0.2">
      <c r="A12" s="517"/>
      <c r="B12" s="146" t="s">
        <v>401</v>
      </c>
      <c r="C12" s="39"/>
      <c r="D12" s="185"/>
      <c r="E12" s="185"/>
      <c r="F12" s="231">
        <f t="shared" ca="1" si="1"/>
        <v>-43388</v>
      </c>
      <c r="G12" s="200"/>
      <c r="H12" s="38"/>
      <c r="I12" s="39"/>
      <c r="J12" s="38" t="str">
        <f t="shared" ca="1" si="0"/>
        <v>OVERDUE</v>
      </c>
      <c r="K12" s="107"/>
      <c r="L12" s="18"/>
    </row>
    <row r="13" spans="1:12" ht="15" x14ac:dyDescent="0.2">
      <c r="A13" s="517"/>
      <c r="B13" s="146" t="s">
        <v>402</v>
      </c>
      <c r="C13" s="39"/>
      <c r="D13" s="185"/>
      <c r="E13" s="185"/>
      <c r="F13" s="231">
        <f t="shared" ca="1" si="1"/>
        <v>-43388</v>
      </c>
      <c r="G13" s="200"/>
      <c r="H13" s="38"/>
      <c r="I13" s="39"/>
      <c r="J13" s="38" t="str">
        <f t="shared" ca="1" si="0"/>
        <v>OVERDUE</v>
      </c>
      <c r="K13" s="107"/>
      <c r="L13" s="18"/>
    </row>
    <row r="14" spans="1:12" ht="15" x14ac:dyDescent="0.2">
      <c r="A14" s="517"/>
      <c r="B14" s="146" t="s">
        <v>403</v>
      </c>
      <c r="C14" s="39"/>
      <c r="D14" s="185"/>
      <c r="E14" s="185"/>
      <c r="F14" s="231">
        <f t="shared" ref="F14:F30" ca="1" si="2">IF(ISBLANK(G14),IF(ISERROR(DAYS360(TODAY(),E14))," ",(DAYS360(TODAY(),E14))),E14-G14)</f>
        <v>-43388</v>
      </c>
      <c r="G14" s="200"/>
      <c r="H14" s="38"/>
      <c r="I14" s="39"/>
      <c r="J14" s="38" t="str">
        <f t="shared" ca="1" si="0"/>
        <v>OVERDUE</v>
      </c>
      <c r="K14" s="107"/>
      <c r="L14" s="18"/>
    </row>
    <row r="15" spans="1:12" ht="15" x14ac:dyDescent="0.2">
      <c r="A15" s="517"/>
      <c r="B15" s="148" t="s">
        <v>404</v>
      </c>
      <c r="C15" s="152"/>
      <c r="D15" s="174"/>
      <c r="E15" s="186"/>
      <c r="F15" s="410">
        <f t="shared" ca="1" si="2"/>
        <v>-43388</v>
      </c>
      <c r="G15" s="219"/>
      <c r="H15" s="175"/>
      <c r="I15" s="152"/>
      <c r="J15" s="175" t="str">
        <f t="shared" ca="1" si="0"/>
        <v>OVERDUE</v>
      </c>
      <c r="K15" s="201"/>
      <c r="L15" s="18"/>
    </row>
    <row r="16" spans="1:12" ht="15" x14ac:dyDescent="0.2">
      <c r="A16" s="517"/>
      <c r="B16" s="520" t="s">
        <v>368</v>
      </c>
      <c r="C16" s="81"/>
      <c r="D16" s="171"/>
      <c r="E16" s="523"/>
      <c r="F16" s="411">
        <f t="shared" ca="1" si="2"/>
        <v>-43388</v>
      </c>
      <c r="G16" s="220"/>
      <c r="H16" s="116"/>
      <c r="I16" s="81"/>
      <c r="J16" s="116" t="str">
        <f ca="1">IF(AND(J17="completed",J18="completed",J19="completed",J20="completed",J21="completed",J22="completed",J23="completed"),"Deliverable Completed","DELIVERABLE STILL IN PROGRESS")</f>
        <v>DELIVERABLE STILL IN PROGRESS</v>
      </c>
      <c r="K16" s="107"/>
      <c r="L16" s="18"/>
    </row>
    <row r="17" spans="1:11" ht="15" x14ac:dyDescent="0.2">
      <c r="A17" s="517"/>
      <c r="B17" s="146" t="s">
        <v>405</v>
      </c>
      <c r="C17" s="39"/>
      <c r="D17" s="185"/>
      <c r="E17" s="185"/>
      <c r="F17" s="231">
        <f t="shared" ca="1" si="2"/>
        <v>-43388</v>
      </c>
      <c r="G17" s="200"/>
      <c r="H17" s="38"/>
      <c r="I17" s="39"/>
      <c r="J17" s="394" t="str">
        <f t="shared" ref="J17:J19" ca="1" si="3">IF(G17&gt;0,"COMPLETED",(IF(I17&gt;0,"ISSUE IDENTIFIED",(IF(TODAY()&gt;E17,"OVERDUE","In Progress")))))</f>
        <v>OVERDUE</v>
      </c>
      <c r="K17" s="107"/>
    </row>
    <row r="18" spans="1:11" ht="15" x14ac:dyDescent="0.2">
      <c r="A18" s="517"/>
      <c r="B18" s="146" t="s">
        <v>406</v>
      </c>
      <c r="C18" s="39"/>
      <c r="D18" s="185"/>
      <c r="E18" s="185"/>
      <c r="F18" s="231">
        <f t="shared" ca="1" si="2"/>
        <v>-43388</v>
      </c>
      <c r="G18" s="200"/>
      <c r="H18" s="38"/>
      <c r="I18" s="39"/>
      <c r="J18" s="394" t="str">
        <f t="shared" ca="1" si="3"/>
        <v>OVERDUE</v>
      </c>
      <c r="K18" s="107"/>
    </row>
    <row r="19" spans="1:11" ht="15" x14ac:dyDescent="0.2">
      <c r="A19" s="517"/>
      <c r="B19" s="146" t="s">
        <v>407</v>
      </c>
      <c r="C19" s="39"/>
      <c r="D19" s="185"/>
      <c r="E19" s="185"/>
      <c r="F19" s="231">
        <f t="shared" ca="1" si="2"/>
        <v>-43388</v>
      </c>
      <c r="G19" s="200"/>
      <c r="H19" s="38"/>
      <c r="I19" s="39"/>
      <c r="J19" s="394" t="str">
        <f t="shared" ca="1" si="3"/>
        <v>OVERDUE</v>
      </c>
      <c r="K19" s="107"/>
    </row>
    <row r="20" spans="1:11" s="308" customFormat="1" ht="15" x14ac:dyDescent="0.2">
      <c r="A20" s="517"/>
      <c r="B20" s="146" t="s">
        <v>408</v>
      </c>
      <c r="C20" s="39"/>
      <c r="D20" s="185"/>
      <c r="E20" s="185"/>
      <c r="F20" s="231">
        <f t="shared" ca="1" si="2"/>
        <v>-43388</v>
      </c>
      <c r="G20" s="200"/>
      <c r="H20" s="38"/>
      <c r="I20" s="39"/>
      <c r="J20" s="394" t="str">
        <f ca="1">IF(G20&gt;0,"COMPLETED",(IF(I20&gt;0,"ISSUE IDENTIFIED",(IF(TODAY()&gt;E20,"OVERDUE","In Progress")))))</f>
        <v>OVERDUE</v>
      </c>
      <c r="K20" s="107"/>
    </row>
    <row r="21" spans="1:11" ht="15" x14ac:dyDescent="0.2">
      <c r="A21" s="517"/>
      <c r="B21" s="146" t="s">
        <v>409</v>
      </c>
      <c r="C21" s="39"/>
      <c r="D21" s="185"/>
      <c r="E21" s="185"/>
      <c r="F21" s="231">
        <f t="shared" ca="1" si="2"/>
        <v>-43388</v>
      </c>
      <c r="G21" s="200"/>
      <c r="H21" s="38"/>
      <c r="I21" s="39"/>
      <c r="J21" s="38" t="str">
        <f ca="1">IF(G21&gt;0,"COMPLETED",(IF(I21&gt;0,"ISSUE IDENTIFIED",(IF(TODAY()&gt;E21,"OVERDUE","In Progress")))))</f>
        <v>OVERDUE</v>
      </c>
      <c r="K21" s="107"/>
    </row>
    <row r="22" spans="1:11" ht="14.25" customHeight="1" x14ac:dyDescent="0.2">
      <c r="A22" s="517"/>
      <c r="B22" s="146"/>
      <c r="C22" s="39"/>
      <c r="D22" s="185"/>
      <c r="E22" s="185"/>
      <c r="F22" s="231">
        <f t="shared" ca="1" si="2"/>
        <v>-43388</v>
      </c>
      <c r="G22" s="200"/>
      <c r="H22" s="38"/>
      <c r="I22" s="39"/>
      <c r="J22" s="38" t="str">
        <f t="shared" ref="J22:J23" ca="1" si="4">IF(G22&gt;0,"COMPLETED",(IF(I22&gt;0,"ISSUE IDENTIFIED",(IF(TODAY()&gt;E22,"OVERDUE","In Progress")))))</f>
        <v>OVERDUE</v>
      </c>
      <c r="K22" s="107"/>
    </row>
    <row r="23" spans="1:11" ht="15" x14ac:dyDescent="0.2">
      <c r="A23" s="517"/>
      <c r="B23" s="160"/>
      <c r="C23" s="152"/>
      <c r="D23" s="174"/>
      <c r="E23" s="186"/>
      <c r="F23" s="410">
        <f t="shared" ca="1" si="2"/>
        <v>-43388</v>
      </c>
      <c r="G23" s="219"/>
      <c r="H23" s="175"/>
      <c r="I23" s="152"/>
      <c r="J23" s="175" t="str">
        <f t="shared" ca="1" si="4"/>
        <v>OVERDUE</v>
      </c>
      <c r="K23" s="201"/>
    </row>
    <row r="24" spans="1:11" ht="15" x14ac:dyDescent="0.2">
      <c r="A24" s="517"/>
      <c r="B24" s="520" t="s">
        <v>214</v>
      </c>
      <c r="C24" s="81"/>
      <c r="D24" s="171"/>
      <c r="E24" s="523"/>
      <c r="F24" s="411">
        <f t="shared" ca="1" si="2"/>
        <v>-43388</v>
      </c>
      <c r="G24" s="220"/>
      <c r="H24" s="116"/>
      <c r="I24" s="81"/>
      <c r="J24" s="116" t="str">
        <f ca="1">IF(AND(J25="completed",J26="completed",J27="completed"),"Deliverable Completed","DELIVERABLE STILL IN PROGRESS")</f>
        <v>DELIVERABLE STILL IN PROGRESS</v>
      </c>
      <c r="K24" s="107"/>
    </row>
    <row r="25" spans="1:11" ht="15" x14ac:dyDescent="0.2">
      <c r="A25" s="517"/>
      <c r="B25" s="146"/>
      <c r="C25" s="39"/>
      <c r="D25" s="185"/>
      <c r="E25" s="185"/>
      <c r="F25" s="231">
        <f t="shared" ca="1" si="2"/>
        <v>-43388</v>
      </c>
      <c r="G25" s="200"/>
      <c r="H25" s="38"/>
      <c r="I25" s="39"/>
      <c r="J25" s="38" t="str">
        <f t="shared" ca="1" si="0"/>
        <v>OVERDUE</v>
      </c>
      <c r="K25" s="107"/>
    </row>
    <row r="26" spans="1:11" ht="15" x14ac:dyDescent="0.2">
      <c r="A26" s="517"/>
      <c r="B26" s="146"/>
      <c r="C26" s="39"/>
      <c r="D26" s="185"/>
      <c r="E26" s="185"/>
      <c r="F26" s="231">
        <f t="shared" ca="1" si="2"/>
        <v>-43388</v>
      </c>
      <c r="G26" s="200"/>
      <c r="H26" s="38"/>
      <c r="I26" s="39"/>
      <c r="J26" s="38" t="str">
        <f t="shared" ca="1" si="0"/>
        <v>OVERDUE</v>
      </c>
      <c r="K26" s="107"/>
    </row>
    <row r="27" spans="1:11" ht="15" x14ac:dyDescent="0.2">
      <c r="A27" s="517"/>
      <c r="B27" s="160"/>
      <c r="C27" s="152"/>
      <c r="D27" s="174"/>
      <c r="E27" s="186"/>
      <c r="F27" s="410">
        <f t="shared" ca="1" si="2"/>
        <v>-43388</v>
      </c>
      <c r="G27" s="219"/>
      <c r="H27" s="175"/>
      <c r="I27" s="152"/>
      <c r="J27" s="175" t="str">
        <f t="shared" ca="1" si="0"/>
        <v>OVERDUE</v>
      </c>
      <c r="K27" s="201"/>
    </row>
    <row r="28" spans="1:11" ht="15" x14ac:dyDescent="0.2">
      <c r="A28" s="517"/>
      <c r="B28" s="520" t="s">
        <v>214</v>
      </c>
      <c r="C28" s="81"/>
      <c r="D28" s="171"/>
      <c r="E28" s="523"/>
      <c r="F28" s="411">
        <f t="shared" ca="1" si="2"/>
        <v>-43388</v>
      </c>
      <c r="G28" s="220"/>
      <c r="H28" s="116"/>
      <c r="I28" s="81"/>
      <c r="J28" s="116" t="str">
        <f ca="1">IF(AND(J29="completed",J30="completed"),"Deliverable Completed","DELIVERABLE STILL IN PROGRESS")</f>
        <v>DELIVERABLE STILL IN PROGRESS</v>
      </c>
      <c r="K28" s="107"/>
    </row>
    <row r="29" spans="1:11" ht="15" x14ac:dyDescent="0.2">
      <c r="A29" s="517"/>
      <c r="B29" s="146"/>
      <c r="C29" s="39"/>
      <c r="D29" s="185"/>
      <c r="E29" s="185"/>
      <c r="F29" s="231">
        <f t="shared" ca="1" si="2"/>
        <v>-43388</v>
      </c>
      <c r="G29" s="200"/>
      <c r="H29" s="38"/>
      <c r="I29" s="39"/>
      <c r="J29" s="38" t="str">
        <f ca="1">IF(G29&gt;0,"COMPLETED",(IF(I29&gt;0,"ISSUE IDENTIFIED",(IF(TODAY()&gt;E29,"OVERDUE","In Progress")))))</f>
        <v>OVERDUE</v>
      </c>
      <c r="K29" s="107"/>
    </row>
    <row r="30" spans="1:11" ht="15.75" thickBot="1" x14ac:dyDescent="0.25">
      <c r="A30" s="519"/>
      <c r="B30" s="313"/>
      <c r="C30" s="213"/>
      <c r="D30" s="209"/>
      <c r="E30" s="272"/>
      <c r="F30" s="526">
        <f t="shared" ca="1" si="2"/>
        <v>-43388</v>
      </c>
      <c r="G30" s="257"/>
      <c r="H30" s="212"/>
      <c r="I30" s="213"/>
      <c r="J30" s="212" t="str">
        <f ca="1">IF(G30&gt;0,"COMPLETED",(IF(I30&gt;0,"ISSUE IDENTIFIED",(IF(TODAY()&gt;E30,"OVERDUE","In Progress")))))</f>
        <v>OVERDUE</v>
      </c>
      <c r="K30" s="258"/>
    </row>
    <row r="31" spans="1:11" x14ac:dyDescent="0.2">
      <c r="A31" s="205"/>
      <c r="B31" s="314"/>
      <c r="C31" s="205"/>
      <c r="D31" s="110"/>
      <c r="E31" s="110"/>
      <c r="F31" s="110"/>
      <c r="G31" s="315"/>
      <c r="H31" s="205"/>
      <c r="I31" s="314"/>
      <c r="J31" s="205"/>
      <c r="K31" s="205"/>
    </row>
    <row r="32" spans="1:11" x14ac:dyDescent="0.2">
      <c r="A32" s="205"/>
      <c r="B32" s="314"/>
      <c r="C32" s="205"/>
      <c r="D32" s="110"/>
      <c r="E32" s="110"/>
      <c r="F32" s="110"/>
      <c r="G32" s="315"/>
      <c r="H32" s="205"/>
      <c r="I32" s="314"/>
      <c r="J32" s="205"/>
      <c r="K32" s="205"/>
    </row>
  </sheetData>
  <sheetProtection algorithmName="SHA-512" hashValue="P8S+OfUDLct/sdrTyaXpID0awQg/bvcd6BSI8nbgsAFXi5etNYpknqdEiQMC6HUWvoZKdgp/0Pa0FslfU4YkyQ==" saltValue="3SIuP/qr3LnU1cwUR4jF8g==" spinCount="100000" sheet="1" insertRows="0" deleteRows="0" sort="0" autoFilter="0"/>
  <mergeCells count="1">
    <mergeCell ref="A1:K1"/>
  </mergeCells>
  <conditionalFormatting sqref="F9:F150">
    <cfRule type="cellIs" dxfId="90" priority="18" stopIfTrue="1" operator="lessThan">
      <formula>-1000</formula>
    </cfRule>
  </conditionalFormatting>
  <conditionalFormatting sqref="D9:E30">
    <cfRule type="cellIs" dxfId="89" priority="1" operator="equal">
      <formula>0</formula>
    </cfRule>
  </conditionalFormatting>
  <conditionalFormatting sqref="J9:J150">
    <cfRule type="containsText" dxfId="88" priority="25" operator="containsText" text="DELIVERABLE STILL IN PROGRESS">
      <formula>NOT(ISERROR(SEARCH("DELIVERABLE STILL IN PROGRESS",J9)))</formula>
    </cfRule>
    <cfRule type="containsText" dxfId="87" priority="26" operator="containsText" text="DELIVERABLE COMPLETED">
      <formula>NOT(ISERROR(SEARCH("DELIVERABLE COMPLETED",J9)))</formula>
    </cfRule>
    <cfRule type="cellIs" dxfId="86" priority="27" stopIfTrue="1" operator="equal">
      <formula>"OVERDUE"</formula>
    </cfRule>
    <cfRule type="cellIs" dxfId="85" priority="28" stopIfTrue="1" operator="equal">
      <formula>"COMPLETED"</formula>
    </cfRule>
    <cfRule type="cellIs" dxfId="84" priority="29" stopIfTrue="1" operator="equal">
      <formula>"ISSUE IDENTIFIED"</formula>
    </cfRule>
  </conditionalFormatting>
  <printOptions horizontalCentered="1"/>
  <pageMargins left="0.25" right="0.25" top="0.5" bottom="0.75" header="0.25" footer="0.5"/>
  <pageSetup scale="46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0C3964"/>
    <pageSetUpPr fitToPage="1"/>
  </sheetPr>
  <dimension ref="A1:L66"/>
  <sheetViews>
    <sheetView showGridLines="0" zoomScaleNormal="100" workbookViewId="0">
      <pane xSplit="3" ySplit="8" topLeftCell="D50" activePane="bottomRight" state="frozen"/>
      <selection pane="topRight" activeCell="D1" sqref="D1"/>
      <selection pane="bottomLeft" activeCell="A9" sqref="A9"/>
      <selection pane="bottomRight" activeCell="A61" sqref="A61"/>
    </sheetView>
  </sheetViews>
  <sheetFormatPr defaultRowHeight="12.75" x14ac:dyDescent="0.2"/>
  <cols>
    <col min="1" max="1" width="18.42578125" style="25" bestFit="1" customWidth="1"/>
    <col min="2" max="2" width="87.7109375" style="27" customWidth="1"/>
    <col min="3" max="3" width="33.5703125" style="25" bestFit="1" customWidth="1"/>
    <col min="4" max="5" width="13.7109375" style="111" customWidth="1"/>
    <col min="6" max="6" width="13.7109375" style="5" customWidth="1"/>
    <col min="7" max="7" width="13.7109375" style="221" customWidth="1"/>
    <col min="8" max="8" width="14.5703125" style="25" bestFit="1" customWidth="1"/>
    <col min="9" max="9" width="12.7109375" style="27" customWidth="1"/>
    <col min="10" max="10" width="26" style="25" bestFit="1" customWidth="1"/>
    <col min="11" max="11" width="40.7109375" style="25" customWidth="1"/>
    <col min="12" max="12" width="15.5703125" style="25" customWidth="1"/>
    <col min="13" max="256" width="9.140625" style="25"/>
    <col min="257" max="257" width="10.7109375" style="25" customWidth="1"/>
    <col min="258" max="258" width="50.7109375" style="25" customWidth="1"/>
    <col min="259" max="259" width="15.5703125" style="25" customWidth="1"/>
    <col min="260" max="263" width="10.7109375" style="25" customWidth="1"/>
    <col min="264" max="265" width="12.7109375" style="25" customWidth="1"/>
    <col min="266" max="266" width="15.7109375" style="25" customWidth="1"/>
    <col min="267" max="267" width="40.7109375" style="25" customWidth="1"/>
    <col min="268" max="268" width="15.5703125" style="25" customWidth="1"/>
    <col min="269" max="512" width="9.140625" style="25"/>
    <col min="513" max="513" width="10.7109375" style="25" customWidth="1"/>
    <col min="514" max="514" width="50.7109375" style="25" customWidth="1"/>
    <col min="515" max="515" width="15.5703125" style="25" customWidth="1"/>
    <col min="516" max="519" width="10.7109375" style="25" customWidth="1"/>
    <col min="520" max="521" width="12.7109375" style="25" customWidth="1"/>
    <col min="522" max="522" width="15.7109375" style="25" customWidth="1"/>
    <col min="523" max="523" width="40.7109375" style="25" customWidth="1"/>
    <col min="524" max="524" width="15.5703125" style="25" customWidth="1"/>
    <col min="525" max="768" width="9.140625" style="25"/>
    <col min="769" max="769" width="10.7109375" style="25" customWidth="1"/>
    <col min="770" max="770" width="50.7109375" style="25" customWidth="1"/>
    <col min="771" max="771" width="15.5703125" style="25" customWidth="1"/>
    <col min="772" max="775" width="10.7109375" style="25" customWidth="1"/>
    <col min="776" max="777" width="12.7109375" style="25" customWidth="1"/>
    <col min="778" max="778" width="15.7109375" style="25" customWidth="1"/>
    <col min="779" max="779" width="40.7109375" style="25" customWidth="1"/>
    <col min="780" max="780" width="15.5703125" style="25" customWidth="1"/>
    <col min="781" max="1024" width="9.140625" style="25"/>
    <col min="1025" max="1025" width="10.7109375" style="25" customWidth="1"/>
    <col min="1026" max="1026" width="50.7109375" style="25" customWidth="1"/>
    <col min="1027" max="1027" width="15.5703125" style="25" customWidth="1"/>
    <col min="1028" max="1031" width="10.7109375" style="25" customWidth="1"/>
    <col min="1032" max="1033" width="12.7109375" style="25" customWidth="1"/>
    <col min="1034" max="1034" width="15.7109375" style="25" customWidth="1"/>
    <col min="1035" max="1035" width="40.7109375" style="25" customWidth="1"/>
    <col min="1036" max="1036" width="15.5703125" style="25" customWidth="1"/>
    <col min="1037" max="1280" width="9.140625" style="25"/>
    <col min="1281" max="1281" width="10.7109375" style="25" customWidth="1"/>
    <col min="1282" max="1282" width="50.7109375" style="25" customWidth="1"/>
    <col min="1283" max="1283" width="15.5703125" style="25" customWidth="1"/>
    <col min="1284" max="1287" width="10.7109375" style="25" customWidth="1"/>
    <col min="1288" max="1289" width="12.7109375" style="25" customWidth="1"/>
    <col min="1290" max="1290" width="15.7109375" style="25" customWidth="1"/>
    <col min="1291" max="1291" width="40.7109375" style="25" customWidth="1"/>
    <col min="1292" max="1292" width="15.5703125" style="25" customWidth="1"/>
    <col min="1293" max="1536" width="9.140625" style="25"/>
    <col min="1537" max="1537" width="10.7109375" style="25" customWidth="1"/>
    <col min="1538" max="1538" width="50.7109375" style="25" customWidth="1"/>
    <col min="1539" max="1539" width="15.5703125" style="25" customWidth="1"/>
    <col min="1540" max="1543" width="10.7109375" style="25" customWidth="1"/>
    <col min="1544" max="1545" width="12.7109375" style="25" customWidth="1"/>
    <col min="1546" max="1546" width="15.7109375" style="25" customWidth="1"/>
    <col min="1547" max="1547" width="40.7109375" style="25" customWidth="1"/>
    <col min="1548" max="1548" width="15.5703125" style="25" customWidth="1"/>
    <col min="1549" max="1792" width="9.140625" style="25"/>
    <col min="1793" max="1793" width="10.7109375" style="25" customWidth="1"/>
    <col min="1794" max="1794" width="50.7109375" style="25" customWidth="1"/>
    <col min="1795" max="1795" width="15.5703125" style="25" customWidth="1"/>
    <col min="1796" max="1799" width="10.7109375" style="25" customWidth="1"/>
    <col min="1800" max="1801" width="12.7109375" style="25" customWidth="1"/>
    <col min="1802" max="1802" width="15.7109375" style="25" customWidth="1"/>
    <col min="1803" max="1803" width="40.7109375" style="25" customWidth="1"/>
    <col min="1804" max="1804" width="15.5703125" style="25" customWidth="1"/>
    <col min="1805" max="2048" width="9.140625" style="25"/>
    <col min="2049" max="2049" width="10.7109375" style="25" customWidth="1"/>
    <col min="2050" max="2050" width="50.7109375" style="25" customWidth="1"/>
    <col min="2051" max="2051" width="15.5703125" style="25" customWidth="1"/>
    <col min="2052" max="2055" width="10.7109375" style="25" customWidth="1"/>
    <col min="2056" max="2057" width="12.7109375" style="25" customWidth="1"/>
    <col min="2058" max="2058" width="15.7109375" style="25" customWidth="1"/>
    <col min="2059" max="2059" width="40.7109375" style="25" customWidth="1"/>
    <col min="2060" max="2060" width="15.5703125" style="25" customWidth="1"/>
    <col min="2061" max="2304" width="9.140625" style="25"/>
    <col min="2305" max="2305" width="10.7109375" style="25" customWidth="1"/>
    <col min="2306" max="2306" width="50.7109375" style="25" customWidth="1"/>
    <col min="2307" max="2307" width="15.5703125" style="25" customWidth="1"/>
    <col min="2308" max="2311" width="10.7109375" style="25" customWidth="1"/>
    <col min="2312" max="2313" width="12.7109375" style="25" customWidth="1"/>
    <col min="2314" max="2314" width="15.7109375" style="25" customWidth="1"/>
    <col min="2315" max="2315" width="40.7109375" style="25" customWidth="1"/>
    <col min="2316" max="2316" width="15.5703125" style="25" customWidth="1"/>
    <col min="2317" max="2560" width="9.140625" style="25"/>
    <col min="2561" max="2561" width="10.7109375" style="25" customWidth="1"/>
    <col min="2562" max="2562" width="50.7109375" style="25" customWidth="1"/>
    <col min="2563" max="2563" width="15.5703125" style="25" customWidth="1"/>
    <col min="2564" max="2567" width="10.7109375" style="25" customWidth="1"/>
    <col min="2568" max="2569" width="12.7109375" style="25" customWidth="1"/>
    <col min="2570" max="2570" width="15.7109375" style="25" customWidth="1"/>
    <col min="2571" max="2571" width="40.7109375" style="25" customWidth="1"/>
    <col min="2572" max="2572" width="15.5703125" style="25" customWidth="1"/>
    <col min="2573" max="2816" width="9.140625" style="25"/>
    <col min="2817" max="2817" width="10.7109375" style="25" customWidth="1"/>
    <col min="2818" max="2818" width="50.7109375" style="25" customWidth="1"/>
    <col min="2819" max="2819" width="15.5703125" style="25" customWidth="1"/>
    <col min="2820" max="2823" width="10.7109375" style="25" customWidth="1"/>
    <col min="2824" max="2825" width="12.7109375" style="25" customWidth="1"/>
    <col min="2826" max="2826" width="15.7109375" style="25" customWidth="1"/>
    <col min="2827" max="2827" width="40.7109375" style="25" customWidth="1"/>
    <col min="2828" max="2828" width="15.5703125" style="25" customWidth="1"/>
    <col min="2829" max="3072" width="9.140625" style="25"/>
    <col min="3073" max="3073" width="10.7109375" style="25" customWidth="1"/>
    <col min="3074" max="3074" width="50.7109375" style="25" customWidth="1"/>
    <col min="3075" max="3075" width="15.5703125" style="25" customWidth="1"/>
    <col min="3076" max="3079" width="10.7109375" style="25" customWidth="1"/>
    <col min="3080" max="3081" width="12.7109375" style="25" customWidth="1"/>
    <col min="3082" max="3082" width="15.7109375" style="25" customWidth="1"/>
    <col min="3083" max="3083" width="40.7109375" style="25" customWidth="1"/>
    <col min="3084" max="3084" width="15.5703125" style="25" customWidth="1"/>
    <col min="3085" max="3328" width="9.140625" style="25"/>
    <col min="3329" max="3329" width="10.7109375" style="25" customWidth="1"/>
    <col min="3330" max="3330" width="50.7109375" style="25" customWidth="1"/>
    <col min="3331" max="3331" width="15.5703125" style="25" customWidth="1"/>
    <col min="3332" max="3335" width="10.7109375" style="25" customWidth="1"/>
    <col min="3336" max="3337" width="12.7109375" style="25" customWidth="1"/>
    <col min="3338" max="3338" width="15.7109375" style="25" customWidth="1"/>
    <col min="3339" max="3339" width="40.7109375" style="25" customWidth="1"/>
    <col min="3340" max="3340" width="15.5703125" style="25" customWidth="1"/>
    <col min="3341" max="3584" width="9.140625" style="25"/>
    <col min="3585" max="3585" width="10.7109375" style="25" customWidth="1"/>
    <col min="3586" max="3586" width="50.7109375" style="25" customWidth="1"/>
    <col min="3587" max="3587" width="15.5703125" style="25" customWidth="1"/>
    <col min="3588" max="3591" width="10.7109375" style="25" customWidth="1"/>
    <col min="3592" max="3593" width="12.7109375" style="25" customWidth="1"/>
    <col min="3594" max="3594" width="15.7109375" style="25" customWidth="1"/>
    <col min="3595" max="3595" width="40.7109375" style="25" customWidth="1"/>
    <col min="3596" max="3596" width="15.5703125" style="25" customWidth="1"/>
    <col min="3597" max="3840" width="9.140625" style="25"/>
    <col min="3841" max="3841" width="10.7109375" style="25" customWidth="1"/>
    <col min="3842" max="3842" width="50.7109375" style="25" customWidth="1"/>
    <col min="3843" max="3843" width="15.5703125" style="25" customWidth="1"/>
    <col min="3844" max="3847" width="10.7109375" style="25" customWidth="1"/>
    <col min="3848" max="3849" width="12.7109375" style="25" customWidth="1"/>
    <col min="3850" max="3850" width="15.7109375" style="25" customWidth="1"/>
    <col min="3851" max="3851" width="40.7109375" style="25" customWidth="1"/>
    <col min="3852" max="3852" width="15.5703125" style="25" customWidth="1"/>
    <col min="3853" max="4096" width="9.140625" style="25"/>
    <col min="4097" max="4097" width="10.7109375" style="25" customWidth="1"/>
    <col min="4098" max="4098" width="50.7109375" style="25" customWidth="1"/>
    <col min="4099" max="4099" width="15.5703125" style="25" customWidth="1"/>
    <col min="4100" max="4103" width="10.7109375" style="25" customWidth="1"/>
    <col min="4104" max="4105" width="12.7109375" style="25" customWidth="1"/>
    <col min="4106" max="4106" width="15.7109375" style="25" customWidth="1"/>
    <col min="4107" max="4107" width="40.7109375" style="25" customWidth="1"/>
    <col min="4108" max="4108" width="15.5703125" style="25" customWidth="1"/>
    <col min="4109" max="4352" width="9.140625" style="25"/>
    <col min="4353" max="4353" width="10.7109375" style="25" customWidth="1"/>
    <col min="4354" max="4354" width="50.7109375" style="25" customWidth="1"/>
    <col min="4355" max="4355" width="15.5703125" style="25" customWidth="1"/>
    <col min="4356" max="4359" width="10.7109375" style="25" customWidth="1"/>
    <col min="4360" max="4361" width="12.7109375" style="25" customWidth="1"/>
    <col min="4362" max="4362" width="15.7109375" style="25" customWidth="1"/>
    <col min="4363" max="4363" width="40.7109375" style="25" customWidth="1"/>
    <col min="4364" max="4364" width="15.5703125" style="25" customWidth="1"/>
    <col min="4365" max="4608" width="9.140625" style="25"/>
    <col min="4609" max="4609" width="10.7109375" style="25" customWidth="1"/>
    <col min="4610" max="4610" width="50.7109375" style="25" customWidth="1"/>
    <col min="4611" max="4611" width="15.5703125" style="25" customWidth="1"/>
    <col min="4612" max="4615" width="10.7109375" style="25" customWidth="1"/>
    <col min="4616" max="4617" width="12.7109375" style="25" customWidth="1"/>
    <col min="4618" max="4618" width="15.7109375" style="25" customWidth="1"/>
    <col min="4619" max="4619" width="40.7109375" style="25" customWidth="1"/>
    <col min="4620" max="4620" width="15.5703125" style="25" customWidth="1"/>
    <col min="4621" max="4864" width="9.140625" style="25"/>
    <col min="4865" max="4865" width="10.7109375" style="25" customWidth="1"/>
    <col min="4866" max="4866" width="50.7109375" style="25" customWidth="1"/>
    <col min="4867" max="4867" width="15.5703125" style="25" customWidth="1"/>
    <col min="4868" max="4871" width="10.7109375" style="25" customWidth="1"/>
    <col min="4872" max="4873" width="12.7109375" style="25" customWidth="1"/>
    <col min="4874" max="4874" width="15.7109375" style="25" customWidth="1"/>
    <col min="4875" max="4875" width="40.7109375" style="25" customWidth="1"/>
    <col min="4876" max="4876" width="15.5703125" style="25" customWidth="1"/>
    <col min="4877" max="5120" width="9.140625" style="25"/>
    <col min="5121" max="5121" width="10.7109375" style="25" customWidth="1"/>
    <col min="5122" max="5122" width="50.7109375" style="25" customWidth="1"/>
    <col min="5123" max="5123" width="15.5703125" style="25" customWidth="1"/>
    <col min="5124" max="5127" width="10.7109375" style="25" customWidth="1"/>
    <col min="5128" max="5129" width="12.7109375" style="25" customWidth="1"/>
    <col min="5130" max="5130" width="15.7109375" style="25" customWidth="1"/>
    <col min="5131" max="5131" width="40.7109375" style="25" customWidth="1"/>
    <col min="5132" max="5132" width="15.5703125" style="25" customWidth="1"/>
    <col min="5133" max="5376" width="9.140625" style="25"/>
    <col min="5377" max="5377" width="10.7109375" style="25" customWidth="1"/>
    <col min="5378" max="5378" width="50.7109375" style="25" customWidth="1"/>
    <col min="5379" max="5379" width="15.5703125" style="25" customWidth="1"/>
    <col min="5380" max="5383" width="10.7109375" style="25" customWidth="1"/>
    <col min="5384" max="5385" width="12.7109375" style="25" customWidth="1"/>
    <col min="5386" max="5386" width="15.7109375" style="25" customWidth="1"/>
    <col min="5387" max="5387" width="40.7109375" style="25" customWidth="1"/>
    <col min="5388" max="5388" width="15.5703125" style="25" customWidth="1"/>
    <col min="5389" max="5632" width="9.140625" style="25"/>
    <col min="5633" max="5633" width="10.7109375" style="25" customWidth="1"/>
    <col min="5634" max="5634" width="50.7109375" style="25" customWidth="1"/>
    <col min="5635" max="5635" width="15.5703125" style="25" customWidth="1"/>
    <col min="5636" max="5639" width="10.7109375" style="25" customWidth="1"/>
    <col min="5640" max="5641" width="12.7109375" style="25" customWidth="1"/>
    <col min="5642" max="5642" width="15.7109375" style="25" customWidth="1"/>
    <col min="5643" max="5643" width="40.7109375" style="25" customWidth="1"/>
    <col min="5644" max="5644" width="15.5703125" style="25" customWidth="1"/>
    <col min="5645" max="5888" width="9.140625" style="25"/>
    <col min="5889" max="5889" width="10.7109375" style="25" customWidth="1"/>
    <col min="5890" max="5890" width="50.7109375" style="25" customWidth="1"/>
    <col min="5891" max="5891" width="15.5703125" style="25" customWidth="1"/>
    <col min="5892" max="5895" width="10.7109375" style="25" customWidth="1"/>
    <col min="5896" max="5897" width="12.7109375" style="25" customWidth="1"/>
    <col min="5898" max="5898" width="15.7109375" style="25" customWidth="1"/>
    <col min="5899" max="5899" width="40.7109375" style="25" customWidth="1"/>
    <col min="5900" max="5900" width="15.5703125" style="25" customWidth="1"/>
    <col min="5901" max="6144" width="9.140625" style="25"/>
    <col min="6145" max="6145" width="10.7109375" style="25" customWidth="1"/>
    <col min="6146" max="6146" width="50.7109375" style="25" customWidth="1"/>
    <col min="6147" max="6147" width="15.5703125" style="25" customWidth="1"/>
    <col min="6148" max="6151" width="10.7109375" style="25" customWidth="1"/>
    <col min="6152" max="6153" width="12.7109375" style="25" customWidth="1"/>
    <col min="6154" max="6154" width="15.7109375" style="25" customWidth="1"/>
    <col min="6155" max="6155" width="40.7109375" style="25" customWidth="1"/>
    <col min="6156" max="6156" width="15.5703125" style="25" customWidth="1"/>
    <col min="6157" max="6400" width="9.140625" style="25"/>
    <col min="6401" max="6401" width="10.7109375" style="25" customWidth="1"/>
    <col min="6402" max="6402" width="50.7109375" style="25" customWidth="1"/>
    <col min="6403" max="6403" width="15.5703125" style="25" customWidth="1"/>
    <col min="6404" max="6407" width="10.7109375" style="25" customWidth="1"/>
    <col min="6408" max="6409" width="12.7109375" style="25" customWidth="1"/>
    <col min="6410" max="6410" width="15.7109375" style="25" customWidth="1"/>
    <col min="6411" max="6411" width="40.7109375" style="25" customWidth="1"/>
    <col min="6412" max="6412" width="15.5703125" style="25" customWidth="1"/>
    <col min="6413" max="6656" width="9.140625" style="25"/>
    <col min="6657" max="6657" width="10.7109375" style="25" customWidth="1"/>
    <col min="6658" max="6658" width="50.7109375" style="25" customWidth="1"/>
    <col min="6659" max="6659" width="15.5703125" style="25" customWidth="1"/>
    <col min="6660" max="6663" width="10.7109375" style="25" customWidth="1"/>
    <col min="6664" max="6665" width="12.7109375" style="25" customWidth="1"/>
    <col min="6666" max="6666" width="15.7109375" style="25" customWidth="1"/>
    <col min="6667" max="6667" width="40.7109375" style="25" customWidth="1"/>
    <col min="6668" max="6668" width="15.5703125" style="25" customWidth="1"/>
    <col min="6669" max="6912" width="9.140625" style="25"/>
    <col min="6913" max="6913" width="10.7109375" style="25" customWidth="1"/>
    <col min="6914" max="6914" width="50.7109375" style="25" customWidth="1"/>
    <col min="6915" max="6915" width="15.5703125" style="25" customWidth="1"/>
    <col min="6916" max="6919" width="10.7109375" style="25" customWidth="1"/>
    <col min="6920" max="6921" width="12.7109375" style="25" customWidth="1"/>
    <col min="6922" max="6922" width="15.7109375" style="25" customWidth="1"/>
    <col min="6923" max="6923" width="40.7109375" style="25" customWidth="1"/>
    <col min="6924" max="6924" width="15.5703125" style="25" customWidth="1"/>
    <col min="6925" max="7168" width="9.140625" style="25"/>
    <col min="7169" max="7169" width="10.7109375" style="25" customWidth="1"/>
    <col min="7170" max="7170" width="50.7109375" style="25" customWidth="1"/>
    <col min="7171" max="7171" width="15.5703125" style="25" customWidth="1"/>
    <col min="7172" max="7175" width="10.7109375" style="25" customWidth="1"/>
    <col min="7176" max="7177" width="12.7109375" style="25" customWidth="1"/>
    <col min="7178" max="7178" width="15.7109375" style="25" customWidth="1"/>
    <col min="7179" max="7179" width="40.7109375" style="25" customWidth="1"/>
    <col min="7180" max="7180" width="15.5703125" style="25" customWidth="1"/>
    <col min="7181" max="7424" width="9.140625" style="25"/>
    <col min="7425" max="7425" width="10.7109375" style="25" customWidth="1"/>
    <col min="7426" max="7426" width="50.7109375" style="25" customWidth="1"/>
    <col min="7427" max="7427" width="15.5703125" style="25" customWidth="1"/>
    <col min="7428" max="7431" width="10.7109375" style="25" customWidth="1"/>
    <col min="7432" max="7433" width="12.7109375" style="25" customWidth="1"/>
    <col min="7434" max="7434" width="15.7109375" style="25" customWidth="1"/>
    <col min="7435" max="7435" width="40.7109375" style="25" customWidth="1"/>
    <col min="7436" max="7436" width="15.5703125" style="25" customWidth="1"/>
    <col min="7437" max="7680" width="9.140625" style="25"/>
    <col min="7681" max="7681" width="10.7109375" style="25" customWidth="1"/>
    <col min="7682" max="7682" width="50.7109375" style="25" customWidth="1"/>
    <col min="7683" max="7683" width="15.5703125" style="25" customWidth="1"/>
    <col min="7684" max="7687" width="10.7109375" style="25" customWidth="1"/>
    <col min="7688" max="7689" width="12.7109375" style="25" customWidth="1"/>
    <col min="7690" max="7690" width="15.7109375" style="25" customWidth="1"/>
    <col min="7691" max="7691" width="40.7109375" style="25" customWidth="1"/>
    <col min="7692" max="7692" width="15.5703125" style="25" customWidth="1"/>
    <col min="7693" max="7936" width="9.140625" style="25"/>
    <col min="7937" max="7937" width="10.7109375" style="25" customWidth="1"/>
    <col min="7938" max="7938" width="50.7109375" style="25" customWidth="1"/>
    <col min="7939" max="7939" width="15.5703125" style="25" customWidth="1"/>
    <col min="7940" max="7943" width="10.7109375" style="25" customWidth="1"/>
    <col min="7944" max="7945" width="12.7109375" style="25" customWidth="1"/>
    <col min="7946" max="7946" width="15.7109375" style="25" customWidth="1"/>
    <col min="7947" max="7947" width="40.7109375" style="25" customWidth="1"/>
    <col min="7948" max="7948" width="15.5703125" style="25" customWidth="1"/>
    <col min="7949" max="8192" width="9.140625" style="25"/>
    <col min="8193" max="8193" width="10.7109375" style="25" customWidth="1"/>
    <col min="8194" max="8194" width="50.7109375" style="25" customWidth="1"/>
    <col min="8195" max="8195" width="15.5703125" style="25" customWidth="1"/>
    <col min="8196" max="8199" width="10.7109375" style="25" customWidth="1"/>
    <col min="8200" max="8201" width="12.7109375" style="25" customWidth="1"/>
    <col min="8202" max="8202" width="15.7109375" style="25" customWidth="1"/>
    <col min="8203" max="8203" width="40.7109375" style="25" customWidth="1"/>
    <col min="8204" max="8204" width="15.5703125" style="25" customWidth="1"/>
    <col min="8205" max="8448" width="9.140625" style="25"/>
    <col min="8449" max="8449" width="10.7109375" style="25" customWidth="1"/>
    <col min="8450" max="8450" width="50.7109375" style="25" customWidth="1"/>
    <col min="8451" max="8451" width="15.5703125" style="25" customWidth="1"/>
    <col min="8452" max="8455" width="10.7109375" style="25" customWidth="1"/>
    <col min="8456" max="8457" width="12.7109375" style="25" customWidth="1"/>
    <col min="8458" max="8458" width="15.7109375" style="25" customWidth="1"/>
    <col min="8459" max="8459" width="40.7109375" style="25" customWidth="1"/>
    <col min="8460" max="8460" width="15.5703125" style="25" customWidth="1"/>
    <col min="8461" max="8704" width="9.140625" style="25"/>
    <col min="8705" max="8705" width="10.7109375" style="25" customWidth="1"/>
    <col min="8706" max="8706" width="50.7109375" style="25" customWidth="1"/>
    <col min="8707" max="8707" width="15.5703125" style="25" customWidth="1"/>
    <col min="8708" max="8711" width="10.7109375" style="25" customWidth="1"/>
    <col min="8712" max="8713" width="12.7109375" style="25" customWidth="1"/>
    <col min="8714" max="8714" width="15.7109375" style="25" customWidth="1"/>
    <col min="8715" max="8715" width="40.7109375" style="25" customWidth="1"/>
    <col min="8716" max="8716" width="15.5703125" style="25" customWidth="1"/>
    <col min="8717" max="8960" width="9.140625" style="25"/>
    <col min="8961" max="8961" width="10.7109375" style="25" customWidth="1"/>
    <col min="8962" max="8962" width="50.7109375" style="25" customWidth="1"/>
    <col min="8963" max="8963" width="15.5703125" style="25" customWidth="1"/>
    <col min="8964" max="8967" width="10.7109375" style="25" customWidth="1"/>
    <col min="8968" max="8969" width="12.7109375" style="25" customWidth="1"/>
    <col min="8970" max="8970" width="15.7109375" style="25" customWidth="1"/>
    <col min="8971" max="8971" width="40.7109375" style="25" customWidth="1"/>
    <col min="8972" max="8972" width="15.5703125" style="25" customWidth="1"/>
    <col min="8973" max="9216" width="9.140625" style="25"/>
    <col min="9217" max="9217" width="10.7109375" style="25" customWidth="1"/>
    <col min="9218" max="9218" width="50.7109375" style="25" customWidth="1"/>
    <col min="9219" max="9219" width="15.5703125" style="25" customWidth="1"/>
    <col min="9220" max="9223" width="10.7109375" style="25" customWidth="1"/>
    <col min="9224" max="9225" width="12.7109375" style="25" customWidth="1"/>
    <col min="9226" max="9226" width="15.7109375" style="25" customWidth="1"/>
    <col min="9227" max="9227" width="40.7109375" style="25" customWidth="1"/>
    <col min="9228" max="9228" width="15.5703125" style="25" customWidth="1"/>
    <col min="9229" max="9472" width="9.140625" style="25"/>
    <col min="9473" max="9473" width="10.7109375" style="25" customWidth="1"/>
    <col min="9474" max="9474" width="50.7109375" style="25" customWidth="1"/>
    <col min="9475" max="9475" width="15.5703125" style="25" customWidth="1"/>
    <col min="9476" max="9479" width="10.7109375" style="25" customWidth="1"/>
    <col min="9480" max="9481" width="12.7109375" style="25" customWidth="1"/>
    <col min="9482" max="9482" width="15.7109375" style="25" customWidth="1"/>
    <col min="9483" max="9483" width="40.7109375" style="25" customWidth="1"/>
    <col min="9484" max="9484" width="15.5703125" style="25" customWidth="1"/>
    <col min="9485" max="9728" width="9.140625" style="25"/>
    <col min="9729" max="9729" width="10.7109375" style="25" customWidth="1"/>
    <col min="9730" max="9730" width="50.7109375" style="25" customWidth="1"/>
    <col min="9731" max="9731" width="15.5703125" style="25" customWidth="1"/>
    <col min="9732" max="9735" width="10.7109375" style="25" customWidth="1"/>
    <col min="9736" max="9737" width="12.7109375" style="25" customWidth="1"/>
    <col min="9738" max="9738" width="15.7109375" style="25" customWidth="1"/>
    <col min="9739" max="9739" width="40.7109375" style="25" customWidth="1"/>
    <col min="9740" max="9740" width="15.5703125" style="25" customWidth="1"/>
    <col min="9741" max="9984" width="9.140625" style="25"/>
    <col min="9985" max="9985" width="10.7109375" style="25" customWidth="1"/>
    <col min="9986" max="9986" width="50.7109375" style="25" customWidth="1"/>
    <col min="9987" max="9987" width="15.5703125" style="25" customWidth="1"/>
    <col min="9988" max="9991" width="10.7109375" style="25" customWidth="1"/>
    <col min="9992" max="9993" width="12.7109375" style="25" customWidth="1"/>
    <col min="9994" max="9994" width="15.7109375" style="25" customWidth="1"/>
    <col min="9995" max="9995" width="40.7109375" style="25" customWidth="1"/>
    <col min="9996" max="9996" width="15.5703125" style="25" customWidth="1"/>
    <col min="9997" max="10240" width="9.140625" style="25"/>
    <col min="10241" max="10241" width="10.7109375" style="25" customWidth="1"/>
    <col min="10242" max="10242" width="50.7109375" style="25" customWidth="1"/>
    <col min="10243" max="10243" width="15.5703125" style="25" customWidth="1"/>
    <col min="10244" max="10247" width="10.7109375" style="25" customWidth="1"/>
    <col min="10248" max="10249" width="12.7109375" style="25" customWidth="1"/>
    <col min="10250" max="10250" width="15.7109375" style="25" customWidth="1"/>
    <col min="10251" max="10251" width="40.7109375" style="25" customWidth="1"/>
    <col min="10252" max="10252" width="15.5703125" style="25" customWidth="1"/>
    <col min="10253" max="10496" width="9.140625" style="25"/>
    <col min="10497" max="10497" width="10.7109375" style="25" customWidth="1"/>
    <col min="10498" max="10498" width="50.7109375" style="25" customWidth="1"/>
    <col min="10499" max="10499" width="15.5703125" style="25" customWidth="1"/>
    <col min="10500" max="10503" width="10.7109375" style="25" customWidth="1"/>
    <col min="10504" max="10505" width="12.7109375" style="25" customWidth="1"/>
    <col min="10506" max="10506" width="15.7109375" style="25" customWidth="1"/>
    <col min="10507" max="10507" width="40.7109375" style="25" customWidth="1"/>
    <col min="10508" max="10508" width="15.5703125" style="25" customWidth="1"/>
    <col min="10509" max="10752" width="9.140625" style="25"/>
    <col min="10753" max="10753" width="10.7109375" style="25" customWidth="1"/>
    <col min="10754" max="10754" width="50.7109375" style="25" customWidth="1"/>
    <col min="10755" max="10755" width="15.5703125" style="25" customWidth="1"/>
    <col min="10756" max="10759" width="10.7109375" style="25" customWidth="1"/>
    <col min="10760" max="10761" width="12.7109375" style="25" customWidth="1"/>
    <col min="10762" max="10762" width="15.7109375" style="25" customWidth="1"/>
    <col min="10763" max="10763" width="40.7109375" style="25" customWidth="1"/>
    <col min="10764" max="10764" width="15.5703125" style="25" customWidth="1"/>
    <col min="10765" max="11008" width="9.140625" style="25"/>
    <col min="11009" max="11009" width="10.7109375" style="25" customWidth="1"/>
    <col min="11010" max="11010" width="50.7109375" style="25" customWidth="1"/>
    <col min="11011" max="11011" width="15.5703125" style="25" customWidth="1"/>
    <col min="11012" max="11015" width="10.7109375" style="25" customWidth="1"/>
    <col min="11016" max="11017" width="12.7109375" style="25" customWidth="1"/>
    <col min="11018" max="11018" width="15.7109375" style="25" customWidth="1"/>
    <col min="11019" max="11019" width="40.7109375" style="25" customWidth="1"/>
    <col min="11020" max="11020" width="15.5703125" style="25" customWidth="1"/>
    <col min="11021" max="11264" width="9.140625" style="25"/>
    <col min="11265" max="11265" width="10.7109375" style="25" customWidth="1"/>
    <col min="11266" max="11266" width="50.7109375" style="25" customWidth="1"/>
    <col min="11267" max="11267" width="15.5703125" style="25" customWidth="1"/>
    <col min="11268" max="11271" width="10.7109375" style="25" customWidth="1"/>
    <col min="11272" max="11273" width="12.7109375" style="25" customWidth="1"/>
    <col min="11274" max="11274" width="15.7109375" style="25" customWidth="1"/>
    <col min="11275" max="11275" width="40.7109375" style="25" customWidth="1"/>
    <col min="11276" max="11276" width="15.5703125" style="25" customWidth="1"/>
    <col min="11277" max="11520" width="9.140625" style="25"/>
    <col min="11521" max="11521" width="10.7109375" style="25" customWidth="1"/>
    <col min="11522" max="11522" width="50.7109375" style="25" customWidth="1"/>
    <col min="11523" max="11523" width="15.5703125" style="25" customWidth="1"/>
    <col min="11524" max="11527" width="10.7109375" style="25" customWidth="1"/>
    <col min="11528" max="11529" width="12.7109375" style="25" customWidth="1"/>
    <col min="11530" max="11530" width="15.7109375" style="25" customWidth="1"/>
    <col min="11531" max="11531" width="40.7109375" style="25" customWidth="1"/>
    <col min="11532" max="11532" width="15.5703125" style="25" customWidth="1"/>
    <col min="11533" max="11776" width="9.140625" style="25"/>
    <col min="11777" max="11777" width="10.7109375" style="25" customWidth="1"/>
    <col min="11778" max="11778" width="50.7109375" style="25" customWidth="1"/>
    <col min="11779" max="11779" width="15.5703125" style="25" customWidth="1"/>
    <col min="11780" max="11783" width="10.7109375" style="25" customWidth="1"/>
    <col min="11784" max="11785" width="12.7109375" style="25" customWidth="1"/>
    <col min="11786" max="11786" width="15.7109375" style="25" customWidth="1"/>
    <col min="11787" max="11787" width="40.7109375" style="25" customWidth="1"/>
    <col min="11788" max="11788" width="15.5703125" style="25" customWidth="1"/>
    <col min="11789" max="12032" width="9.140625" style="25"/>
    <col min="12033" max="12033" width="10.7109375" style="25" customWidth="1"/>
    <col min="12034" max="12034" width="50.7109375" style="25" customWidth="1"/>
    <col min="12035" max="12035" width="15.5703125" style="25" customWidth="1"/>
    <col min="12036" max="12039" width="10.7109375" style="25" customWidth="1"/>
    <col min="12040" max="12041" width="12.7109375" style="25" customWidth="1"/>
    <col min="12042" max="12042" width="15.7109375" style="25" customWidth="1"/>
    <col min="12043" max="12043" width="40.7109375" style="25" customWidth="1"/>
    <col min="12044" max="12044" width="15.5703125" style="25" customWidth="1"/>
    <col min="12045" max="12288" width="9.140625" style="25"/>
    <col min="12289" max="12289" width="10.7109375" style="25" customWidth="1"/>
    <col min="12290" max="12290" width="50.7109375" style="25" customWidth="1"/>
    <col min="12291" max="12291" width="15.5703125" style="25" customWidth="1"/>
    <col min="12292" max="12295" width="10.7109375" style="25" customWidth="1"/>
    <col min="12296" max="12297" width="12.7109375" style="25" customWidth="1"/>
    <col min="12298" max="12298" width="15.7109375" style="25" customWidth="1"/>
    <col min="12299" max="12299" width="40.7109375" style="25" customWidth="1"/>
    <col min="12300" max="12300" width="15.5703125" style="25" customWidth="1"/>
    <col min="12301" max="12544" width="9.140625" style="25"/>
    <col min="12545" max="12545" width="10.7109375" style="25" customWidth="1"/>
    <col min="12546" max="12546" width="50.7109375" style="25" customWidth="1"/>
    <col min="12547" max="12547" width="15.5703125" style="25" customWidth="1"/>
    <col min="12548" max="12551" width="10.7109375" style="25" customWidth="1"/>
    <col min="12552" max="12553" width="12.7109375" style="25" customWidth="1"/>
    <col min="12554" max="12554" width="15.7109375" style="25" customWidth="1"/>
    <col min="12555" max="12555" width="40.7109375" style="25" customWidth="1"/>
    <col min="12556" max="12556" width="15.5703125" style="25" customWidth="1"/>
    <col min="12557" max="12800" width="9.140625" style="25"/>
    <col min="12801" max="12801" width="10.7109375" style="25" customWidth="1"/>
    <col min="12802" max="12802" width="50.7109375" style="25" customWidth="1"/>
    <col min="12803" max="12803" width="15.5703125" style="25" customWidth="1"/>
    <col min="12804" max="12807" width="10.7109375" style="25" customWidth="1"/>
    <col min="12808" max="12809" width="12.7109375" style="25" customWidth="1"/>
    <col min="12810" max="12810" width="15.7109375" style="25" customWidth="1"/>
    <col min="12811" max="12811" width="40.7109375" style="25" customWidth="1"/>
    <col min="12812" max="12812" width="15.5703125" style="25" customWidth="1"/>
    <col min="12813" max="13056" width="9.140625" style="25"/>
    <col min="13057" max="13057" width="10.7109375" style="25" customWidth="1"/>
    <col min="13058" max="13058" width="50.7109375" style="25" customWidth="1"/>
    <col min="13059" max="13059" width="15.5703125" style="25" customWidth="1"/>
    <col min="13060" max="13063" width="10.7109375" style="25" customWidth="1"/>
    <col min="13064" max="13065" width="12.7109375" style="25" customWidth="1"/>
    <col min="13066" max="13066" width="15.7109375" style="25" customWidth="1"/>
    <col min="13067" max="13067" width="40.7109375" style="25" customWidth="1"/>
    <col min="13068" max="13068" width="15.5703125" style="25" customWidth="1"/>
    <col min="13069" max="13312" width="9.140625" style="25"/>
    <col min="13313" max="13313" width="10.7109375" style="25" customWidth="1"/>
    <col min="13314" max="13314" width="50.7109375" style="25" customWidth="1"/>
    <col min="13315" max="13315" width="15.5703125" style="25" customWidth="1"/>
    <col min="13316" max="13319" width="10.7109375" style="25" customWidth="1"/>
    <col min="13320" max="13321" width="12.7109375" style="25" customWidth="1"/>
    <col min="13322" max="13322" width="15.7109375" style="25" customWidth="1"/>
    <col min="13323" max="13323" width="40.7109375" style="25" customWidth="1"/>
    <col min="13324" max="13324" width="15.5703125" style="25" customWidth="1"/>
    <col min="13325" max="13568" width="9.140625" style="25"/>
    <col min="13569" max="13569" width="10.7109375" style="25" customWidth="1"/>
    <col min="13570" max="13570" width="50.7109375" style="25" customWidth="1"/>
    <col min="13571" max="13571" width="15.5703125" style="25" customWidth="1"/>
    <col min="13572" max="13575" width="10.7109375" style="25" customWidth="1"/>
    <col min="13576" max="13577" width="12.7109375" style="25" customWidth="1"/>
    <col min="13578" max="13578" width="15.7109375" style="25" customWidth="1"/>
    <col min="13579" max="13579" width="40.7109375" style="25" customWidth="1"/>
    <col min="13580" max="13580" width="15.5703125" style="25" customWidth="1"/>
    <col min="13581" max="13824" width="9.140625" style="25"/>
    <col min="13825" max="13825" width="10.7109375" style="25" customWidth="1"/>
    <col min="13826" max="13826" width="50.7109375" style="25" customWidth="1"/>
    <col min="13827" max="13827" width="15.5703125" style="25" customWidth="1"/>
    <col min="13828" max="13831" width="10.7109375" style="25" customWidth="1"/>
    <col min="13832" max="13833" width="12.7109375" style="25" customWidth="1"/>
    <col min="13834" max="13834" width="15.7109375" style="25" customWidth="1"/>
    <col min="13835" max="13835" width="40.7109375" style="25" customWidth="1"/>
    <col min="13836" max="13836" width="15.5703125" style="25" customWidth="1"/>
    <col min="13837" max="14080" width="9.140625" style="25"/>
    <col min="14081" max="14081" width="10.7109375" style="25" customWidth="1"/>
    <col min="14082" max="14082" width="50.7109375" style="25" customWidth="1"/>
    <col min="14083" max="14083" width="15.5703125" style="25" customWidth="1"/>
    <col min="14084" max="14087" width="10.7109375" style="25" customWidth="1"/>
    <col min="14088" max="14089" width="12.7109375" style="25" customWidth="1"/>
    <col min="14090" max="14090" width="15.7109375" style="25" customWidth="1"/>
    <col min="14091" max="14091" width="40.7109375" style="25" customWidth="1"/>
    <col min="14092" max="14092" width="15.5703125" style="25" customWidth="1"/>
    <col min="14093" max="14336" width="9.140625" style="25"/>
    <col min="14337" max="14337" width="10.7109375" style="25" customWidth="1"/>
    <col min="14338" max="14338" width="50.7109375" style="25" customWidth="1"/>
    <col min="14339" max="14339" width="15.5703125" style="25" customWidth="1"/>
    <col min="14340" max="14343" width="10.7109375" style="25" customWidth="1"/>
    <col min="14344" max="14345" width="12.7109375" style="25" customWidth="1"/>
    <col min="14346" max="14346" width="15.7109375" style="25" customWidth="1"/>
    <col min="14347" max="14347" width="40.7109375" style="25" customWidth="1"/>
    <col min="14348" max="14348" width="15.5703125" style="25" customWidth="1"/>
    <col min="14349" max="14592" width="9.140625" style="25"/>
    <col min="14593" max="14593" width="10.7109375" style="25" customWidth="1"/>
    <col min="14594" max="14594" width="50.7109375" style="25" customWidth="1"/>
    <col min="14595" max="14595" width="15.5703125" style="25" customWidth="1"/>
    <col min="14596" max="14599" width="10.7109375" style="25" customWidth="1"/>
    <col min="14600" max="14601" width="12.7109375" style="25" customWidth="1"/>
    <col min="14602" max="14602" width="15.7109375" style="25" customWidth="1"/>
    <col min="14603" max="14603" width="40.7109375" style="25" customWidth="1"/>
    <col min="14604" max="14604" width="15.5703125" style="25" customWidth="1"/>
    <col min="14605" max="14848" width="9.140625" style="25"/>
    <col min="14849" max="14849" width="10.7109375" style="25" customWidth="1"/>
    <col min="14850" max="14850" width="50.7109375" style="25" customWidth="1"/>
    <col min="14851" max="14851" width="15.5703125" style="25" customWidth="1"/>
    <col min="14852" max="14855" width="10.7109375" style="25" customWidth="1"/>
    <col min="14856" max="14857" width="12.7109375" style="25" customWidth="1"/>
    <col min="14858" max="14858" width="15.7109375" style="25" customWidth="1"/>
    <col min="14859" max="14859" width="40.7109375" style="25" customWidth="1"/>
    <col min="14860" max="14860" width="15.5703125" style="25" customWidth="1"/>
    <col min="14861" max="15104" width="9.140625" style="25"/>
    <col min="15105" max="15105" width="10.7109375" style="25" customWidth="1"/>
    <col min="15106" max="15106" width="50.7109375" style="25" customWidth="1"/>
    <col min="15107" max="15107" width="15.5703125" style="25" customWidth="1"/>
    <col min="15108" max="15111" width="10.7109375" style="25" customWidth="1"/>
    <col min="15112" max="15113" width="12.7109375" style="25" customWidth="1"/>
    <col min="15114" max="15114" width="15.7109375" style="25" customWidth="1"/>
    <col min="15115" max="15115" width="40.7109375" style="25" customWidth="1"/>
    <col min="15116" max="15116" width="15.5703125" style="25" customWidth="1"/>
    <col min="15117" max="15360" width="9.140625" style="25"/>
    <col min="15361" max="15361" width="10.7109375" style="25" customWidth="1"/>
    <col min="15362" max="15362" width="50.7109375" style="25" customWidth="1"/>
    <col min="15363" max="15363" width="15.5703125" style="25" customWidth="1"/>
    <col min="15364" max="15367" width="10.7109375" style="25" customWidth="1"/>
    <col min="15368" max="15369" width="12.7109375" style="25" customWidth="1"/>
    <col min="15370" max="15370" width="15.7109375" style="25" customWidth="1"/>
    <col min="15371" max="15371" width="40.7109375" style="25" customWidth="1"/>
    <col min="15372" max="15372" width="15.5703125" style="25" customWidth="1"/>
    <col min="15373" max="15616" width="9.140625" style="25"/>
    <col min="15617" max="15617" width="10.7109375" style="25" customWidth="1"/>
    <col min="15618" max="15618" width="50.7109375" style="25" customWidth="1"/>
    <col min="15619" max="15619" width="15.5703125" style="25" customWidth="1"/>
    <col min="15620" max="15623" width="10.7109375" style="25" customWidth="1"/>
    <col min="15624" max="15625" width="12.7109375" style="25" customWidth="1"/>
    <col min="15626" max="15626" width="15.7109375" style="25" customWidth="1"/>
    <col min="15627" max="15627" width="40.7109375" style="25" customWidth="1"/>
    <col min="15628" max="15628" width="15.5703125" style="25" customWidth="1"/>
    <col min="15629" max="15872" width="9.140625" style="25"/>
    <col min="15873" max="15873" width="10.7109375" style="25" customWidth="1"/>
    <col min="15874" max="15874" width="50.7109375" style="25" customWidth="1"/>
    <col min="15875" max="15875" width="15.5703125" style="25" customWidth="1"/>
    <col min="15876" max="15879" width="10.7109375" style="25" customWidth="1"/>
    <col min="15880" max="15881" width="12.7109375" style="25" customWidth="1"/>
    <col min="15882" max="15882" width="15.7109375" style="25" customWidth="1"/>
    <col min="15883" max="15883" width="40.7109375" style="25" customWidth="1"/>
    <col min="15884" max="15884" width="15.5703125" style="25" customWidth="1"/>
    <col min="15885" max="16128" width="9.140625" style="25"/>
    <col min="16129" max="16129" width="10.7109375" style="25" customWidth="1"/>
    <col min="16130" max="16130" width="50.7109375" style="25" customWidth="1"/>
    <col min="16131" max="16131" width="15.5703125" style="25" customWidth="1"/>
    <col min="16132" max="16135" width="10.7109375" style="25" customWidth="1"/>
    <col min="16136" max="16137" width="12.7109375" style="25" customWidth="1"/>
    <col min="16138" max="16138" width="15.7109375" style="25" customWidth="1"/>
    <col min="16139" max="16139" width="40.7109375" style="25" customWidth="1"/>
    <col min="16140" max="16140" width="15.5703125" style="25" customWidth="1"/>
    <col min="16141" max="16384" width="9.140625" style="25"/>
  </cols>
  <sheetData>
    <row r="1" spans="1:12" ht="69.95" customHeight="1" thickBot="1" x14ac:dyDescent="0.25">
      <c r="A1" s="966" t="s">
        <v>68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6"/>
    </row>
    <row r="2" spans="1:12" s="493" customFormat="1" ht="15.95" customHeight="1" thickTop="1" x14ac:dyDescent="0.25">
      <c r="A2" s="818" t="s">
        <v>1019</v>
      </c>
      <c r="B2" s="790">
        <f>Resources!C19</f>
        <v>0</v>
      </c>
      <c r="C2" s="791" t="s">
        <v>776</v>
      </c>
      <c r="D2" s="819">
        <f ca="1">COUNTIF($J$9:$J$105,"Deliverable Still In Progress")</f>
        <v>10</v>
      </c>
      <c r="E2" s="793"/>
      <c r="F2" s="794"/>
      <c r="G2" s="820"/>
      <c r="H2" s="795"/>
      <c r="I2" s="796"/>
      <c r="J2" s="795"/>
      <c r="K2" s="797"/>
      <c r="L2" s="492"/>
    </row>
    <row r="3" spans="1:12" s="493" customFormat="1" ht="15.95" customHeight="1" x14ac:dyDescent="0.25">
      <c r="A3" s="821" t="s">
        <v>1020</v>
      </c>
      <c r="B3" s="437">
        <f>Resources!E19</f>
        <v>0</v>
      </c>
      <c r="C3" s="438" t="s">
        <v>777</v>
      </c>
      <c r="D3" s="439">
        <f ca="1">COUNTIF($J$9:$J$105,"Deliverable Completed")</f>
        <v>0</v>
      </c>
      <c r="E3" s="449">
        <f ca="1">D3/D6</f>
        <v>0</v>
      </c>
      <c r="F3" s="441"/>
      <c r="G3" s="504"/>
      <c r="H3" s="454"/>
      <c r="I3" s="490"/>
      <c r="J3" s="454"/>
      <c r="K3" s="799"/>
      <c r="L3" s="492"/>
    </row>
    <row r="4" spans="1:12" s="493" customFormat="1" ht="15.95" customHeight="1" x14ac:dyDescent="0.25">
      <c r="A4" s="821" t="s">
        <v>1021</v>
      </c>
      <c r="B4" s="450"/>
      <c r="C4" s="438" t="s">
        <v>778</v>
      </c>
      <c r="D4" s="439">
        <f ca="1">D7-COUNTIF($J$9:$J$105,"completed")</f>
        <v>38</v>
      </c>
      <c r="E4" s="440"/>
      <c r="F4" s="441"/>
      <c r="G4" s="504"/>
      <c r="H4" s="454"/>
      <c r="I4" s="490"/>
      <c r="J4" s="454"/>
      <c r="K4" s="799"/>
      <c r="L4" s="492"/>
    </row>
    <row r="5" spans="1:12" s="493" customFormat="1" ht="15.95" customHeight="1" x14ac:dyDescent="0.25">
      <c r="A5" s="822"/>
      <c r="B5" s="450"/>
      <c r="C5" s="452" t="s">
        <v>779</v>
      </c>
      <c r="D5" s="439">
        <f ca="1">D7-D4</f>
        <v>0</v>
      </c>
      <c r="E5" s="449">
        <f ca="1">D5/D7</f>
        <v>0</v>
      </c>
      <c r="F5" s="441"/>
      <c r="G5" s="504"/>
      <c r="H5" s="454"/>
      <c r="I5" s="490"/>
      <c r="J5" s="454"/>
      <c r="K5" s="799"/>
      <c r="L5" s="492"/>
    </row>
    <row r="6" spans="1:12" s="493" customFormat="1" ht="15.95" customHeight="1" thickBot="1" x14ac:dyDescent="0.3">
      <c r="A6" s="822"/>
      <c r="B6" s="450"/>
      <c r="C6" s="452" t="s">
        <v>780</v>
      </c>
      <c r="D6" s="439">
        <f ca="1">D2+D3</f>
        <v>10</v>
      </c>
      <c r="E6" s="449"/>
      <c r="F6" s="441"/>
      <c r="G6" s="504"/>
      <c r="H6" s="454"/>
      <c r="I6" s="490"/>
      <c r="J6" s="454"/>
      <c r="K6" s="799"/>
      <c r="L6" s="492"/>
    </row>
    <row r="7" spans="1:12" s="493" customFormat="1" ht="15.95" customHeight="1" thickBot="1" x14ac:dyDescent="0.3">
      <c r="A7" s="822"/>
      <c r="B7" s="506"/>
      <c r="C7" s="452" t="s">
        <v>781</v>
      </c>
      <c r="D7" s="439">
        <f ca="1">COUNTA(B9:B93)-D6</f>
        <v>38</v>
      </c>
      <c r="E7" s="449"/>
      <c r="F7" s="544" t="s">
        <v>1017</v>
      </c>
      <c r="G7" s="504"/>
      <c r="H7" s="454"/>
      <c r="I7" s="490"/>
      <c r="J7" s="544" t="s">
        <v>1017</v>
      </c>
      <c r="K7" s="799"/>
      <c r="L7" s="492"/>
    </row>
    <row r="8" spans="1:12" s="127" customFormat="1" ht="47.25" x14ac:dyDescent="0.25">
      <c r="A8" s="803" t="s">
        <v>90</v>
      </c>
      <c r="B8" s="528" t="s">
        <v>91</v>
      </c>
      <c r="C8" s="495" t="s">
        <v>48</v>
      </c>
      <c r="D8" s="496" t="s">
        <v>92</v>
      </c>
      <c r="E8" s="496" t="s">
        <v>782</v>
      </c>
      <c r="F8" s="496" t="s">
        <v>783</v>
      </c>
      <c r="G8" s="529" t="s">
        <v>53</v>
      </c>
      <c r="H8" s="496" t="s">
        <v>95</v>
      </c>
      <c r="I8" s="496" t="s">
        <v>54</v>
      </c>
      <c r="J8" s="528" t="s">
        <v>55</v>
      </c>
      <c r="K8" s="804" t="s">
        <v>56</v>
      </c>
      <c r="L8" s="126"/>
    </row>
    <row r="9" spans="1:12" ht="14.25" customHeight="1" x14ac:dyDescent="0.2">
      <c r="A9" s="823"/>
      <c r="B9" s="520" t="s">
        <v>399</v>
      </c>
      <c r="C9" s="145"/>
      <c r="D9" s="172"/>
      <c r="E9" s="358"/>
      <c r="F9" s="137">
        <f ca="1">IF(ISBLANK(G9),IF(ISERROR(DAYS360(TODAY(),E9))," ",(DAYS360(TODAY(),E9))),E9-G9)</f>
        <v>-43388</v>
      </c>
      <c r="G9" s="154"/>
      <c r="H9" s="173"/>
      <c r="I9" s="145"/>
      <c r="J9" s="138" t="str">
        <f ca="1">IF(AND(J10="completed",J11="completed",J12="completed",J13="completed"),"Deliverable Completed","DELIVERABLE STILL IN PROGRESS")</f>
        <v>DELIVERABLE STILL IN PROGRESS</v>
      </c>
      <c r="K9" s="824"/>
    </row>
    <row r="10" spans="1:12" ht="15" x14ac:dyDescent="0.2">
      <c r="A10" s="825"/>
      <c r="B10" s="156"/>
      <c r="C10" s="39"/>
      <c r="D10" s="185"/>
      <c r="E10" s="521"/>
      <c r="F10" s="86">
        <f ca="1">IF(ISBLANK(G10),IF(ISERROR(DAYS360(TODAY(),E10))," ",(DAYS360(TODAY(),E10))),E10-G10)</f>
        <v>-43388</v>
      </c>
      <c r="G10" s="200"/>
      <c r="H10" s="38"/>
      <c r="I10" s="39"/>
      <c r="J10" s="40" t="str">
        <f t="shared" ref="J10:J64" ca="1" si="0">IF(G10&gt;0,"COMPLETED",(IF(I10&gt;0,"ISSUE IDENTIFIED",(IF(TODAY()&gt;E10,"OVERDUE","In Progress")))))</f>
        <v>OVERDUE</v>
      </c>
      <c r="K10" s="826"/>
    </row>
    <row r="11" spans="1:12" ht="15" x14ac:dyDescent="0.2">
      <c r="A11" s="825"/>
      <c r="B11" s="155"/>
      <c r="C11" s="39"/>
      <c r="D11" s="185"/>
      <c r="E11" s="521"/>
      <c r="F11" s="86">
        <f t="shared" ref="F11:F64" ca="1" si="1">IF(ISBLANK(G11),IF(ISERROR(DAYS360(TODAY(),E11))," ",(DAYS360(TODAY(),E11))),E11-G11)</f>
        <v>-43388</v>
      </c>
      <c r="G11" s="200"/>
      <c r="H11" s="38"/>
      <c r="I11" s="39"/>
      <c r="J11" s="40" t="str">
        <f t="shared" ca="1" si="0"/>
        <v>OVERDUE</v>
      </c>
      <c r="K11" s="826"/>
    </row>
    <row r="12" spans="1:12" ht="15" x14ac:dyDescent="0.2">
      <c r="A12" s="825"/>
      <c r="B12" s="155"/>
      <c r="C12" s="39"/>
      <c r="D12" s="185"/>
      <c r="E12" s="521"/>
      <c r="F12" s="86">
        <f t="shared" ca="1" si="1"/>
        <v>-43388</v>
      </c>
      <c r="G12" s="200"/>
      <c r="H12" s="38"/>
      <c r="I12" s="39"/>
      <c r="J12" s="40" t="str">
        <f t="shared" ca="1" si="0"/>
        <v>OVERDUE</v>
      </c>
      <c r="K12" s="826"/>
    </row>
    <row r="13" spans="1:12" ht="15" x14ac:dyDescent="0.2">
      <c r="A13" s="825"/>
      <c r="B13" s="165"/>
      <c r="C13" s="152"/>
      <c r="D13" s="174"/>
      <c r="E13" s="530"/>
      <c r="F13" s="90">
        <f t="shared" ca="1" si="1"/>
        <v>-43388</v>
      </c>
      <c r="G13" s="219"/>
      <c r="H13" s="175"/>
      <c r="I13" s="152"/>
      <c r="J13" s="153" t="str">
        <f t="shared" ca="1" si="0"/>
        <v>OVERDUE</v>
      </c>
      <c r="K13" s="827"/>
    </row>
    <row r="14" spans="1:12" ht="15" x14ac:dyDescent="0.2">
      <c r="A14" s="825"/>
      <c r="B14" s="520" t="s">
        <v>410</v>
      </c>
      <c r="C14" s="81"/>
      <c r="D14" s="171"/>
      <c r="E14" s="531"/>
      <c r="F14" s="89">
        <f t="shared" ca="1" si="1"/>
        <v>-43388</v>
      </c>
      <c r="G14" s="220"/>
      <c r="H14" s="116"/>
      <c r="I14" s="81"/>
      <c r="J14" s="141" t="str">
        <f ca="1">IF(AND(J15="completed",J16="completed",J17="completed",J18="completed"),"Deliverable Completed","DELIVERABLE STILL IN PROGRESS")</f>
        <v>DELIVERABLE STILL IN PROGRESS</v>
      </c>
      <c r="K14" s="826"/>
    </row>
    <row r="15" spans="1:12" ht="15" x14ac:dyDescent="0.2">
      <c r="A15" s="825"/>
      <c r="B15" s="146"/>
      <c r="C15" s="39"/>
      <c r="D15" s="185"/>
      <c r="E15" s="521"/>
      <c r="F15" s="86">
        <f t="shared" ca="1" si="1"/>
        <v>-43388</v>
      </c>
      <c r="G15" s="200"/>
      <c r="H15" s="38"/>
      <c r="I15" s="39"/>
      <c r="J15" s="100" t="str">
        <f t="shared" ref="J15:J17" ca="1" si="2">IF(G15&gt;0,"COMPLETED",(IF(I15&gt;0,"ISSUE IDENTIFIED",(IF(TODAY()&gt;E15,"OVERDUE","In Progress")))))</f>
        <v>OVERDUE</v>
      </c>
      <c r="K15" s="826"/>
    </row>
    <row r="16" spans="1:12" ht="15" x14ac:dyDescent="0.2">
      <c r="A16" s="825"/>
      <c r="B16" s="146"/>
      <c r="C16" s="39"/>
      <c r="D16" s="185"/>
      <c r="E16" s="521"/>
      <c r="F16" s="86">
        <f t="shared" ca="1" si="1"/>
        <v>-43388</v>
      </c>
      <c r="G16" s="200"/>
      <c r="H16" s="38"/>
      <c r="I16" s="39"/>
      <c r="J16" s="100" t="str">
        <f t="shared" ca="1" si="2"/>
        <v>OVERDUE</v>
      </c>
      <c r="K16" s="826"/>
    </row>
    <row r="17" spans="1:11" ht="15" x14ac:dyDescent="0.2">
      <c r="A17" s="825"/>
      <c r="B17" s="155"/>
      <c r="C17" s="39"/>
      <c r="D17" s="185"/>
      <c r="E17" s="521"/>
      <c r="F17" s="86">
        <f t="shared" ca="1" si="1"/>
        <v>-43388</v>
      </c>
      <c r="G17" s="200"/>
      <c r="H17" s="38"/>
      <c r="I17" s="39"/>
      <c r="J17" s="100" t="str">
        <f t="shared" ca="1" si="2"/>
        <v>OVERDUE</v>
      </c>
      <c r="K17" s="826"/>
    </row>
    <row r="18" spans="1:11" s="128" customFormat="1" ht="15" x14ac:dyDescent="0.2">
      <c r="A18" s="825"/>
      <c r="B18" s="155"/>
      <c r="C18" s="152"/>
      <c r="D18" s="186"/>
      <c r="E18" s="530"/>
      <c r="F18" s="90">
        <f t="shared" ca="1" si="1"/>
        <v>-43388</v>
      </c>
      <c r="G18" s="219"/>
      <c r="H18" s="175"/>
      <c r="I18" s="152"/>
      <c r="J18" s="263" t="str">
        <f ca="1">IF(G18&gt;0,"COMPLETED",(IF(I18&gt;0,"ISSUE IDENTIFIED",(IF(TODAY()&gt;E18,"OVERDUE","In Progress")))))</f>
        <v>OVERDUE</v>
      </c>
      <c r="K18" s="828"/>
    </row>
    <row r="19" spans="1:11" ht="15" x14ac:dyDescent="0.2">
      <c r="A19" s="825"/>
      <c r="B19" s="520" t="s">
        <v>411</v>
      </c>
      <c r="C19" s="81"/>
      <c r="D19" s="171"/>
      <c r="E19" s="531"/>
      <c r="F19" s="89">
        <f t="shared" ca="1" si="1"/>
        <v>-43388</v>
      </c>
      <c r="G19" s="220"/>
      <c r="H19" s="116"/>
      <c r="I19" s="81"/>
      <c r="J19" s="141" t="str">
        <f ca="1">IF(AND(J20="completed",J21="completed",J22="completed"),"Deliverable Completed","DELIVERABLE STILL IN PROGRESS")</f>
        <v>DELIVERABLE STILL IN PROGRESS</v>
      </c>
      <c r="K19" s="826"/>
    </row>
    <row r="20" spans="1:11" ht="15" x14ac:dyDescent="0.2">
      <c r="A20" s="825"/>
      <c r="B20" s="146" t="s">
        <v>412</v>
      </c>
      <c r="C20" s="39"/>
      <c r="D20" s="185"/>
      <c r="E20" s="521"/>
      <c r="F20" s="86">
        <f t="shared" ca="1" si="1"/>
        <v>-43388</v>
      </c>
      <c r="G20" s="200"/>
      <c r="H20" s="38"/>
      <c r="I20" s="39"/>
      <c r="J20" s="40" t="str">
        <f t="shared" ca="1" si="0"/>
        <v>OVERDUE</v>
      </c>
      <c r="K20" s="826"/>
    </row>
    <row r="21" spans="1:11" ht="15" x14ac:dyDescent="0.2">
      <c r="A21" s="825"/>
      <c r="B21" s="146" t="s">
        <v>413</v>
      </c>
      <c r="C21" s="39"/>
      <c r="D21" s="185"/>
      <c r="E21" s="521"/>
      <c r="F21" s="86">
        <f t="shared" ca="1" si="1"/>
        <v>-43388</v>
      </c>
      <c r="G21" s="200"/>
      <c r="H21" s="38"/>
      <c r="I21" s="39"/>
      <c r="J21" s="40" t="str">
        <f t="shared" ca="1" si="0"/>
        <v>OVERDUE</v>
      </c>
      <c r="K21" s="826"/>
    </row>
    <row r="22" spans="1:11" ht="15" x14ac:dyDescent="0.2">
      <c r="A22" s="825"/>
      <c r="B22" s="160" t="s">
        <v>1039</v>
      </c>
      <c r="C22" s="152"/>
      <c r="D22" s="174"/>
      <c r="E22" s="530"/>
      <c r="F22" s="90">
        <f t="shared" ca="1" si="1"/>
        <v>-43388</v>
      </c>
      <c r="G22" s="219"/>
      <c r="H22" s="175"/>
      <c r="I22" s="152"/>
      <c r="J22" s="153" t="str">
        <f t="shared" ca="1" si="0"/>
        <v>OVERDUE</v>
      </c>
      <c r="K22" s="827"/>
    </row>
    <row r="23" spans="1:11" ht="15" x14ac:dyDescent="0.2">
      <c r="A23" s="825"/>
      <c r="B23" s="520" t="s">
        <v>414</v>
      </c>
      <c r="C23" s="145"/>
      <c r="D23" s="172"/>
      <c r="E23" s="358"/>
      <c r="F23" s="137">
        <f t="shared" ca="1" si="1"/>
        <v>-43388</v>
      </c>
      <c r="G23" s="267"/>
      <c r="H23" s="173"/>
      <c r="I23" s="145"/>
      <c r="J23" s="138" t="str">
        <f ca="1">IF(AND(J24="completed",J25="completed",J26="completed",J27="completed"),"Deliverable Completed","DELIVERABLE STILL IN PROGRESS")</f>
        <v>DELIVERABLE STILL IN PROGRESS</v>
      </c>
      <c r="K23" s="829"/>
    </row>
    <row r="24" spans="1:11" ht="15" x14ac:dyDescent="0.2">
      <c r="A24" s="825"/>
      <c r="B24" s="146" t="s">
        <v>415</v>
      </c>
      <c r="C24" s="39"/>
      <c r="D24" s="185"/>
      <c r="E24" s="521"/>
      <c r="F24" s="86">
        <f t="shared" ca="1" si="1"/>
        <v>-43388</v>
      </c>
      <c r="G24" s="200"/>
      <c r="H24" s="38"/>
      <c r="I24" s="39"/>
      <c r="J24" s="40" t="str">
        <f t="shared" ca="1" si="0"/>
        <v>OVERDUE</v>
      </c>
      <c r="K24" s="826"/>
    </row>
    <row r="25" spans="1:11" ht="15" x14ac:dyDescent="0.2">
      <c r="A25" s="825"/>
      <c r="B25" s="146" t="s">
        <v>416</v>
      </c>
      <c r="C25" s="39"/>
      <c r="D25" s="185"/>
      <c r="E25" s="521"/>
      <c r="F25" s="86">
        <f t="shared" ca="1" si="1"/>
        <v>-43388</v>
      </c>
      <c r="G25" s="200"/>
      <c r="H25" s="38"/>
      <c r="I25" s="39"/>
      <c r="J25" s="40" t="str">
        <f t="shared" ca="1" si="0"/>
        <v>OVERDUE</v>
      </c>
      <c r="K25" s="826"/>
    </row>
    <row r="26" spans="1:11" ht="15" customHeight="1" x14ac:dyDescent="0.2">
      <c r="A26" s="825"/>
      <c r="B26" s="146" t="s">
        <v>417</v>
      </c>
      <c r="C26" s="39"/>
      <c r="D26" s="185"/>
      <c r="E26" s="521"/>
      <c r="F26" s="86">
        <f t="shared" ca="1" si="1"/>
        <v>-43388</v>
      </c>
      <c r="G26" s="200"/>
      <c r="H26" s="38"/>
      <c r="I26" s="39"/>
      <c r="J26" s="40" t="str">
        <f t="shared" ca="1" si="0"/>
        <v>OVERDUE</v>
      </c>
      <c r="K26" s="826"/>
    </row>
    <row r="27" spans="1:11" ht="15" x14ac:dyDescent="0.2">
      <c r="A27" s="825"/>
      <c r="B27" s="146" t="s">
        <v>1039</v>
      </c>
      <c r="C27" s="152"/>
      <c r="D27" s="186"/>
      <c r="E27" s="530"/>
      <c r="F27" s="90">
        <f t="shared" ca="1" si="1"/>
        <v>-43388</v>
      </c>
      <c r="G27" s="219"/>
      <c r="H27" s="175"/>
      <c r="I27" s="152"/>
      <c r="J27" s="153" t="str">
        <f t="shared" ca="1" si="0"/>
        <v>OVERDUE</v>
      </c>
      <c r="K27" s="827"/>
    </row>
    <row r="28" spans="1:11" ht="15" x14ac:dyDescent="0.2">
      <c r="A28" s="825"/>
      <c r="B28" s="520" t="s">
        <v>418</v>
      </c>
      <c r="C28" s="81"/>
      <c r="D28" s="171"/>
      <c r="E28" s="531"/>
      <c r="F28" s="89">
        <f t="shared" ca="1" si="1"/>
        <v>-43388</v>
      </c>
      <c r="G28" s="220"/>
      <c r="H28" s="116"/>
      <c r="I28" s="81"/>
      <c r="J28" s="141" t="str">
        <f ca="1">IF(AND(J29="completed",J30="completed",J31="completed",J32="completed",J33="completed",J34="completed",J35="completed"),"Deliverable Completed","DELIVERABLE STILL IN PROGRESS")</f>
        <v>DELIVERABLE STILL IN PROGRESS</v>
      </c>
      <c r="K28" s="826"/>
    </row>
    <row r="29" spans="1:11" ht="15" x14ac:dyDescent="0.2">
      <c r="A29" s="825"/>
      <c r="B29" s="192" t="s">
        <v>419</v>
      </c>
      <c r="C29" s="39"/>
      <c r="D29" s="185"/>
      <c r="E29" s="521"/>
      <c r="F29" s="86">
        <f t="shared" ca="1" si="1"/>
        <v>-43388</v>
      </c>
      <c r="G29" s="200"/>
      <c r="H29" s="38"/>
      <c r="I29" s="39"/>
      <c r="J29" s="40" t="str">
        <f t="shared" ref="J29:J35" ca="1" si="3">IF(G29&gt;0,"COMPLETED",(IF(I29&gt;0,"ISSUE IDENTIFIED",(IF(TODAY()&gt;E29,"OVERDUE","In Progress")))))</f>
        <v>OVERDUE</v>
      </c>
      <c r="K29" s="826"/>
    </row>
    <row r="30" spans="1:11" ht="15" x14ac:dyDescent="0.2">
      <c r="A30" s="825"/>
      <c r="B30" s="146" t="s">
        <v>420</v>
      </c>
      <c r="C30" s="39"/>
      <c r="D30" s="185"/>
      <c r="E30" s="521"/>
      <c r="F30" s="86">
        <f t="shared" ca="1" si="1"/>
        <v>-43388</v>
      </c>
      <c r="G30" s="200"/>
      <c r="H30" s="38"/>
      <c r="I30" s="39"/>
      <c r="J30" s="40" t="str">
        <f t="shared" ca="1" si="3"/>
        <v>OVERDUE</v>
      </c>
      <c r="K30" s="826"/>
    </row>
    <row r="31" spans="1:11" ht="15" x14ac:dyDescent="0.2">
      <c r="A31" s="825"/>
      <c r="B31" s="146" t="s">
        <v>421</v>
      </c>
      <c r="C31" s="39"/>
      <c r="D31" s="185"/>
      <c r="E31" s="521"/>
      <c r="F31" s="86">
        <f t="shared" ca="1" si="1"/>
        <v>-43388</v>
      </c>
      <c r="G31" s="200"/>
      <c r="H31" s="38"/>
      <c r="I31" s="39"/>
      <c r="J31" s="40" t="str">
        <f t="shared" ca="1" si="3"/>
        <v>OVERDUE</v>
      </c>
      <c r="K31" s="826"/>
    </row>
    <row r="32" spans="1:11" ht="15" x14ac:dyDescent="0.2">
      <c r="A32" s="825"/>
      <c r="B32" s="146" t="s">
        <v>422</v>
      </c>
      <c r="C32" s="39"/>
      <c r="D32" s="185"/>
      <c r="E32" s="521"/>
      <c r="F32" s="86">
        <f t="shared" ca="1" si="1"/>
        <v>-43388</v>
      </c>
      <c r="G32" s="200"/>
      <c r="H32" s="38"/>
      <c r="I32" s="39"/>
      <c r="J32" s="40" t="str">
        <f t="shared" ca="1" si="3"/>
        <v>OVERDUE</v>
      </c>
      <c r="K32" s="826"/>
    </row>
    <row r="33" spans="1:11" ht="15" x14ac:dyDescent="0.2">
      <c r="A33" s="825"/>
      <c r="B33" s="146" t="s">
        <v>423</v>
      </c>
      <c r="C33" s="39"/>
      <c r="D33" s="185"/>
      <c r="E33" s="521"/>
      <c r="F33" s="86">
        <f t="shared" ca="1" si="1"/>
        <v>-43388</v>
      </c>
      <c r="G33" s="200"/>
      <c r="H33" s="38"/>
      <c r="I33" s="39"/>
      <c r="J33" s="40" t="str">
        <f t="shared" ca="1" si="3"/>
        <v>OVERDUE</v>
      </c>
      <c r="K33" s="826"/>
    </row>
    <row r="34" spans="1:11" ht="15" x14ac:dyDescent="0.2">
      <c r="A34" s="825"/>
      <c r="B34" s="146" t="s">
        <v>424</v>
      </c>
      <c r="C34" s="39"/>
      <c r="D34" s="185"/>
      <c r="E34" s="521"/>
      <c r="F34" s="86">
        <f t="shared" ca="1" si="1"/>
        <v>-43388</v>
      </c>
      <c r="G34" s="200"/>
      <c r="H34" s="38"/>
      <c r="I34" s="39"/>
      <c r="J34" s="40" t="str">
        <f t="shared" ca="1" si="3"/>
        <v>OVERDUE</v>
      </c>
      <c r="K34" s="826"/>
    </row>
    <row r="35" spans="1:11" ht="16.5" customHeight="1" x14ac:dyDescent="0.2">
      <c r="A35" s="830"/>
      <c r="B35" s="160" t="s">
        <v>425</v>
      </c>
      <c r="C35" s="152"/>
      <c r="D35" s="174"/>
      <c r="E35" s="532"/>
      <c r="F35" s="90">
        <f t="shared" ca="1" si="1"/>
        <v>-43388</v>
      </c>
      <c r="G35" s="219"/>
      <c r="H35" s="175"/>
      <c r="I35" s="152"/>
      <c r="J35" s="153" t="str">
        <f t="shared" ca="1" si="3"/>
        <v>OVERDUE</v>
      </c>
      <c r="K35" s="827"/>
    </row>
    <row r="36" spans="1:11" ht="15" x14ac:dyDescent="0.2">
      <c r="A36" s="825"/>
      <c r="B36" s="520" t="s">
        <v>426</v>
      </c>
      <c r="C36" s="81"/>
      <c r="D36" s="171"/>
      <c r="E36" s="533"/>
      <c r="F36" s="89">
        <f t="shared" ref="F36:F53" ca="1" si="4">IF(ISBLANK(G36),IF(ISERROR(DAYS360(TODAY(),E36))," ",(DAYS360(TODAY(),E36))),E36-G36)</f>
        <v>-43388</v>
      </c>
      <c r="G36" s="220"/>
      <c r="H36" s="116"/>
      <c r="I36" s="81"/>
      <c r="J36" s="141" t="str">
        <f ca="1">IF(AND(J37="completed",J38="completed",J39="completed",J40="completed",J54="completed"),"Deliverable Completed","DELIVERABLE STILL IN PROGRESS")</f>
        <v>DELIVERABLE STILL IN PROGRESS</v>
      </c>
      <c r="K36" s="826"/>
    </row>
    <row r="37" spans="1:11" ht="15" x14ac:dyDescent="0.2">
      <c r="A37" s="825"/>
      <c r="B37" s="146" t="s">
        <v>427</v>
      </c>
      <c r="C37" s="39"/>
      <c r="D37" s="185"/>
      <c r="E37" s="521"/>
      <c r="F37" s="86">
        <f t="shared" ca="1" si="4"/>
        <v>-43388</v>
      </c>
      <c r="G37" s="200"/>
      <c r="H37" s="38"/>
      <c r="I37" s="39"/>
      <c r="J37" s="40" t="str">
        <f t="shared" ref="J37:J40" ca="1" si="5">IF(G37&gt;0,"COMPLETED",(IF(I37&gt;0,"ISSUE IDENTIFIED",(IF(TODAY()&gt;E37,"OVERDUE","In Progress")))))</f>
        <v>OVERDUE</v>
      </c>
      <c r="K37" s="826"/>
    </row>
    <row r="38" spans="1:11" ht="15" x14ac:dyDescent="0.2">
      <c r="A38" s="825"/>
      <c r="B38" s="146" t="s">
        <v>428</v>
      </c>
      <c r="C38" s="39"/>
      <c r="D38" s="185"/>
      <c r="E38" s="521"/>
      <c r="F38" s="86">
        <f t="shared" ca="1" si="4"/>
        <v>-43388</v>
      </c>
      <c r="G38" s="200"/>
      <c r="H38" s="38"/>
      <c r="I38" s="39"/>
      <c r="J38" s="40" t="str">
        <f t="shared" ca="1" si="5"/>
        <v>OVERDUE</v>
      </c>
      <c r="K38" s="831"/>
    </row>
    <row r="39" spans="1:11" ht="15" x14ac:dyDescent="0.2">
      <c r="A39" s="825"/>
      <c r="B39" s="146" t="s">
        <v>429</v>
      </c>
      <c r="C39" s="39"/>
      <c r="D39" s="185"/>
      <c r="E39" s="521"/>
      <c r="F39" s="86">
        <f t="shared" ca="1" si="4"/>
        <v>-43388</v>
      </c>
      <c r="G39" s="200"/>
      <c r="H39" s="38"/>
      <c r="I39" s="39"/>
      <c r="J39" s="40" t="str">
        <f t="shared" ca="1" si="5"/>
        <v>OVERDUE</v>
      </c>
      <c r="K39" s="826"/>
    </row>
    <row r="40" spans="1:11" ht="15" x14ac:dyDescent="0.2">
      <c r="A40" s="825"/>
      <c r="B40" s="147" t="s">
        <v>1039</v>
      </c>
      <c r="C40" s="152"/>
      <c r="D40" s="186"/>
      <c r="E40" s="530"/>
      <c r="F40" s="90">
        <f t="shared" ca="1" si="4"/>
        <v>-43388</v>
      </c>
      <c r="G40" s="219"/>
      <c r="H40" s="175"/>
      <c r="I40" s="152"/>
      <c r="J40" s="153" t="str">
        <f t="shared" ca="1" si="5"/>
        <v>OVERDUE</v>
      </c>
      <c r="K40" s="827"/>
    </row>
    <row r="41" spans="1:11" ht="15" x14ac:dyDescent="0.2">
      <c r="A41" s="825"/>
      <c r="B41" s="520" t="s">
        <v>430</v>
      </c>
      <c r="C41" s="81"/>
      <c r="D41" s="171"/>
      <c r="E41" s="531"/>
      <c r="F41" s="89">
        <f t="shared" ca="1" si="4"/>
        <v>-43388</v>
      </c>
      <c r="G41" s="220"/>
      <c r="H41" s="116"/>
      <c r="I41" s="81"/>
      <c r="J41" s="141" t="str">
        <f ca="1">IF(AND(J42="completed",J43="completed",J44="completed",J45="completed",J46="completed",J47="completed",J48="completed"),"Deliverable Completed","DELIVERABLE STILL IN PROGRESS")</f>
        <v>DELIVERABLE STILL IN PROGRESS</v>
      </c>
      <c r="K41" s="826"/>
    </row>
    <row r="42" spans="1:11" ht="15" x14ac:dyDescent="0.2">
      <c r="A42" s="825"/>
      <c r="B42" s="192" t="s">
        <v>431</v>
      </c>
      <c r="C42" s="39"/>
      <c r="D42" s="185"/>
      <c r="E42" s="521"/>
      <c r="F42" s="86">
        <f t="shared" ca="1" si="4"/>
        <v>-43388</v>
      </c>
      <c r="G42" s="200"/>
      <c r="H42" s="38"/>
      <c r="I42" s="39"/>
      <c r="J42" s="40" t="str">
        <f t="shared" ref="J42:J48" ca="1" si="6">IF(G42&gt;0,"COMPLETED",(IF(I42&gt;0,"ISSUE IDENTIFIED",(IF(TODAY()&gt;E42,"OVERDUE","In Progress")))))</f>
        <v>OVERDUE</v>
      </c>
      <c r="K42" s="826"/>
    </row>
    <row r="43" spans="1:11" ht="15" x14ac:dyDescent="0.2">
      <c r="A43" s="825"/>
      <c r="B43" s="146" t="s">
        <v>432</v>
      </c>
      <c r="C43" s="39"/>
      <c r="D43" s="185"/>
      <c r="E43" s="521"/>
      <c r="F43" s="86">
        <f t="shared" ca="1" si="4"/>
        <v>-43388</v>
      </c>
      <c r="G43" s="200"/>
      <c r="H43" s="38"/>
      <c r="I43" s="39"/>
      <c r="J43" s="40" t="str">
        <f t="shared" ca="1" si="6"/>
        <v>OVERDUE</v>
      </c>
      <c r="K43" s="826"/>
    </row>
    <row r="44" spans="1:11" ht="15" x14ac:dyDescent="0.2">
      <c r="A44" s="825"/>
      <c r="B44" s="146" t="s">
        <v>433</v>
      </c>
      <c r="C44" s="39"/>
      <c r="D44" s="185"/>
      <c r="E44" s="521"/>
      <c r="F44" s="86">
        <f t="shared" ca="1" si="4"/>
        <v>-43388</v>
      </c>
      <c r="G44" s="200"/>
      <c r="H44" s="38"/>
      <c r="I44" s="39"/>
      <c r="J44" s="40" t="str">
        <f t="shared" ca="1" si="6"/>
        <v>OVERDUE</v>
      </c>
      <c r="K44" s="826"/>
    </row>
    <row r="45" spans="1:11" ht="15" x14ac:dyDescent="0.2">
      <c r="A45" s="825"/>
      <c r="B45" s="146" t="s">
        <v>434</v>
      </c>
      <c r="C45" s="39"/>
      <c r="D45" s="185"/>
      <c r="E45" s="521"/>
      <c r="F45" s="86">
        <f t="shared" ca="1" si="4"/>
        <v>-43388</v>
      </c>
      <c r="G45" s="200"/>
      <c r="H45" s="38"/>
      <c r="I45" s="39"/>
      <c r="J45" s="40" t="str">
        <f t="shared" ca="1" si="6"/>
        <v>OVERDUE</v>
      </c>
      <c r="K45" s="826"/>
    </row>
    <row r="46" spans="1:11" ht="15" x14ac:dyDescent="0.2">
      <c r="A46" s="825"/>
      <c r="B46" s="146" t="s">
        <v>435</v>
      </c>
      <c r="C46" s="39"/>
      <c r="D46" s="185"/>
      <c r="E46" s="521"/>
      <c r="F46" s="86">
        <f t="shared" ca="1" si="4"/>
        <v>-43388</v>
      </c>
      <c r="G46" s="200"/>
      <c r="H46" s="38"/>
      <c r="I46" s="39"/>
      <c r="J46" s="40" t="str">
        <f t="shared" ca="1" si="6"/>
        <v>OVERDUE</v>
      </c>
      <c r="K46" s="826"/>
    </row>
    <row r="47" spans="1:11" ht="15" x14ac:dyDescent="0.2">
      <c r="A47" s="825"/>
      <c r="B47" s="146" t="s">
        <v>436</v>
      </c>
      <c r="C47" s="39"/>
      <c r="D47" s="185"/>
      <c r="E47" s="521"/>
      <c r="F47" s="86">
        <f t="shared" ca="1" si="4"/>
        <v>-43388</v>
      </c>
      <c r="G47" s="200"/>
      <c r="H47" s="38"/>
      <c r="I47" s="39"/>
      <c r="J47" s="40" t="str">
        <f t="shared" ca="1" si="6"/>
        <v>OVERDUE</v>
      </c>
      <c r="K47" s="826"/>
    </row>
    <row r="48" spans="1:11" ht="16.5" customHeight="1" x14ac:dyDescent="0.2">
      <c r="A48" s="830"/>
      <c r="B48" s="160" t="s">
        <v>437</v>
      </c>
      <c r="C48" s="152"/>
      <c r="D48" s="174"/>
      <c r="E48" s="532"/>
      <c r="F48" s="90">
        <f t="shared" ca="1" si="4"/>
        <v>-43388</v>
      </c>
      <c r="G48" s="219"/>
      <c r="H48" s="175"/>
      <c r="I48" s="152"/>
      <c r="J48" s="153" t="str">
        <f t="shared" ca="1" si="6"/>
        <v>OVERDUE</v>
      </c>
      <c r="K48" s="827"/>
    </row>
    <row r="49" spans="1:11" ht="15" x14ac:dyDescent="0.2">
      <c r="A49" s="825"/>
      <c r="B49" s="520" t="s">
        <v>438</v>
      </c>
      <c r="C49" s="145"/>
      <c r="D49" s="172"/>
      <c r="E49" s="358"/>
      <c r="F49" s="137">
        <f t="shared" ca="1" si="4"/>
        <v>-43388</v>
      </c>
      <c r="G49" s="267"/>
      <c r="H49" s="173"/>
      <c r="I49" s="145"/>
      <c r="J49" s="138" t="str">
        <f ca="1">IF(AND(J50="completed",J51="completed",J52="completed",J53="completed"),"Deliverable Completed","DELIVERABLE STILL IN PROGRESS")</f>
        <v>DELIVERABLE STILL IN PROGRESS</v>
      </c>
      <c r="K49" s="829"/>
    </row>
    <row r="50" spans="1:11" ht="15" x14ac:dyDescent="0.2">
      <c r="A50" s="825"/>
      <c r="B50" s="146" t="s">
        <v>439</v>
      </c>
      <c r="C50" s="39"/>
      <c r="D50" s="185"/>
      <c r="E50" s="521"/>
      <c r="F50" s="86">
        <f t="shared" ca="1" si="4"/>
        <v>-43388</v>
      </c>
      <c r="G50" s="200"/>
      <c r="H50" s="38"/>
      <c r="I50" s="39"/>
      <c r="J50" s="40" t="str">
        <f t="shared" ref="J50:J53" ca="1" si="7">IF(G50&gt;0,"COMPLETED",(IF(I50&gt;0,"ISSUE IDENTIFIED",(IF(TODAY()&gt;E50,"OVERDUE","In Progress")))))</f>
        <v>OVERDUE</v>
      </c>
      <c r="K50" s="826"/>
    </row>
    <row r="51" spans="1:11" ht="15" x14ac:dyDescent="0.2">
      <c r="A51" s="825"/>
      <c r="B51" s="146" t="s">
        <v>440</v>
      </c>
      <c r="C51" s="39"/>
      <c r="D51" s="185"/>
      <c r="E51" s="521"/>
      <c r="F51" s="86">
        <f t="shared" ca="1" si="4"/>
        <v>-43388</v>
      </c>
      <c r="G51" s="200"/>
      <c r="H51" s="38"/>
      <c r="I51" s="39"/>
      <c r="J51" s="40" t="str">
        <f t="shared" ca="1" si="7"/>
        <v>OVERDUE</v>
      </c>
      <c r="K51" s="826"/>
    </row>
    <row r="52" spans="1:11" ht="15" customHeight="1" x14ac:dyDescent="0.2">
      <c r="A52" s="825"/>
      <c r="B52" s="146" t="s">
        <v>441</v>
      </c>
      <c r="C52" s="39"/>
      <c r="D52" s="185"/>
      <c r="E52" s="521"/>
      <c r="F52" s="86">
        <f t="shared" ca="1" si="4"/>
        <v>-43388</v>
      </c>
      <c r="G52" s="200"/>
      <c r="H52" s="38"/>
      <c r="I52" s="39"/>
      <c r="J52" s="40" t="str">
        <f t="shared" ca="1" si="7"/>
        <v>OVERDUE</v>
      </c>
      <c r="K52" s="826"/>
    </row>
    <row r="53" spans="1:11" ht="15" x14ac:dyDescent="0.2">
      <c r="A53" s="825"/>
      <c r="B53" s="146" t="s">
        <v>442</v>
      </c>
      <c r="C53" s="152"/>
      <c r="D53" s="186"/>
      <c r="E53" s="530"/>
      <c r="F53" s="90">
        <f t="shared" ca="1" si="4"/>
        <v>-43388</v>
      </c>
      <c r="G53" s="219"/>
      <c r="H53" s="175"/>
      <c r="I53" s="152"/>
      <c r="J53" s="153" t="str">
        <f t="shared" ca="1" si="7"/>
        <v>OVERDUE</v>
      </c>
      <c r="K53" s="827"/>
    </row>
    <row r="54" spans="1:11" ht="15" x14ac:dyDescent="0.2">
      <c r="A54" s="825"/>
      <c r="B54" s="520" t="s">
        <v>443</v>
      </c>
      <c r="C54" s="81"/>
      <c r="D54" s="171"/>
      <c r="E54" s="533"/>
      <c r="F54" s="89">
        <f t="shared" ca="1" si="1"/>
        <v>-43388</v>
      </c>
      <c r="G54" s="220"/>
      <c r="H54" s="116"/>
      <c r="I54" s="81"/>
      <c r="J54" s="141" t="str">
        <f ca="1">IF(AND(J55="completed",J56="completed",J57="completed",J58="completed",J59="completed"),"Deliverable Completed","DELIVERABLE STILL IN PROGRESS")</f>
        <v>DELIVERABLE STILL IN PROGRESS</v>
      </c>
      <c r="K54" s="826"/>
    </row>
    <row r="55" spans="1:11" ht="15" x14ac:dyDescent="0.2">
      <c r="A55" s="825"/>
      <c r="B55" s="146" t="s">
        <v>444</v>
      </c>
      <c r="C55" s="39"/>
      <c r="D55" s="185"/>
      <c r="E55" s="521"/>
      <c r="F55" s="86">
        <f t="shared" ca="1" si="1"/>
        <v>-43388</v>
      </c>
      <c r="G55" s="200"/>
      <c r="H55" s="38"/>
      <c r="I55" s="39"/>
      <c r="J55" s="40" t="str">
        <f t="shared" ca="1" si="0"/>
        <v>OVERDUE</v>
      </c>
      <c r="K55" s="826"/>
    </row>
    <row r="56" spans="1:11" ht="15" x14ac:dyDescent="0.2">
      <c r="A56" s="825"/>
      <c r="B56" s="146" t="s">
        <v>445</v>
      </c>
      <c r="C56" s="39"/>
      <c r="D56" s="185"/>
      <c r="E56" s="521"/>
      <c r="F56" s="86">
        <f t="shared" ca="1" si="1"/>
        <v>-43388</v>
      </c>
      <c r="G56" s="200"/>
      <c r="H56" s="38"/>
      <c r="I56" s="39"/>
      <c r="J56" s="40" t="str">
        <f t="shared" ca="1" si="0"/>
        <v>OVERDUE</v>
      </c>
      <c r="K56" s="826"/>
    </row>
    <row r="57" spans="1:11" ht="15" x14ac:dyDescent="0.2">
      <c r="A57" s="825"/>
      <c r="B57" s="146" t="s">
        <v>446</v>
      </c>
      <c r="C57" s="39"/>
      <c r="D57" s="185"/>
      <c r="E57" s="521"/>
      <c r="F57" s="86">
        <f t="shared" ca="1" si="1"/>
        <v>-43388</v>
      </c>
      <c r="G57" s="200"/>
      <c r="H57" s="38"/>
      <c r="I57" s="39"/>
      <c r="J57" s="40" t="str">
        <f t="shared" ca="1" si="0"/>
        <v>OVERDUE</v>
      </c>
      <c r="K57" s="826"/>
    </row>
    <row r="58" spans="1:11" ht="15" x14ac:dyDescent="0.2">
      <c r="A58" s="825"/>
      <c r="B58" s="147" t="s">
        <v>447</v>
      </c>
      <c r="C58" s="216"/>
      <c r="D58" s="534"/>
      <c r="E58" s="535"/>
      <c r="F58" s="86">
        <f t="shared" ca="1" si="1"/>
        <v>-43388</v>
      </c>
      <c r="G58" s="266"/>
      <c r="H58" s="215"/>
      <c r="I58" s="216"/>
      <c r="J58" s="40" t="str">
        <f t="shared" ca="1" si="0"/>
        <v>OVERDUE</v>
      </c>
      <c r="K58" s="832"/>
    </row>
    <row r="59" spans="1:11" ht="15" x14ac:dyDescent="0.2">
      <c r="A59" s="825"/>
      <c r="B59" s="147" t="s">
        <v>448</v>
      </c>
      <c r="C59" s="216"/>
      <c r="D59" s="186"/>
      <c r="E59" s="530"/>
      <c r="F59" s="139">
        <f t="shared" ca="1" si="1"/>
        <v>-43388</v>
      </c>
      <c r="G59" s="219"/>
      <c r="H59" s="215"/>
      <c r="I59" s="216"/>
      <c r="J59" s="105" t="str">
        <f t="shared" ca="1" si="0"/>
        <v>OVERDUE</v>
      </c>
      <c r="K59" s="832"/>
    </row>
    <row r="60" spans="1:11" ht="15" x14ac:dyDescent="0.2">
      <c r="A60" s="825"/>
      <c r="B60" s="520" t="s">
        <v>449</v>
      </c>
      <c r="C60" s="145"/>
      <c r="D60" s="171"/>
      <c r="E60" s="533"/>
      <c r="F60" s="217">
        <f t="shared" ca="1" si="1"/>
        <v>-43388</v>
      </c>
      <c r="G60" s="177"/>
      <c r="H60" s="178"/>
      <c r="I60" s="180"/>
      <c r="J60" s="138" t="str">
        <f ca="1">IF(AND(J61="completed",J62="completed",J63="completed",J64="completed"),"Deliverable Completed","DELIVERABLE STILL IN PROGRESS")</f>
        <v>DELIVERABLE STILL IN PROGRESS</v>
      </c>
      <c r="K60" s="824"/>
    </row>
    <row r="61" spans="1:11" ht="15" x14ac:dyDescent="0.2">
      <c r="A61" s="825"/>
      <c r="B61" s="146" t="s">
        <v>450</v>
      </c>
      <c r="C61" s="39"/>
      <c r="D61" s="185"/>
      <c r="E61" s="521"/>
      <c r="F61" s="86">
        <f t="shared" ca="1" si="1"/>
        <v>-43388</v>
      </c>
      <c r="G61" s="200"/>
      <c r="H61" s="38"/>
      <c r="I61" s="38"/>
      <c r="J61" s="40" t="str">
        <f t="shared" ca="1" si="0"/>
        <v>OVERDUE</v>
      </c>
      <c r="K61" s="826"/>
    </row>
    <row r="62" spans="1:11" ht="15" x14ac:dyDescent="0.2">
      <c r="A62" s="825"/>
      <c r="B62" s="146" t="s">
        <v>451</v>
      </c>
      <c r="C62" s="39"/>
      <c r="D62" s="185"/>
      <c r="E62" s="521"/>
      <c r="F62" s="86">
        <f t="shared" ca="1" si="1"/>
        <v>-43388</v>
      </c>
      <c r="G62" s="200"/>
      <c r="H62" s="38"/>
      <c r="I62" s="38"/>
      <c r="J62" s="40" t="str">
        <f t="shared" ca="1" si="0"/>
        <v>OVERDUE</v>
      </c>
      <c r="K62" s="826"/>
    </row>
    <row r="63" spans="1:11" ht="15" x14ac:dyDescent="0.2">
      <c r="A63" s="825"/>
      <c r="B63" s="146" t="s">
        <v>452</v>
      </c>
      <c r="C63" s="39"/>
      <c r="D63" s="185"/>
      <c r="E63" s="521"/>
      <c r="F63" s="86">
        <f t="shared" ca="1" si="1"/>
        <v>-43388</v>
      </c>
      <c r="G63" s="200"/>
      <c r="H63" s="38"/>
      <c r="I63" s="38"/>
      <c r="J63" s="40" t="str">
        <f t="shared" ca="1" si="0"/>
        <v>OVERDUE</v>
      </c>
      <c r="K63" s="826"/>
    </row>
    <row r="64" spans="1:11" ht="15.75" thickBot="1" x14ac:dyDescent="0.25">
      <c r="A64" s="833"/>
      <c r="B64" s="834" t="s">
        <v>1039</v>
      </c>
      <c r="C64" s="835"/>
      <c r="D64" s="836"/>
      <c r="E64" s="837"/>
      <c r="F64" s="838">
        <f t="shared" ca="1" si="1"/>
        <v>-43388</v>
      </c>
      <c r="G64" s="839"/>
      <c r="H64" s="835"/>
      <c r="I64" s="840"/>
      <c r="J64" s="841" t="str">
        <f t="shared" ca="1" si="0"/>
        <v>OVERDUE</v>
      </c>
      <c r="K64" s="842"/>
    </row>
    <row r="65" spans="1:11" ht="13.5" thickTop="1" x14ac:dyDescent="0.2">
      <c r="A65" s="3"/>
      <c r="B65" s="7"/>
      <c r="C65" s="3"/>
      <c r="D65" s="110"/>
      <c r="E65" s="110"/>
      <c r="F65" s="4"/>
      <c r="G65" s="133"/>
      <c r="H65" s="3"/>
      <c r="I65" s="7"/>
      <c r="J65" s="3"/>
      <c r="K65" s="3"/>
    </row>
    <row r="66" spans="1:11" x14ac:dyDescent="0.2">
      <c r="A66" s="3"/>
      <c r="B66" s="7"/>
      <c r="C66" s="3"/>
      <c r="D66" s="110"/>
      <c r="E66" s="110"/>
      <c r="F66" s="4"/>
      <c r="G66" s="133"/>
      <c r="H66" s="3"/>
      <c r="I66" s="7"/>
      <c r="J66" s="3"/>
      <c r="K66" s="3"/>
    </row>
  </sheetData>
  <sheetProtection algorithmName="SHA-512" hashValue="SvxP5tW/Gx9URcftB6ctD8mknGpXwX57M1QvplmHzpThM288IF6enRSL4t80TQRr1VtgE2tlH0v8w/gDIBmbJA==" saltValue="pwUAJeJuKHQYYFOh17adtA==" spinCount="100000" sheet="1" insertRows="0" deleteRows="0" sort="0" autoFilter="0"/>
  <mergeCells count="1">
    <mergeCell ref="A1:K1"/>
  </mergeCells>
  <conditionalFormatting sqref="F9:F150">
    <cfRule type="cellIs" dxfId="83" priority="2" stopIfTrue="1" operator="lessThan">
      <formula>-1000</formula>
    </cfRule>
  </conditionalFormatting>
  <conditionalFormatting sqref="D9:E64">
    <cfRule type="cellIs" dxfId="82" priority="1" operator="equal">
      <formula>0</formula>
    </cfRule>
  </conditionalFormatting>
  <conditionalFormatting sqref="J9:J150">
    <cfRule type="containsText" dxfId="81" priority="3" operator="containsText" text="DELIVERABLE STILL IN PROGRESS">
      <formula>NOT(ISERROR(SEARCH("DELIVERABLE STILL IN PROGRESS",J9)))</formula>
    </cfRule>
    <cfRule type="containsText" dxfId="80" priority="4" operator="containsText" text="DELIVERABLE COMPLETED">
      <formula>NOT(ISERROR(SEARCH("DELIVERABLE COMPLETED",J9)))</formula>
    </cfRule>
    <cfRule type="cellIs" dxfId="79" priority="5" stopIfTrue="1" operator="equal">
      <formula>"OVERDUE"</formula>
    </cfRule>
    <cfRule type="cellIs" dxfId="78" priority="6" stopIfTrue="1" operator="equal">
      <formula>"COMPLETED"</formula>
    </cfRule>
    <cfRule type="cellIs" dxfId="77" priority="7" stopIfTrue="1" operator="equal">
      <formula>"ISSUE IDENTIFIED"</formula>
    </cfRule>
  </conditionalFormatting>
  <printOptions horizontalCentered="1"/>
  <pageMargins left="0.25" right="0.25" top="0.5" bottom="0.75" header="0.25" footer="0.5"/>
  <pageSetup scale="46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>
    <tabColor rgb="FF0C3964"/>
    <pageSetUpPr fitToPage="1"/>
  </sheetPr>
  <dimension ref="A1:L48"/>
  <sheetViews>
    <sheetView showGridLines="0" zoomScaleNormal="100" workbookViewId="0">
      <pane xSplit="3" ySplit="8" topLeftCell="D41" activePane="bottomRight" state="frozen"/>
      <selection pane="topRight" activeCell="D1" sqref="D1"/>
      <selection pane="bottomLeft" activeCell="A9" sqref="A9"/>
      <selection pane="bottomRight" activeCell="B44" sqref="B44"/>
    </sheetView>
  </sheetViews>
  <sheetFormatPr defaultRowHeight="12.75" x14ac:dyDescent="0.2"/>
  <cols>
    <col min="1" max="1" width="18.42578125" style="25" bestFit="1" customWidth="1"/>
    <col min="2" max="2" width="87.7109375" style="27" customWidth="1"/>
    <col min="3" max="3" width="33.5703125" style="25" bestFit="1" customWidth="1"/>
    <col min="4" max="5" width="13.7109375" style="111" customWidth="1"/>
    <col min="6" max="6" width="13.7109375" style="5" customWidth="1"/>
    <col min="7" max="7" width="13.7109375" style="221" customWidth="1"/>
    <col min="8" max="8" width="14.5703125" style="25" bestFit="1" customWidth="1"/>
    <col min="9" max="9" width="12.7109375" style="27" customWidth="1"/>
    <col min="10" max="10" width="26" style="25" bestFit="1" customWidth="1"/>
    <col min="11" max="11" width="40.7109375" style="25" customWidth="1"/>
    <col min="12" max="12" width="15.5703125" style="25" customWidth="1"/>
    <col min="13" max="256" width="9.140625" style="25"/>
    <col min="257" max="257" width="10.7109375" style="25" customWidth="1"/>
    <col min="258" max="258" width="50.7109375" style="25" customWidth="1"/>
    <col min="259" max="259" width="15.5703125" style="25" customWidth="1"/>
    <col min="260" max="263" width="10.7109375" style="25" customWidth="1"/>
    <col min="264" max="265" width="12.7109375" style="25" customWidth="1"/>
    <col min="266" max="266" width="15.7109375" style="25" customWidth="1"/>
    <col min="267" max="267" width="40.7109375" style="25" customWidth="1"/>
    <col min="268" max="268" width="15.5703125" style="25" customWidth="1"/>
    <col min="269" max="512" width="9.140625" style="25"/>
    <col min="513" max="513" width="10.7109375" style="25" customWidth="1"/>
    <col min="514" max="514" width="50.7109375" style="25" customWidth="1"/>
    <col min="515" max="515" width="15.5703125" style="25" customWidth="1"/>
    <col min="516" max="519" width="10.7109375" style="25" customWidth="1"/>
    <col min="520" max="521" width="12.7109375" style="25" customWidth="1"/>
    <col min="522" max="522" width="15.7109375" style="25" customWidth="1"/>
    <col min="523" max="523" width="40.7109375" style="25" customWidth="1"/>
    <col min="524" max="524" width="15.5703125" style="25" customWidth="1"/>
    <col min="525" max="768" width="9.140625" style="25"/>
    <col min="769" max="769" width="10.7109375" style="25" customWidth="1"/>
    <col min="770" max="770" width="50.7109375" style="25" customWidth="1"/>
    <col min="771" max="771" width="15.5703125" style="25" customWidth="1"/>
    <col min="772" max="775" width="10.7109375" style="25" customWidth="1"/>
    <col min="776" max="777" width="12.7109375" style="25" customWidth="1"/>
    <col min="778" max="778" width="15.7109375" style="25" customWidth="1"/>
    <col min="779" max="779" width="40.7109375" style="25" customWidth="1"/>
    <col min="780" max="780" width="15.5703125" style="25" customWidth="1"/>
    <col min="781" max="1024" width="9.140625" style="25"/>
    <col min="1025" max="1025" width="10.7109375" style="25" customWidth="1"/>
    <col min="1026" max="1026" width="50.7109375" style="25" customWidth="1"/>
    <col min="1027" max="1027" width="15.5703125" style="25" customWidth="1"/>
    <col min="1028" max="1031" width="10.7109375" style="25" customWidth="1"/>
    <col min="1032" max="1033" width="12.7109375" style="25" customWidth="1"/>
    <col min="1034" max="1034" width="15.7109375" style="25" customWidth="1"/>
    <col min="1035" max="1035" width="40.7109375" style="25" customWidth="1"/>
    <col min="1036" max="1036" width="15.5703125" style="25" customWidth="1"/>
    <col min="1037" max="1280" width="9.140625" style="25"/>
    <col min="1281" max="1281" width="10.7109375" style="25" customWidth="1"/>
    <col min="1282" max="1282" width="50.7109375" style="25" customWidth="1"/>
    <col min="1283" max="1283" width="15.5703125" style="25" customWidth="1"/>
    <col min="1284" max="1287" width="10.7109375" style="25" customWidth="1"/>
    <col min="1288" max="1289" width="12.7109375" style="25" customWidth="1"/>
    <col min="1290" max="1290" width="15.7109375" style="25" customWidth="1"/>
    <col min="1291" max="1291" width="40.7109375" style="25" customWidth="1"/>
    <col min="1292" max="1292" width="15.5703125" style="25" customWidth="1"/>
    <col min="1293" max="1536" width="9.140625" style="25"/>
    <col min="1537" max="1537" width="10.7109375" style="25" customWidth="1"/>
    <col min="1538" max="1538" width="50.7109375" style="25" customWidth="1"/>
    <col min="1539" max="1539" width="15.5703125" style="25" customWidth="1"/>
    <col min="1540" max="1543" width="10.7109375" style="25" customWidth="1"/>
    <col min="1544" max="1545" width="12.7109375" style="25" customWidth="1"/>
    <col min="1546" max="1546" width="15.7109375" style="25" customWidth="1"/>
    <col min="1547" max="1547" width="40.7109375" style="25" customWidth="1"/>
    <col min="1548" max="1548" width="15.5703125" style="25" customWidth="1"/>
    <col min="1549" max="1792" width="9.140625" style="25"/>
    <col min="1793" max="1793" width="10.7109375" style="25" customWidth="1"/>
    <col min="1794" max="1794" width="50.7109375" style="25" customWidth="1"/>
    <col min="1795" max="1795" width="15.5703125" style="25" customWidth="1"/>
    <col min="1796" max="1799" width="10.7109375" style="25" customWidth="1"/>
    <col min="1800" max="1801" width="12.7109375" style="25" customWidth="1"/>
    <col min="1802" max="1802" width="15.7109375" style="25" customWidth="1"/>
    <col min="1803" max="1803" width="40.7109375" style="25" customWidth="1"/>
    <col min="1804" max="1804" width="15.5703125" style="25" customWidth="1"/>
    <col min="1805" max="2048" width="9.140625" style="25"/>
    <col min="2049" max="2049" width="10.7109375" style="25" customWidth="1"/>
    <col min="2050" max="2050" width="50.7109375" style="25" customWidth="1"/>
    <col min="2051" max="2051" width="15.5703125" style="25" customWidth="1"/>
    <col min="2052" max="2055" width="10.7109375" style="25" customWidth="1"/>
    <col min="2056" max="2057" width="12.7109375" style="25" customWidth="1"/>
    <col min="2058" max="2058" width="15.7109375" style="25" customWidth="1"/>
    <col min="2059" max="2059" width="40.7109375" style="25" customWidth="1"/>
    <col min="2060" max="2060" width="15.5703125" style="25" customWidth="1"/>
    <col min="2061" max="2304" width="9.140625" style="25"/>
    <col min="2305" max="2305" width="10.7109375" style="25" customWidth="1"/>
    <col min="2306" max="2306" width="50.7109375" style="25" customWidth="1"/>
    <col min="2307" max="2307" width="15.5703125" style="25" customWidth="1"/>
    <col min="2308" max="2311" width="10.7109375" style="25" customWidth="1"/>
    <col min="2312" max="2313" width="12.7109375" style="25" customWidth="1"/>
    <col min="2314" max="2314" width="15.7109375" style="25" customWidth="1"/>
    <col min="2315" max="2315" width="40.7109375" style="25" customWidth="1"/>
    <col min="2316" max="2316" width="15.5703125" style="25" customWidth="1"/>
    <col min="2317" max="2560" width="9.140625" style="25"/>
    <col min="2561" max="2561" width="10.7109375" style="25" customWidth="1"/>
    <col min="2562" max="2562" width="50.7109375" style="25" customWidth="1"/>
    <col min="2563" max="2563" width="15.5703125" style="25" customWidth="1"/>
    <col min="2564" max="2567" width="10.7109375" style="25" customWidth="1"/>
    <col min="2568" max="2569" width="12.7109375" style="25" customWidth="1"/>
    <col min="2570" max="2570" width="15.7109375" style="25" customWidth="1"/>
    <col min="2571" max="2571" width="40.7109375" style="25" customWidth="1"/>
    <col min="2572" max="2572" width="15.5703125" style="25" customWidth="1"/>
    <col min="2573" max="2816" width="9.140625" style="25"/>
    <col min="2817" max="2817" width="10.7109375" style="25" customWidth="1"/>
    <col min="2818" max="2818" width="50.7109375" style="25" customWidth="1"/>
    <col min="2819" max="2819" width="15.5703125" style="25" customWidth="1"/>
    <col min="2820" max="2823" width="10.7109375" style="25" customWidth="1"/>
    <col min="2824" max="2825" width="12.7109375" style="25" customWidth="1"/>
    <col min="2826" max="2826" width="15.7109375" style="25" customWidth="1"/>
    <col min="2827" max="2827" width="40.7109375" style="25" customWidth="1"/>
    <col min="2828" max="2828" width="15.5703125" style="25" customWidth="1"/>
    <col min="2829" max="3072" width="9.140625" style="25"/>
    <col min="3073" max="3073" width="10.7109375" style="25" customWidth="1"/>
    <col min="3074" max="3074" width="50.7109375" style="25" customWidth="1"/>
    <col min="3075" max="3075" width="15.5703125" style="25" customWidth="1"/>
    <col min="3076" max="3079" width="10.7109375" style="25" customWidth="1"/>
    <col min="3080" max="3081" width="12.7109375" style="25" customWidth="1"/>
    <col min="3082" max="3082" width="15.7109375" style="25" customWidth="1"/>
    <col min="3083" max="3083" width="40.7109375" style="25" customWidth="1"/>
    <col min="3084" max="3084" width="15.5703125" style="25" customWidth="1"/>
    <col min="3085" max="3328" width="9.140625" style="25"/>
    <col min="3329" max="3329" width="10.7109375" style="25" customWidth="1"/>
    <col min="3330" max="3330" width="50.7109375" style="25" customWidth="1"/>
    <col min="3331" max="3331" width="15.5703125" style="25" customWidth="1"/>
    <col min="3332" max="3335" width="10.7109375" style="25" customWidth="1"/>
    <col min="3336" max="3337" width="12.7109375" style="25" customWidth="1"/>
    <col min="3338" max="3338" width="15.7109375" style="25" customWidth="1"/>
    <col min="3339" max="3339" width="40.7109375" style="25" customWidth="1"/>
    <col min="3340" max="3340" width="15.5703125" style="25" customWidth="1"/>
    <col min="3341" max="3584" width="9.140625" style="25"/>
    <col min="3585" max="3585" width="10.7109375" style="25" customWidth="1"/>
    <col min="3586" max="3586" width="50.7109375" style="25" customWidth="1"/>
    <col min="3587" max="3587" width="15.5703125" style="25" customWidth="1"/>
    <col min="3588" max="3591" width="10.7109375" style="25" customWidth="1"/>
    <col min="3592" max="3593" width="12.7109375" style="25" customWidth="1"/>
    <col min="3594" max="3594" width="15.7109375" style="25" customWidth="1"/>
    <col min="3595" max="3595" width="40.7109375" style="25" customWidth="1"/>
    <col min="3596" max="3596" width="15.5703125" style="25" customWidth="1"/>
    <col min="3597" max="3840" width="9.140625" style="25"/>
    <col min="3841" max="3841" width="10.7109375" style="25" customWidth="1"/>
    <col min="3842" max="3842" width="50.7109375" style="25" customWidth="1"/>
    <col min="3843" max="3843" width="15.5703125" style="25" customWidth="1"/>
    <col min="3844" max="3847" width="10.7109375" style="25" customWidth="1"/>
    <col min="3848" max="3849" width="12.7109375" style="25" customWidth="1"/>
    <col min="3850" max="3850" width="15.7109375" style="25" customWidth="1"/>
    <col min="3851" max="3851" width="40.7109375" style="25" customWidth="1"/>
    <col min="3852" max="3852" width="15.5703125" style="25" customWidth="1"/>
    <col min="3853" max="4096" width="9.140625" style="25"/>
    <col min="4097" max="4097" width="10.7109375" style="25" customWidth="1"/>
    <col min="4098" max="4098" width="50.7109375" style="25" customWidth="1"/>
    <col min="4099" max="4099" width="15.5703125" style="25" customWidth="1"/>
    <col min="4100" max="4103" width="10.7109375" style="25" customWidth="1"/>
    <col min="4104" max="4105" width="12.7109375" style="25" customWidth="1"/>
    <col min="4106" max="4106" width="15.7109375" style="25" customWidth="1"/>
    <col min="4107" max="4107" width="40.7109375" style="25" customWidth="1"/>
    <col min="4108" max="4108" width="15.5703125" style="25" customWidth="1"/>
    <col min="4109" max="4352" width="9.140625" style="25"/>
    <col min="4353" max="4353" width="10.7109375" style="25" customWidth="1"/>
    <col min="4354" max="4354" width="50.7109375" style="25" customWidth="1"/>
    <col min="4355" max="4355" width="15.5703125" style="25" customWidth="1"/>
    <col min="4356" max="4359" width="10.7109375" style="25" customWidth="1"/>
    <col min="4360" max="4361" width="12.7109375" style="25" customWidth="1"/>
    <col min="4362" max="4362" width="15.7109375" style="25" customWidth="1"/>
    <col min="4363" max="4363" width="40.7109375" style="25" customWidth="1"/>
    <col min="4364" max="4364" width="15.5703125" style="25" customWidth="1"/>
    <col min="4365" max="4608" width="9.140625" style="25"/>
    <col min="4609" max="4609" width="10.7109375" style="25" customWidth="1"/>
    <col min="4610" max="4610" width="50.7109375" style="25" customWidth="1"/>
    <col min="4611" max="4611" width="15.5703125" style="25" customWidth="1"/>
    <col min="4612" max="4615" width="10.7109375" style="25" customWidth="1"/>
    <col min="4616" max="4617" width="12.7109375" style="25" customWidth="1"/>
    <col min="4618" max="4618" width="15.7109375" style="25" customWidth="1"/>
    <col min="4619" max="4619" width="40.7109375" style="25" customWidth="1"/>
    <col min="4620" max="4620" width="15.5703125" style="25" customWidth="1"/>
    <col min="4621" max="4864" width="9.140625" style="25"/>
    <col min="4865" max="4865" width="10.7109375" style="25" customWidth="1"/>
    <col min="4866" max="4866" width="50.7109375" style="25" customWidth="1"/>
    <col min="4867" max="4867" width="15.5703125" style="25" customWidth="1"/>
    <col min="4868" max="4871" width="10.7109375" style="25" customWidth="1"/>
    <col min="4872" max="4873" width="12.7109375" style="25" customWidth="1"/>
    <col min="4874" max="4874" width="15.7109375" style="25" customWidth="1"/>
    <col min="4875" max="4875" width="40.7109375" style="25" customWidth="1"/>
    <col min="4876" max="4876" width="15.5703125" style="25" customWidth="1"/>
    <col min="4877" max="5120" width="9.140625" style="25"/>
    <col min="5121" max="5121" width="10.7109375" style="25" customWidth="1"/>
    <col min="5122" max="5122" width="50.7109375" style="25" customWidth="1"/>
    <col min="5123" max="5123" width="15.5703125" style="25" customWidth="1"/>
    <col min="5124" max="5127" width="10.7109375" style="25" customWidth="1"/>
    <col min="5128" max="5129" width="12.7109375" style="25" customWidth="1"/>
    <col min="5130" max="5130" width="15.7109375" style="25" customWidth="1"/>
    <col min="5131" max="5131" width="40.7109375" style="25" customWidth="1"/>
    <col min="5132" max="5132" width="15.5703125" style="25" customWidth="1"/>
    <col min="5133" max="5376" width="9.140625" style="25"/>
    <col min="5377" max="5377" width="10.7109375" style="25" customWidth="1"/>
    <col min="5378" max="5378" width="50.7109375" style="25" customWidth="1"/>
    <col min="5379" max="5379" width="15.5703125" style="25" customWidth="1"/>
    <col min="5380" max="5383" width="10.7109375" style="25" customWidth="1"/>
    <col min="5384" max="5385" width="12.7109375" style="25" customWidth="1"/>
    <col min="5386" max="5386" width="15.7109375" style="25" customWidth="1"/>
    <col min="5387" max="5387" width="40.7109375" style="25" customWidth="1"/>
    <col min="5388" max="5388" width="15.5703125" style="25" customWidth="1"/>
    <col min="5389" max="5632" width="9.140625" style="25"/>
    <col min="5633" max="5633" width="10.7109375" style="25" customWidth="1"/>
    <col min="5634" max="5634" width="50.7109375" style="25" customWidth="1"/>
    <col min="5635" max="5635" width="15.5703125" style="25" customWidth="1"/>
    <col min="5636" max="5639" width="10.7109375" style="25" customWidth="1"/>
    <col min="5640" max="5641" width="12.7109375" style="25" customWidth="1"/>
    <col min="5642" max="5642" width="15.7109375" style="25" customWidth="1"/>
    <col min="5643" max="5643" width="40.7109375" style="25" customWidth="1"/>
    <col min="5644" max="5644" width="15.5703125" style="25" customWidth="1"/>
    <col min="5645" max="5888" width="9.140625" style="25"/>
    <col min="5889" max="5889" width="10.7109375" style="25" customWidth="1"/>
    <col min="5890" max="5890" width="50.7109375" style="25" customWidth="1"/>
    <col min="5891" max="5891" width="15.5703125" style="25" customWidth="1"/>
    <col min="5892" max="5895" width="10.7109375" style="25" customWidth="1"/>
    <col min="5896" max="5897" width="12.7109375" style="25" customWidth="1"/>
    <col min="5898" max="5898" width="15.7109375" style="25" customWidth="1"/>
    <col min="5899" max="5899" width="40.7109375" style="25" customWidth="1"/>
    <col min="5900" max="5900" width="15.5703125" style="25" customWidth="1"/>
    <col min="5901" max="6144" width="9.140625" style="25"/>
    <col min="6145" max="6145" width="10.7109375" style="25" customWidth="1"/>
    <col min="6146" max="6146" width="50.7109375" style="25" customWidth="1"/>
    <col min="6147" max="6147" width="15.5703125" style="25" customWidth="1"/>
    <col min="6148" max="6151" width="10.7109375" style="25" customWidth="1"/>
    <col min="6152" max="6153" width="12.7109375" style="25" customWidth="1"/>
    <col min="6154" max="6154" width="15.7109375" style="25" customWidth="1"/>
    <col min="6155" max="6155" width="40.7109375" style="25" customWidth="1"/>
    <col min="6156" max="6156" width="15.5703125" style="25" customWidth="1"/>
    <col min="6157" max="6400" width="9.140625" style="25"/>
    <col min="6401" max="6401" width="10.7109375" style="25" customWidth="1"/>
    <col min="6402" max="6402" width="50.7109375" style="25" customWidth="1"/>
    <col min="6403" max="6403" width="15.5703125" style="25" customWidth="1"/>
    <col min="6404" max="6407" width="10.7109375" style="25" customWidth="1"/>
    <col min="6408" max="6409" width="12.7109375" style="25" customWidth="1"/>
    <col min="6410" max="6410" width="15.7109375" style="25" customWidth="1"/>
    <col min="6411" max="6411" width="40.7109375" style="25" customWidth="1"/>
    <col min="6412" max="6412" width="15.5703125" style="25" customWidth="1"/>
    <col min="6413" max="6656" width="9.140625" style="25"/>
    <col min="6657" max="6657" width="10.7109375" style="25" customWidth="1"/>
    <col min="6658" max="6658" width="50.7109375" style="25" customWidth="1"/>
    <col min="6659" max="6659" width="15.5703125" style="25" customWidth="1"/>
    <col min="6660" max="6663" width="10.7109375" style="25" customWidth="1"/>
    <col min="6664" max="6665" width="12.7109375" style="25" customWidth="1"/>
    <col min="6666" max="6666" width="15.7109375" style="25" customWidth="1"/>
    <col min="6667" max="6667" width="40.7109375" style="25" customWidth="1"/>
    <col min="6668" max="6668" width="15.5703125" style="25" customWidth="1"/>
    <col min="6669" max="6912" width="9.140625" style="25"/>
    <col min="6913" max="6913" width="10.7109375" style="25" customWidth="1"/>
    <col min="6914" max="6914" width="50.7109375" style="25" customWidth="1"/>
    <col min="6915" max="6915" width="15.5703125" style="25" customWidth="1"/>
    <col min="6916" max="6919" width="10.7109375" style="25" customWidth="1"/>
    <col min="6920" max="6921" width="12.7109375" style="25" customWidth="1"/>
    <col min="6922" max="6922" width="15.7109375" style="25" customWidth="1"/>
    <col min="6923" max="6923" width="40.7109375" style="25" customWidth="1"/>
    <col min="6924" max="6924" width="15.5703125" style="25" customWidth="1"/>
    <col min="6925" max="7168" width="9.140625" style="25"/>
    <col min="7169" max="7169" width="10.7109375" style="25" customWidth="1"/>
    <col min="7170" max="7170" width="50.7109375" style="25" customWidth="1"/>
    <col min="7171" max="7171" width="15.5703125" style="25" customWidth="1"/>
    <col min="7172" max="7175" width="10.7109375" style="25" customWidth="1"/>
    <col min="7176" max="7177" width="12.7109375" style="25" customWidth="1"/>
    <col min="7178" max="7178" width="15.7109375" style="25" customWidth="1"/>
    <col min="7179" max="7179" width="40.7109375" style="25" customWidth="1"/>
    <col min="7180" max="7180" width="15.5703125" style="25" customWidth="1"/>
    <col min="7181" max="7424" width="9.140625" style="25"/>
    <col min="7425" max="7425" width="10.7109375" style="25" customWidth="1"/>
    <col min="7426" max="7426" width="50.7109375" style="25" customWidth="1"/>
    <col min="7427" max="7427" width="15.5703125" style="25" customWidth="1"/>
    <col min="7428" max="7431" width="10.7109375" style="25" customWidth="1"/>
    <col min="7432" max="7433" width="12.7109375" style="25" customWidth="1"/>
    <col min="7434" max="7434" width="15.7109375" style="25" customWidth="1"/>
    <col min="7435" max="7435" width="40.7109375" style="25" customWidth="1"/>
    <col min="7436" max="7436" width="15.5703125" style="25" customWidth="1"/>
    <col min="7437" max="7680" width="9.140625" style="25"/>
    <col min="7681" max="7681" width="10.7109375" style="25" customWidth="1"/>
    <col min="7682" max="7682" width="50.7109375" style="25" customWidth="1"/>
    <col min="7683" max="7683" width="15.5703125" style="25" customWidth="1"/>
    <col min="7684" max="7687" width="10.7109375" style="25" customWidth="1"/>
    <col min="7688" max="7689" width="12.7109375" style="25" customWidth="1"/>
    <col min="7690" max="7690" width="15.7109375" style="25" customWidth="1"/>
    <col min="7691" max="7691" width="40.7109375" style="25" customWidth="1"/>
    <col min="7692" max="7692" width="15.5703125" style="25" customWidth="1"/>
    <col min="7693" max="7936" width="9.140625" style="25"/>
    <col min="7937" max="7937" width="10.7109375" style="25" customWidth="1"/>
    <col min="7938" max="7938" width="50.7109375" style="25" customWidth="1"/>
    <col min="7939" max="7939" width="15.5703125" style="25" customWidth="1"/>
    <col min="7940" max="7943" width="10.7109375" style="25" customWidth="1"/>
    <col min="7944" max="7945" width="12.7109375" style="25" customWidth="1"/>
    <col min="7946" max="7946" width="15.7109375" style="25" customWidth="1"/>
    <col min="7947" max="7947" width="40.7109375" style="25" customWidth="1"/>
    <col min="7948" max="7948" width="15.5703125" style="25" customWidth="1"/>
    <col min="7949" max="8192" width="9.140625" style="25"/>
    <col min="8193" max="8193" width="10.7109375" style="25" customWidth="1"/>
    <col min="8194" max="8194" width="50.7109375" style="25" customWidth="1"/>
    <col min="8195" max="8195" width="15.5703125" style="25" customWidth="1"/>
    <col min="8196" max="8199" width="10.7109375" style="25" customWidth="1"/>
    <col min="8200" max="8201" width="12.7109375" style="25" customWidth="1"/>
    <col min="8202" max="8202" width="15.7109375" style="25" customWidth="1"/>
    <col min="8203" max="8203" width="40.7109375" style="25" customWidth="1"/>
    <col min="8204" max="8204" width="15.5703125" style="25" customWidth="1"/>
    <col min="8205" max="8448" width="9.140625" style="25"/>
    <col min="8449" max="8449" width="10.7109375" style="25" customWidth="1"/>
    <col min="8450" max="8450" width="50.7109375" style="25" customWidth="1"/>
    <col min="8451" max="8451" width="15.5703125" style="25" customWidth="1"/>
    <col min="8452" max="8455" width="10.7109375" style="25" customWidth="1"/>
    <col min="8456" max="8457" width="12.7109375" style="25" customWidth="1"/>
    <col min="8458" max="8458" width="15.7109375" style="25" customWidth="1"/>
    <col min="8459" max="8459" width="40.7109375" style="25" customWidth="1"/>
    <col min="8460" max="8460" width="15.5703125" style="25" customWidth="1"/>
    <col min="8461" max="8704" width="9.140625" style="25"/>
    <col min="8705" max="8705" width="10.7109375" style="25" customWidth="1"/>
    <col min="8706" max="8706" width="50.7109375" style="25" customWidth="1"/>
    <col min="8707" max="8707" width="15.5703125" style="25" customWidth="1"/>
    <col min="8708" max="8711" width="10.7109375" style="25" customWidth="1"/>
    <col min="8712" max="8713" width="12.7109375" style="25" customWidth="1"/>
    <col min="8714" max="8714" width="15.7109375" style="25" customWidth="1"/>
    <col min="8715" max="8715" width="40.7109375" style="25" customWidth="1"/>
    <col min="8716" max="8716" width="15.5703125" style="25" customWidth="1"/>
    <col min="8717" max="8960" width="9.140625" style="25"/>
    <col min="8961" max="8961" width="10.7109375" style="25" customWidth="1"/>
    <col min="8962" max="8962" width="50.7109375" style="25" customWidth="1"/>
    <col min="8963" max="8963" width="15.5703125" style="25" customWidth="1"/>
    <col min="8964" max="8967" width="10.7109375" style="25" customWidth="1"/>
    <col min="8968" max="8969" width="12.7109375" style="25" customWidth="1"/>
    <col min="8970" max="8970" width="15.7109375" style="25" customWidth="1"/>
    <col min="8971" max="8971" width="40.7109375" style="25" customWidth="1"/>
    <col min="8972" max="8972" width="15.5703125" style="25" customWidth="1"/>
    <col min="8973" max="9216" width="9.140625" style="25"/>
    <col min="9217" max="9217" width="10.7109375" style="25" customWidth="1"/>
    <col min="9218" max="9218" width="50.7109375" style="25" customWidth="1"/>
    <col min="9219" max="9219" width="15.5703125" style="25" customWidth="1"/>
    <col min="9220" max="9223" width="10.7109375" style="25" customWidth="1"/>
    <col min="9224" max="9225" width="12.7109375" style="25" customWidth="1"/>
    <col min="9226" max="9226" width="15.7109375" style="25" customWidth="1"/>
    <col min="9227" max="9227" width="40.7109375" style="25" customWidth="1"/>
    <col min="9228" max="9228" width="15.5703125" style="25" customWidth="1"/>
    <col min="9229" max="9472" width="9.140625" style="25"/>
    <col min="9473" max="9473" width="10.7109375" style="25" customWidth="1"/>
    <col min="9474" max="9474" width="50.7109375" style="25" customWidth="1"/>
    <col min="9475" max="9475" width="15.5703125" style="25" customWidth="1"/>
    <col min="9476" max="9479" width="10.7109375" style="25" customWidth="1"/>
    <col min="9480" max="9481" width="12.7109375" style="25" customWidth="1"/>
    <col min="9482" max="9482" width="15.7109375" style="25" customWidth="1"/>
    <col min="9483" max="9483" width="40.7109375" style="25" customWidth="1"/>
    <col min="9484" max="9484" width="15.5703125" style="25" customWidth="1"/>
    <col min="9485" max="9728" width="9.140625" style="25"/>
    <col min="9729" max="9729" width="10.7109375" style="25" customWidth="1"/>
    <col min="9730" max="9730" width="50.7109375" style="25" customWidth="1"/>
    <col min="9731" max="9731" width="15.5703125" style="25" customWidth="1"/>
    <col min="9732" max="9735" width="10.7109375" style="25" customWidth="1"/>
    <col min="9736" max="9737" width="12.7109375" style="25" customWidth="1"/>
    <col min="9738" max="9738" width="15.7109375" style="25" customWidth="1"/>
    <col min="9739" max="9739" width="40.7109375" style="25" customWidth="1"/>
    <col min="9740" max="9740" width="15.5703125" style="25" customWidth="1"/>
    <col min="9741" max="9984" width="9.140625" style="25"/>
    <col min="9985" max="9985" width="10.7109375" style="25" customWidth="1"/>
    <col min="9986" max="9986" width="50.7109375" style="25" customWidth="1"/>
    <col min="9987" max="9987" width="15.5703125" style="25" customWidth="1"/>
    <col min="9988" max="9991" width="10.7109375" style="25" customWidth="1"/>
    <col min="9992" max="9993" width="12.7109375" style="25" customWidth="1"/>
    <col min="9994" max="9994" width="15.7109375" style="25" customWidth="1"/>
    <col min="9995" max="9995" width="40.7109375" style="25" customWidth="1"/>
    <col min="9996" max="9996" width="15.5703125" style="25" customWidth="1"/>
    <col min="9997" max="10240" width="9.140625" style="25"/>
    <col min="10241" max="10241" width="10.7109375" style="25" customWidth="1"/>
    <col min="10242" max="10242" width="50.7109375" style="25" customWidth="1"/>
    <col min="10243" max="10243" width="15.5703125" style="25" customWidth="1"/>
    <col min="10244" max="10247" width="10.7109375" style="25" customWidth="1"/>
    <col min="10248" max="10249" width="12.7109375" style="25" customWidth="1"/>
    <col min="10250" max="10250" width="15.7109375" style="25" customWidth="1"/>
    <col min="10251" max="10251" width="40.7109375" style="25" customWidth="1"/>
    <col min="10252" max="10252" width="15.5703125" style="25" customWidth="1"/>
    <col min="10253" max="10496" width="9.140625" style="25"/>
    <col min="10497" max="10497" width="10.7109375" style="25" customWidth="1"/>
    <col min="10498" max="10498" width="50.7109375" style="25" customWidth="1"/>
    <col min="10499" max="10499" width="15.5703125" style="25" customWidth="1"/>
    <col min="10500" max="10503" width="10.7109375" style="25" customWidth="1"/>
    <col min="10504" max="10505" width="12.7109375" style="25" customWidth="1"/>
    <col min="10506" max="10506" width="15.7109375" style="25" customWidth="1"/>
    <col min="10507" max="10507" width="40.7109375" style="25" customWidth="1"/>
    <col min="10508" max="10508" width="15.5703125" style="25" customWidth="1"/>
    <col min="10509" max="10752" width="9.140625" style="25"/>
    <col min="10753" max="10753" width="10.7109375" style="25" customWidth="1"/>
    <col min="10754" max="10754" width="50.7109375" style="25" customWidth="1"/>
    <col min="10755" max="10755" width="15.5703125" style="25" customWidth="1"/>
    <col min="10756" max="10759" width="10.7109375" style="25" customWidth="1"/>
    <col min="10760" max="10761" width="12.7109375" style="25" customWidth="1"/>
    <col min="10762" max="10762" width="15.7109375" style="25" customWidth="1"/>
    <col min="10763" max="10763" width="40.7109375" style="25" customWidth="1"/>
    <col min="10764" max="10764" width="15.5703125" style="25" customWidth="1"/>
    <col min="10765" max="11008" width="9.140625" style="25"/>
    <col min="11009" max="11009" width="10.7109375" style="25" customWidth="1"/>
    <col min="11010" max="11010" width="50.7109375" style="25" customWidth="1"/>
    <col min="11011" max="11011" width="15.5703125" style="25" customWidth="1"/>
    <col min="11012" max="11015" width="10.7109375" style="25" customWidth="1"/>
    <col min="11016" max="11017" width="12.7109375" style="25" customWidth="1"/>
    <col min="11018" max="11018" width="15.7109375" style="25" customWidth="1"/>
    <col min="11019" max="11019" width="40.7109375" style="25" customWidth="1"/>
    <col min="11020" max="11020" width="15.5703125" style="25" customWidth="1"/>
    <col min="11021" max="11264" width="9.140625" style="25"/>
    <col min="11265" max="11265" width="10.7109375" style="25" customWidth="1"/>
    <col min="11266" max="11266" width="50.7109375" style="25" customWidth="1"/>
    <col min="11267" max="11267" width="15.5703125" style="25" customWidth="1"/>
    <col min="11268" max="11271" width="10.7109375" style="25" customWidth="1"/>
    <col min="11272" max="11273" width="12.7109375" style="25" customWidth="1"/>
    <col min="11274" max="11274" width="15.7109375" style="25" customWidth="1"/>
    <col min="11275" max="11275" width="40.7109375" style="25" customWidth="1"/>
    <col min="11276" max="11276" width="15.5703125" style="25" customWidth="1"/>
    <col min="11277" max="11520" width="9.140625" style="25"/>
    <col min="11521" max="11521" width="10.7109375" style="25" customWidth="1"/>
    <col min="11522" max="11522" width="50.7109375" style="25" customWidth="1"/>
    <col min="11523" max="11523" width="15.5703125" style="25" customWidth="1"/>
    <col min="11524" max="11527" width="10.7109375" style="25" customWidth="1"/>
    <col min="11528" max="11529" width="12.7109375" style="25" customWidth="1"/>
    <col min="11530" max="11530" width="15.7109375" style="25" customWidth="1"/>
    <col min="11531" max="11531" width="40.7109375" style="25" customWidth="1"/>
    <col min="11532" max="11532" width="15.5703125" style="25" customWidth="1"/>
    <col min="11533" max="11776" width="9.140625" style="25"/>
    <col min="11777" max="11777" width="10.7109375" style="25" customWidth="1"/>
    <col min="11778" max="11778" width="50.7109375" style="25" customWidth="1"/>
    <col min="11779" max="11779" width="15.5703125" style="25" customWidth="1"/>
    <col min="11780" max="11783" width="10.7109375" style="25" customWidth="1"/>
    <col min="11784" max="11785" width="12.7109375" style="25" customWidth="1"/>
    <col min="11786" max="11786" width="15.7109375" style="25" customWidth="1"/>
    <col min="11787" max="11787" width="40.7109375" style="25" customWidth="1"/>
    <col min="11788" max="11788" width="15.5703125" style="25" customWidth="1"/>
    <col min="11789" max="12032" width="9.140625" style="25"/>
    <col min="12033" max="12033" width="10.7109375" style="25" customWidth="1"/>
    <col min="12034" max="12034" width="50.7109375" style="25" customWidth="1"/>
    <col min="12035" max="12035" width="15.5703125" style="25" customWidth="1"/>
    <col min="12036" max="12039" width="10.7109375" style="25" customWidth="1"/>
    <col min="12040" max="12041" width="12.7109375" style="25" customWidth="1"/>
    <col min="12042" max="12042" width="15.7109375" style="25" customWidth="1"/>
    <col min="12043" max="12043" width="40.7109375" style="25" customWidth="1"/>
    <col min="12044" max="12044" width="15.5703125" style="25" customWidth="1"/>
    <col min="12045" max="12288" width="9.140625" style="25"/>
    <col min="12289" max="12289" width="10.7109375" style="25" customWidth="1"/>
    <col min="12290" max="12290" width="50.7109375" style="25" customWidth="1"/>
    <col min="12291" max="12291" width="15.5703125" style="25" customWidth="1"/>
    <col min="12292" max="12295" width="10.7109375" style="25" customWidth="1"/>
    <col min="12296" max="12297" width="12.7109375" style="25" customWidth="1"/>
    <col min="12298" max="12298" width="15.7109375" style="25" customWidth="1"/>
    <col min="12299" max="12299" width="40.7109375" style="25" customWidth="1"/>
    <col min="12300" max="12300" width="15.5703125" style="25" customWidth="1"/>
    <col min="12301" max="12544" width="9.140625" style="25"/>
    <col min="12545" max="12545" width="10.7109375" style="25" customWidth="1"/>
    <col min="12546" max="12546" width="50.7109375" style="25" customWidth="1"/>
    <col min="12547" max="12547" width="15.5703125" style="25" customWidth="1"/>
    <col min="12548" max="12551" width="10.7109375" style="25" customWidth="1"/>
    <col min="12552" max="12553" width="12.7109375" style="25" customWidth="1"/>
    <col min="12554" max="12554" width="15.7109375" style="25" customWidth="1"/>
    <col min="12555" max="12555" width="40.7109375" style="25" customWidth="1"/>
    <col min="12556" max="12556" width="15.5703125" style="25" customWidth="1"/>
    <col min="12557" max="12800" width="9.140625" style="25"/>
    <col min="12801" max="12801" width="10.7109375" style="25" customWidth="1"/>
    <col min="12802" max="12802" width="50.7109375" style="25" customWidth="1"/>
    <col min="12803" max="12803" width="15.5703125" style="25" customWidth="1"/>
    <col min="12804" max="12807" width="10.7109375" style="25" customWidth="1"/>
    <col min="12808" max="12809" width="12.7109375" style="25" customWidth="1"/>
    <col min="12810" max="12810" width="15.7109375" style="25" customWidth="1"/>
    <col min="12811" max="12811" width="40.7109375" style="25" customWidth="1"/>
    <col min="12812" max="12812" width="15.5703125" style="25" customWidth="1"/>
    <col min="12813" max="13056" width="9.140625" style="25"/>
    <col min="13057" max="13057" width="10.7109375" style="25" customWidth="1"/>
    <col min="13058" max="13058" width="50.7109375" style="25" customWidth="1"/>
    <col min="13059" max="13059" width="15.5703125" style="25" customWidth="1"/>
    <col min="13060" max="13063" width="10.7109375" style="25" customWidth="1"/>
    <col min="13064" max="13065" width="12.7109375" style="25" customWidth="1"/>
    <col min="13066" max="13066" width="15.7109375" style="25" customWidth="1"/>
    <col min="13067" max="13067" width="40.7109375" style="25" customWidth="1"/>
    <col min="13068" max="13068" width="15.5703125" style="25" customWidth="1"/>
    <col min="13069" max="13312" width="9.140625" style="25"/>
    <col min="13313" max="13313" width="10.7109375" style="25" customWidth="1"/>
    <col min="13314" max="13314" width="50.7109375" style="25" customWidth="1"/>
    <col min="13315" max="13315" width="15.5703125" style="25" customWidth="1"/>
    <col min="13316" max="13319" width="10.7109375" style="25" customWidth="1"/>
    <col min="13320" max="13321" width="12.7109375" style="25" customWidth="1"/>
    <col min="13322" max="13322" width="15.7109375" style="25" customWidth="1"/>
    <col min="13323" max="13323" width="40.7109375" style="25" customWidth="1"/>
    <col min="13324" max="13324" width="15.5703125" style="25" customWidth="1"/>
    <col min="13325" max="13568" width="9.140625" style="25"/>
    <col min="13569" max="13569" width="10.7109375" style="25" customWidth="1"/>
    <col min="13570" max="13570" width="50.7109375" style="25" customWidth="1"/>
    <col min="13571" max="13571" width="15.5703125" style="25" customWidth="1"/>
    <col min="13572" max="13575" width="10.7109375" style="25" customWidth="1"/>
    <col min="13576" max="13577" width="12.7109375" style="25" customWidth="1"/>
    <col min="13578" max="13578" width="15.7109375" style="25" customWidth="1"/>
    <col min="13579" max="13579" width="40.7109375" style="25" customWidth="1"/>
    <col min="13580" max="13580" width="15.5703125" style="25" customWidth="1"/>
    <col min="13581" max="13824" width="9.140625" style="25"/>
    <col min="13825" max="13825" width="10.7109375" style="25" customWidth="1"/>
    <col min="13826" max="13826" width="50.7109375" style="25" customWidth="1"/>
    <col min="13827" max="13827" width="15.5703125" style="25" customWidth="1"/>
    <col min="13828" max="13831" width="10.7109375" style="25" customWidth="1"/>
    <col min="13832" max="13833" width="12.7109375" style="25" customWidth="1"/>
    <col min="13834" max="13834" width="15.7109375" style="25" customWidth="1"/>
    <col min="13835" max="13835" width="40.7109375" style="25" customWidth="1"/>
    <col min="13836" max="13836" width="15.5703125" style="25" customWidth="1"/>
    <col min="13837" max="14080" width="9.140625" style="25"/>
    <col min="14081" max="14081" width="10.7109375" style="25" customWidth="1"/>
    <col min="14082" max="14082" width="50.7109375" style="25" customWidth="1"/>
    <col min="14083" max="14083" width="15.5703125" style="25" customWidth="1"/>
    <col min="14084" max="14087" width="10.7109375" style="25" customWidth="1"/>
    <col min="14088" max="14089" width="12.7109375" style="25" customWidth="1"/>
    <col min="14090" max="14090" width="15.7109375" style="25" customWidth="1"/>
    <col min="14091" max="14091" width="40.7109375" style="25" customWidth="1"/>
    <col min="14092" max="14092" width="15.5703125" style="25" customWidth="1"/>
    <col min="14093" max="14336" width="9.140625" style="25"/>
    <col min="14337" max="14337" width="10.7109375" style="25" customWidth="1"/>
    <col min="14338" max="14338" width="50.7109375" style="25" customWidth="1"/>
    <col min="14339" max="14339" width="15.5703125" style="25" customWidth="1"/>
    <col min="14340" max="14343" width="10.7109375" style="25" customWidth="1"/>
    <col min="14344" max="14345" width="12.7109375" style="25" customWidth="1"/>
    <col min="14346" max="14346" width="15.7109375" style="25" customWidth="1"/>
    <col min="14347" max="14347" width="40.7109375" style="25" customWidth="1"/>
    <col min="14348" max="14348" width="15.5703125" style="25" customWidth="1"/>
    <col min="14349" max="14592" width="9.140625" style="25"/>
    <col min="14593" max="14593" width="10.7109375" style="25" customWidth="1"/>
    <col min="14594" max="14594" width="50.7109375" style="25" customWidth="1"/>
    <col min="14595" max="14595" width="15.5703125" style="25" customWidth="1"/>
    <col min="14596" max="14599" width="10.7109375" style="25" customWidth="1"/>
    <col min="14600" max="14601" width="12.7109375" style="25" customWidth="1"/>
    <col min="14602" max="14602" width="15.7109375" style="25" customWidth="1"/>
    <col min="14603" max="14603" width="40.7109375" style="25" customWidth="1"/>
    <col min="14604" max="14604" width="15.5703125" style="25" customWidth="1"/>
    <col min="14605" max="14848" width="9.140625" style="25"/>
    <col min="14849" max="14849" width="10.7109375" style="25" customWidth="1"/>
    <col min="14850" max="14850" width="50.7109375" style="25" customWidth="1"/>
    <col min="14851" max="14851" width="15.5703125" style="25" customWidth="1"/>
    <col min="14852" max="14855" width="10.7109375" style="25" customWidth="1"/>
    <col min="14856" max="14857" width="12.7109375" style="25" customWidth="1"/>
    <col min="14858" max="14858" width="15.7109375" style="25" customWidth="1"/>
    <col min="14859" max="14859" width="40.7109375" style="25" customWidth="1"/>
    <col min="14860" max="14860" width="15.5703125" style="25" customWidth="1"/>
    <col min="14861" max="15104" width="9.140625" style="25"/>
    <col min="15105" max="15105" width="10.7109375" style="25" customWidth="1"/>
    <col min="15106" max="15106" width="50.7109375" style="25" customWidth="1"/>
    <col min="15107" max="15107" width="15.5703125" style="25" customWidth="1"/>
    <col min="15108" max="15111" width="10.7109375" style="25" customWidth="1"/>
    <col min="15112" max="15113" width="12.7109375" style="25" customWidth="1"/>
    <col min="15114" max="15114" width="15.7109375" style="25" customWidth="1"/>
    <col min="15115" max="15115" width="40.7109375" style="25" customWidth="1"/>
    <col min="15116" max="15116" width="15.5703125" style="25" customWidth="1"/>
    <col min="15117" max="15360" width="9.140625" style="25"/>
    <col min="15361" max="15361" width="10.7109375" style="25" customWidth="1"/>
    <col min="15362" max="15362" width="50.7109375" style="25" customWidth="1"/>
    <col min="15363" max="15363" width="15.5703125" style="25" customWidth="1"/>
    <col min="15364" max="15367" width="10.7109375" style="25" customWidth="1"/>
    <col min="15368" max="15369" width="12.7109375" style="25" customWidth="1"/>
    <col min="15370" max="15370" width="15.7109375" style="25" customWidth="1"/>
    <col min="15371" max="15371" width="40.7109375" style="25" customWidth="1"/>
    <col min="15372" max="15372" width="15.5703125" style="25" customWidth="1"/>
    <col min="15373" max="15616" width="9.140625" style="25"/>
    <col min="15617" max="15617" width="10.7109375" style="25" customWidth="1"/>
    <col min="15618" max="15618" width="50.7109375" style="25" customWidth="1"/>
    <col min="15619" max="15619" width="15.5703125" style="25" customWidth="1"/>
    <col min="15620" max="15623" width="10.7109375" style="25" customWidth="1"/>
    <col min="15624" max="15625" width="12.7109375" style="25" customWidth="1"/>
    <col min="15626" max="15626" width="15.7109375" style="25" customWidth="1"/>
    <col min="15627" max="15627" width="40.7109375" style="25" customWidth="1"/>
    <col min="15628" max="15628" width="15.5703125" style="25" customWidth="1"/>
    <col min="15629" max="15872" width="9.140625" style="25"/>
    <col min="15873" max="15873" width="10.7109375" style="25" customWidth="1"/>
    <col min="15874" max="15874" width="50.7109375" style="25" customWidth="1"/>
    <col min="15875" max="15875" width="15.5703125" style="25" customWidth="1"/>
    <col min="15876" max="15879" width="10.7109375" style="25" customWidth="1"/>
    <col min="15880" max="15881" width="12.7109375" style="25" customWidth="1"/>
    <col min="15882" max="15882" width="15.7109375" style="25" customWidth="1"/>
    <col min="15883" max="15883" width="40.7109375" style="25" customWidth="1"/>
    <col min="15884" max="15884" width="15.5703125" style="25" customWidth="1"/>
    <col min="15885" max="16128" width="9.140625" style="25"/>
    <col min="16129" max="16129" width="10.7109375" style="25" customWidth="1"/>
    <col min="16130" max="16130" width="50.7109375" style="25" customWidth="1"/>
    <col min="16131" max="16131" width="15.5703125" style="25" customWidth="1"/>
    <col min="16132" max="16135" width="10.7109375" style="25" customWidth="1"/>
    <col min="16136" max="16137" width="12.7109375" style="25" customWidth="1"/>
    <col min="16138" max="16138" width="15.7109375" style="25" customWidth="1"/>
    <col min="16139" max="16139" width="40.7109375" style="25" customWidth="1"/>
    <col min="16140" max="16140" width="15.5703125" style="25" customWidth="1"/>
    <col min="16141" max="16384" width="9.140625" style="25"/>
  </cols>
  <sheetData>
    <row r="1" spans="1:12" ht="69.95" customHeight="1" thickBot="1" x14ac:dyDescent="0.25">
      <c r="A1" s="966" t="s">
        <v>69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6"/>
    </row>
    <row r="2" spans="1:12" s="493" customFormat="1" ht="15.95" customHeight="1" thickTop="1" x14ac:dyDescent="0.25">
      <c r="A2" s="436" t="s">
        <v>1019</v>
      </c>
      <c r="B2" s="437">
        <f>Resources!C20</f>
        <v>0</v>
      </c>
      <c r="C2" s="438" t="s">
        <v>776</v>
      </c>
      <c r="D2" s="439">
        <f ca="1">COUNTIF($J$9:$J$87,"Deliverable Still In Progress")</f>
        <v>7</v>
      </c>
      <c r="E2" s="440"/>
      <c r="F2" s="441"/>
      <c r="G2" s="504"/>
      <c r="H2" s="454"/>
      <c r="I2" s="490"/>
      <c r="J2" s="454"/>
      <c r="K2" s="505"/>
      <c r="L2" s="492"/>
    </row>
    <row r="3" spans="1:12" s="493" customFormat="1" ht="15.95" customHeight="1" x14ac:dyDescent="0.25">
      <c r="A3" s="436" t="s">
        <v>1020</v>
      </c>
      <c r="B3" s="437">
        <f>Resources!E20</f>
        <v>0</v>
      </c>
      <c r="C3" s="438" t="s">
        <v>777</v>
      </c>
      <c r="D3" s="439">
        <f ca="1">COUNTIF($J$9:$J$87,"Deliverable Completed")</f>
        <v>0</v>
      </c>
      <c r="E3" s="449">
        <f ca="1">D3/D6</f>
        <v>0</v>
      </c>
      <c r="F3" s="441"/>
      <c r="G3" s="504"/>
      <c r="H3" s="454"/>
      <c r="I3" s="490"/>
      <c r="J3" s="454"/>
      <c r="K3" s="505"/>
      <c r="L3" s="492"/>
    </row>
    <row r="4" spans="1:12" s="493" customFormat="1" ht="15.95" customHeight="1" x14ac:dyDescent="0.25">
      <c r="A4" s="436" t="s">
        <v>1021</v>
      </c>
      <c r="B4" s="437"/>
      <c r="C4" s="438" t="s">
        <v>778</v>
      </c>
      <c r="D4" s="439">
        <f ca="1">D7-COUNTIF($J$9:$J$87,"completed")</f>
        <v>30</v>
      </c>
      <c r="E4" s="440"/>
      <c r="F4" s="441"/>
      <c r="G4" s="504"/>
      <c r="H4" s="454"/>
      <c r="I4" s="490"/>
      <c r="J4" s="454"/>
      <c r="K4" s="505"/>
      <c r="L4" s="492"/>
    </row>
    <row r="5" spans="1:12" s="493" customFormat="1" ht="15.95" customHeight="1" x14ac:dyDescent="0.25">
      <c r="A5" s="451"/>
      <c r="B5" s="450"/>
      <c r="C5" s="452" t="s">
        <v>779</v>
      </c>
      <c r="D5" s="439">
        <f ca="1">D7-D4</f>
        <v>0</v>
      </c>
      <c r="E5" s="449">
        <f ca="1">D5/D7</f>
        <v>0</v>
      </c>
      <c r="F5" s="441"/>
      <c r="G5" s="504"/>
      <c r="H5" s="454"/>
      <c r="I5" s="490"/>
      <c r="J5" s="454"/>
      <c r="K5" s="505"/>
      <c r="L5" s="492"/>
    </row>
    <row r="6" spans="1:12" s="493" customFormat="1" ht="15.95" customHeight="1" thickBot="1" x14ac:dyDescent="0.3">
      <c r="A6" s="451"/>
      <c r="B6" s="450"/>
      <c r="C6" s="452" t="s">
        <v>780</v>
      </c>
      <c r="D6" s="439">
        <f ca="1">D2+D3</f>
        <v>7</v>
      </c>
      <c r="E6" s="449"/>
      <c r="F6" s="441"/>
      <c r="G6" s="504"/>
      <c r="H6" s="454"/>
      <c r="I6" s="490"/>
      <c r="J6" s="454"/>
      <c r="K6" s="505"/>
      <c r="L6" s="492"/>
    </row>
    <row r="7" spans="1:12" s="493" customFormat="1" ht="15.95" customHeight="1" thickBot="1" x14ac:dyDescent="0.3">
      <c r="A7" s="451"/>
      <c r="B7" s="506"/>
      <c r="C7" s="452" t="s">
        <v>781</v>
      </c>
      <c r="D7" s="439">
        <f ca="1">COUNTA(B9:B75)-D6</f>
        <v>30</v>
      </c>
      <c r="E7" s="449"/>
      <c r="F7" s="544" t="s">
        <v>1017</v>
      </c>
      <c r="G7" s="504"/>
      <c r="H7" s="454"/>
      <c r="I7" s="490"/>
      <c r="J7" s="544" t="s">
        <v>1017</v>
      </c>
      <c r="K7" s="505"/>
      <c r="L7" s="492"/>
    </row>
    <row r="8" spans="1:12" s="127" customFormat="1" ht="47.25" x14ac:dyDescent="0.25">
      <c r="A8" s="416" t="s">
        <v>90</v>
      </c>
      <c r="B8" s="512" t="s">
        <v>91</v>
      </c>
      <c r="C8" s="513" t="s">
        <v>48</v>
      </c>
      <c r="D8" s="514" t="s">
        <v>92</v>
      </c>
      <c r="E8" s="514" t="s">
        <v>782</v>
      </c>
      <c r="F8" s="514" t="s">
        <v>783</v>
      </c>
      <c r="G8" s="515" t="s">
        <v>53</v>
      </c>
      <c r="H8" s="514" t="s">
        <v>95</v>
      </c>
      <c r="I8" s="514" t="s">
        <v>54</v>
      </c>
      <c r="J8" s="512" t="s">
        <v>55</v>
      </c>
      <c r="K8" s="417" t="s">
        <v>56</v>
      </c>
      <c r="L8" s="126"/>
    </row>
    <row r="9" spans="1:12" ht="14.25" customHeight="1" x14ac:dyDescent="0.2">
      <c r="A9" s="516"/>
      <c r="B9" s="520" t="s">
        <v>453</v>
      </c>
      <c r="C9" s="145"/>
      <c r="D9" s="172"/>
      <c r="E9" s="184"/>
      <c r="F9" s="409">
        <f ca="1">IF(ISBLANK(G9),IF(ISERROR(DAYS360(TODAY(),E9))," ",(DAYS360(TODAY(),E9))),E9-G9)</f>
        <v>-43388</v>
      </c>
      <c r="G9" s="154"/>
      <c r="H9" s="173"/>
      <c r="I9" s="145"/>
      <c r="J9" s="173" t="str">
        <f ca="1">IF(AND(J10="completed",J11="completed",J12="completed",J13="completed"),"Deliverable Completed","DELIVERABLE STILL IN PROGRESS")</f>
        <v>DELIVERABLE STILL IN PROGRESS</v>
      </c>
      <c r="K9" s="106"/>
    </row>
    <row r="10" spans="1:12" ht="15" x14ac:dyDescent="0.2">
      <c r="A10" s="517"/>
      <c r="B10" s="156" t="s">
        <v>454</v>
      </c>
      <c r="C10" s="39"/>
      <c r="D10" s="185"/>
      <c r="E10" s="185"/>
      <c r="F10" s="231">
        <f ca="1">IF(ISBLANK(G10),IF(ISERROR(DAYS360(TODAY(),E10))," ",(DAYS360(TODAY(),E10))),E10-G10)</f>
        <v>-43388</v>
      </c>
      <c r="G10" s="200"/>
      <c r="H10" s="38"/>
      <c r="I10" s="39"/>
      <c r="J10" s="40" t="str">
        <f t="shared" ref="J10:J46" ca="1" si="0">IF(G10&gt;0,"COMPLETED",(IF(I10&gt;0,"ISSUE IDENTIFIED",(IF(TODAY()&gt;E10,"OVERDUE","In Progress")))))</f>
        <v>OVERDUE</v>
      </c>
      <c r="K10" s="107"/>
    </row>
    <row r="11" spans="1:12" ht="15" x14ac:dyDescent="0.2">
      <c r="A11" s="517"/>
      <c r="B11" s="146" t="s">
        <v>455</v>
      </c>
      <c r="C11" s="39"/>
      <c r="D11" s="185"/>
      <c r="E11" s="185"/>
      <c r="F11" s="231">
        <f t="shared" ref="F11:F46" ca="1" si="1">IF(ISBLANK(G11),IF(ISERROR(DAYS360(TODAY(),E11))," ",(DAYS360(TODAY(),E11))),E11-G11)</f>
        <v>-43388</v>
      </c>
      <c r="G11" s="200"/>
      <c r="H11" s="38"/>
      <c r="I11" s="39"/>
      <c r="J11" s="40" t="str">
        <f t="shared" ca="1" si="0"/>
        <v>OVERDUE</v>
      </c>
      <c r="K11" s="107"/>
    </row>
    <row r="12" spans="1:12" ht="15" x14ac:dyDescent="0.2">
      <c r="A12" s="517"/>
      <c r="B12" s="146" t="s">
        <v>456</v>
      </c>
      <c r="C12" s="39"/>
      <c r="D12" s="185"/>
      <c r="E12" s="185"/>
      <c r="F12" s="231">
        <f t="shared" ca="1" si="1"/>
        <v>-43388</v>
      </c>
      <c r="G12" s="200"/>
      <c r="H12" s="38"/>
      <c r="I12" s="39"/>
      <c r="J12" s="40" t="str">
        <f t="shared" ca="1" si="0"/>
        <v>OVERDUE</v>
      </c>
      <c r="K12" s="107"/>
    </row>
    <row r="13" spans="1:12" ht="15" x14ac:dyDescent="0.2">
      <c r="A13" s="517"/>
      <c r="B13" s="165"/>
      <c r="C13" s="152"/>
      <c r="D13" s="174"/>
      <c r="E13" s="186"/>
      <c r="F13" s="410">
        <f t="shared" ca="1" si="1"/>
        <v>-43388</v>
      </c>
      <c r="G13" s="219"/>
      <c r="H13" s="175"/>
      <c r="I13" s="152"/>
      <c r="J13" s="153" t="str">
        <f t="shared" ca="1" si="0"/>
        <v>OVERDUE</v>
      </c>
      <c r="K13" s="201"/>
    </row>
    <row r="14" spans="1:12" ht="14.25" customHeight="1" x14ac:dyDescent="0.2">
      <c r="A14" s="517"/>
      <c r="B14" s="520" t="s">
        <v>457</v>
      </c>
      <c r="C14" s="145"/>
      <c r="D14" s="172"/>
      <c r="E14" s="184"/>
      <c r="F14" s="409">
        <f ca="1">IF(ISBLANK(G14),IF(ISERROR(DAYS360(TODAY(),E14))," ",(DAYS360(TODAY(),E14))),E14-G14)</f>
        <v>-43388</v>
      </c>
      <c r="G14" s="154"/>
      <c r="H14" s="173"/>
      <c r="I14" s="145"/>
      <c r="J14" s="138" t="str">
        <f ca="1">IF(AND(J15="completed",J16="completed",J17="completed",J18="completed"),"Deliverable Completed","DELIVERABLE STILL IN PROGRESS")</f>
        <v>DELIVERABLE STILL IN PROGRESS</v>
      </c>
      <c r="K14" s="106"/>
    </row>
    <row r="15" spans="1:12" ht="15" x14ac:dyDescent="0.2">
      <c r="A15" s="517"/>
      <c r="B15" s="156" t="s">
        <v>458</v>
      </c>
      <c r="C15" s="39"/>
      <c r="D15" s="185"/>
      <c r="E15" s="185"/>
      <c r="F15" s="231">
        <f ca="1">IF(ISBLANK(G15),IF(ISERROR(DAYS360(TODAY(),E15))," ",(DAYS360(TODAY(),E15))),E15-G15)</f>
        <v>-43388</v>
      </c>
      <c r="G15" s="200"/>
      <c r="H15" s="38"/>
      <c r="I15" s="39"/>
      <c r="J15" s="40" t="str">
        <f t="shared" ref="J15:J18" ca="1" si="2">IF(G15&gt;0,"COMPLETED",(IF(I15&gt;0,"ISSUE IDENTIFIED",(IF(TODAY()&gt;E15,"OVERDUE","In Progress")))))</f>
        <v>OVERDUE</v>
      </c>
      <c r="K15" s="107"/>
    </row>
    <row r="16" spans="1:12" ht="15" x14ac:dyDescent="0.2">
      <c r="A16" s="517"/>
      <c r="B16" s="146" t="s">
        <v>459</v>
      </c>
      <c r="C16" s="39"/>
      <c r="D16" s="185"/>
      <c r="E16" s="185"/>
      <c r="F16" s="231">
        <f t="shared" ref="F16:F24" ca="1" si="3">IF(ISBLANK(G16),IF(ISERROR(DAYS360(TODAY(),E16))," ",(DAYS360(TODAY(),E16))),E16-G16)</f>
        <v>-43388</v>
      </c>
      <c r="G16" s="200"/>
      <c r="H16" s="38"/>
      <c r="I16" s="39"/>
      <c r="J16" s="40" t="str">
        <f t="shared" ca="1" si="2"/>
        <v>OVERDUE</v>
      </c>
      <c r="K16" s="107"/>
    </row>
    <row r="17" spans="1:11" ht="15" x14ac:dyDescent="0.2">
      <c r="A17" s="517"/>
      <c r="B17" s="146" t="s">
        <v>460</v>
      </c>
      <c r="C17" s="39"/>
      <c r="D17" s="185"/>
      <c r="E17" s="185"/>
      <c r="F17" s="231">
        <f t="shared" ca="1" si="3"/>
        <v>-43388</v>
      </c>
      <c r="G17" s="200"/>
      <c r="H17" s="38"/>
      <c r="I17" s="39"/>
      <c r="J17" s="40" t="str">
        <f t="shared" ca="1" si="2"/>
        <v>OVERDUE</v>
      </c>
      <c r="K17" s="107"/>
    </row>
    <row r="18" spans="1:11" ht="15" x14ac:dyDescent="0.2">
      <c r="A18" s="517"/>
      <c r="B18" s="148" t="s">
        <v>461</v>
      </c>
      <c r="C18" s="152"/>
      <c r="D18" s="174"/>
      <c r="E18" s="186"/>
      <c r="F18" s="410">
        <f t="shared" ca="1" si="3"/>
        <v>-43388</v>
      </c>
      <c r="G18" s="219"/>
      <c r="H18" s="175"/>
      <c r="I18" s="152"/>
      <c r="J18" s="153" t="str">
        <f t="shared" ca="1" si="2"/>
        <v>OVERDUE</v>
      </c>
      <c r="K18" s="201"/>
    </row>
    <row r="19" spans="1:11" ht="15" x14ac:dyDescent="0.2">
      <c r="A19" s="517"/>
      <c r="B19" s="520" t="s">
        <v>462</v>
      </c>
      <c r="C19" s="145"/>
      <c r="D19" s="177"/>
      <c r="E19" s="522"/>
      <c r="F19" s="525">
        <f t="shared" ca="1" si="3"/>
        <v>-43388</v>
      </c>
      <c r="G19" s="177"/>
      <c r="H19" s="178"/>
      <c r="I19" s="180"/>
      <c r="J19" s="138" t="str">
        <f ca="1">IF(AND(J20="completed",J21="completed",J22="completed",J23="completed",J24="completed"),"Deliverable Completed","DELIVERABLE STILL IN PROGRESS")</f>
        <v>DELIVERABLE STILL IN PROGRESS</v>
      </c>
      <c r="K19" s="106"/>
    </row>
    <row r="20" spans="1:11" ht="15" x14ac:dyDescent="0.2">
      <c r="A20" s="517"/>
      <c r="B20" s="146" t="s">
        <v>463</v>
      </c>
      <c r="C20" s="39"/>
      <c r="D20" s="508"/>
      <c r="E20" s="185"/>
      <c r="F20" s="231">
        <f t="shared" ca="1" si="3"/>
        <v>-43388</v>
      </c>
      <c r="G20" s="200"/>
      <c r="H20" s="38"/>
      <c r="I20" s="38"/>
      <c r="J20" s="40" t="str">
        <f t="shared" ref="J20:J24" ca="1" si="4">IF(G20&gt;0,"COMPLETED",(IF(I20&gt;0,"ISSUE IDENTIFIED",(IF(TODAY()&gt;E20,"OVERDUE","In Progress")))))</f>
        <v>OVERDUE</v>
      </c>
      <c r="K20" s="107"/>
    </row>
    <row r="21" spans="1:11" ht="15" x14ac:dyDescent="0.2">
      <c r="A21" s="517"/>
      <c r="B21" s="146" t="s">
        <v>464</v>
      </c>
      <c r="C21" s="39"/>
      <c r="D21" s="508"/>
      <c r="E21" s="185"/>
      <c r="F21" s="231">
        <f t="shared" ca="1" si="3"/>
        <v>-43388</v>
      </c>
      <c r="G21" s="200"/>
      <c r="H21" s="38"/>
      <c r="I21" s="38"/>
      <c r="J21" s="40" t="str">
        <f t="shared" ca="1" si="4"/>
        <v>OVERDUE</v>
      </c>
      <c r="K21" s="107"/>
    </row>
    <row r="22" spans="1:11" ht="15" x14ac:dyDescent="0.2">
      <c r="A22" s="517"/>
      <c r="B22" s="146" t="s">
        <v>465</v>
      </c>
      <c r="C22" s="39"/>
      <c r="D22" s="508"/>
      <c r="E22" s="185"/>
      <c r="F22" s="231">
        <f t="shared" ca="1" si="3"/>
        <v>-43388</v>
      </c>
      <c r="G22" s="200"/>
      <c r="H22" s="38"/>
      <c r="I22" s="38"/>
      <c r="J22" s="40" t="str">
        <f t="shared" ca="1" si="4"/>
        <v>OVERDUE</v>
      </c>
      <c r="K22" s="256"/>
    </row>
    <row r="23" spans="1:11" ht="15" x14ac:dyDescent="0.2">
      <c r="A23" s="517"/>
      <c r="B23" s="146" t="s">
        <v>466</v>
      </c>
      <c r="C23" s="39"/>
      <c r="D23" s="508"/>
      <c r="E23" s="185"/>
      <c r="F23" s="231">
        <f t="shared" ca="1" si="3"/>
        <v>-43388</v>
      </c>
      <c r="G23" s="200"/>
      <c r="H23" s="38"/>
      <c r="I23" s="38"/>
      <c r="J23" s="40" t="str">
        <f t="shared" ca="1" si="4"/>
        <v>OVERDUE</v>
      </c>
      <c r="K23" s="256"/>
    </row>
    <row r="24" spans="1:11" ht="15" x14ac:dyDescent="0.2">
      <c r="A24" s="518"/>
      <c r="B24" s="194" t="s">
        <v>467</v>
      </c>
      <c r="C24" s="35"/>
      <c r="D24" s="193"/>
      <c r="E24" s="174"/>
      <c r="F24" s="268">
        <f t="shared" ca="1" si="3"/>
        <v>-43388</v>
      </c>
      <c r="G24" s="174"/>
      <c r="H24" s="35"/>
      <c r="I24" s="164"/>
      <c r="J24" s="269" t="str">
        <f t="shared" ca="1" si="4"/>
        <v>OVERDUE</v>
      </c>
      <c r="K24" s="291"/>
    </row>
    <row r="25" spans="1:11" ht="15" x14ac:dyDescent="0.2">
      <c r="A25" s="517"/>
      <c r="B25" s="520" t="s">
        <v>468</v>
      </c>
      <c r="C25" s="81"/>
      <c r="D25" s="171"/>
      <c r="E25" s="523"/>
      <c r="F25" s="411">
        <f t="shared" ca="1" si="1"/>
        <v>-43388</v>
      </c>
      <c r="G25" s="220"/>
      <c r="H25" s="116"/>
      <c r="I25" s="81"/>
      <c r="J25" s="141" t="str">
        <f ca="1">IF(AND(J26="completed",J27="completed",J28="completed",J29="completed",J30="completed",J31="completed",J32="completed",J33="completed",J34="completed"),"Deliverable Completed","DELIVERABLE STILL IN PROGRESS")</f>
        <v>DELIVERABLE STILL IN PROGRESS</v>
      </c>
      <c r="K25" s="107"/>
    </row>
    <row r="26" spans="1:11" ht="15" x14ac:dyDescent="0.2">
      <c r="A26" s="517"/>
      <c r="B26" s="146" t="s">
        <v>469</v>
      </c>
      <c r="C26" s="39"/>
      <c r="D26" s="508"/>
      <c r="E26" s="185"/>
      <c r="F26" s="231">
        <f t="shared" ca="1" si="1"/>
        <v>-43388</v>
      </c>
      <c r="G26" s="200"/>
      <c r="H26" s="38"/>
      <c r="I26" s="39"/>
      <c r="J26" s="100" t="str">
        <f t="shared" ref="J26:J28" ca="1" si="5">IF(G26&gt;0,"COMPLETED",(IF(I26&gt;0,"ISSUE IDENTIFIED",(IF(TODAY()&gt;E26,"OVERDUE","In Progress")))))</f>
        <v>OVERDUE</v>
      </c>
      <c r="K26" s="107"/>
    </row>
    <row r="27" spans="1:11" ht="15" x14ac:dyDescent="0.2">
      <c r="A27" s="517"/>
      <c r="B27" s="146" t="s">
        <v>470</v>
      </c>
      <c r="C27" s="39"/>
      <c r="D27" s="508"/>
      <c r="E27" s="185"/>
      <c r="F27" s="231">
        <f t="shared" ca="1" si="1"/>
        <v>-43388</v>
      </c>
      <c r="G27" s="200"/>
      <c r="H27" s="38"/>
      <c r="I27" s="39"/>
      <c r="J27" s="100" t="str">
        <f t="shared" ca="1" si="5"/>
        <v>OVERDUE</v>
      </c>
      <c r="K27" s="107"/>
    </row>
    <row r="28" spans="1:11" ht="15" x14ac:dyDescent="0.2">
      <c r="A28" s="517"/>
      <c r="B28" s="146" t="s">
        <v>471</v>
      </c>
      <c r="C28" s="39"/>
      <c r="D28" s="508"/>
      <c r="E28" s="185"/>
      <c r="F28" s="231">
        <f t="shared" ca="1" si="1"/>
        <v>-43388</v>
      </c>
      <c r="G28" s="200"/>
      <c r="H28" s="38"/>
      <c r="I28" s="39"/>
      <c r="J28" s="100" t="str">
        <f t="shared" ca="1" si="5"/>
        <v>OVERDUE</v>
      </c>
      <c r="K28" s="107"/>
    </row>
    <row r="29" spans="1:11" s="128" customFormat="1" ht="15" x14ac:dyDescent="0.2">
      <c r="A29" s="517"/>
      <c r="B29" s="146" t="s">
        <v>472</v>
      </c>
      <c r="C29" s="39"/>
      <c r="D29" s="508"/>
      <c r="E29" s="185"/>
      <c r="F29" s="231">
        <f t="shared" ca="1" si="1"/>
        <v>-43388</v>
      </c>
      <c r="G29" s="200"/>
      <c r="H29" s="38"/>
      <c r="I29" s="39"/>
      <c r="J29" s="100" t="str">
        <f ca="1">IF(G29&gt;0,"COMPLETED",(IF(I29&gt;0,"ISSUE IDENTIFIED",(IF(TODAY()&gt;E29,"OVERDUE","In Progress")))))</f>
        <v>OVERDUE</v>
      </c>
      <c r="K29" s="107"/>
    </row>
    <row r="30" spans="1:11" ht="15" x14ac:dyDescent="0.2">
      <c r="A30" s="517"/>
      <c r="B30" s="146" t="s">
        <v>473</v>
      </c>
      <c r="C30" s="39"/>
      <c r="D30" s="508"/>
      <c r="E30" s="185"/>
      <c r="F30" s="231">
        <f t="shared" ca="1" si="1"/>
        <v>-43388</v>
      </c>
      <c r="G30" s="200"/>
      <c r="H30" s="38"/>
      <c r="I30" s="39"/>
      <c r="J30" s="40" t="str">
        <f ca="1">IF(G30&gt;0,"COMPLETED",(IF(I30&gt;0,"ISSUE IDENTIFIED",(IF(TODAY()&gt;E30,"OVERDUE","In Progress")))))</f>
        <v>OVERDUE</v>
      </c>
      <c r="K30" s="107"/>
    </row>
    <row r="31" spans="1:11" ht="14.25" customHeight="1" x14ac:dyDescent="0.2">
      <c r="A31" s="517"/>
      <c r="B31" s="146" t="s">
        <v>474</v>
      </c>
      <c r="C31" s="39"/>
      <c r="D31" s="508"/>
      <c r="E31" s="185"/>
      <c r="F31" s="231">
        <f t="shared" ca="1" si="1"/>
        <v>-43388</v>
      </c>
      <c r="G31" s="200"/>
      <c r="H31" s="38"/>
      <c r="I31" s="39"/>
      <c r="J31" s="40" t="str">
        <f t="shared" ref="J31:J34" ca="1" si="6">IF(G31&gt;0,"COMPLETED",(IF(I31&gt;0,"ISSUE IDENTIFIED",(IF(TODAY()&gt;E31,"OVERDUE","In Progress")))))</f>
        <v>OVERDUE</v>
      </c>
      <c r="K31" s="107"/>
    </row>
    <row r="32" spans="1:11" ht="25.5" x14ac:dyDescent="0.2">
      <c r="A32" s="517"/>
      <c r="B32" s="146" t="s">
        <v>475</v>
      </c>
      <c r="C32" s="39"/>
      <c r="D32" s="508"/>
      <c r="E32" s="185"/>
      <c r="F32" s="231">
        <f t="shared" ca="1" si="1"/>
        <v>-43388</v>
      </c>
      <c r="G32" s="200"/>
      <c r="H32" s="38"/>
      <c r="I32" s="39"/>
      <c r="J32" s="40" t="str">
        <f t="shared" ca="1" si="6"/>
        <v>OVERDUE</v>
      </c>
      <c r="K32" s="107"/>
    </row>
    <row r="33" spans="1:11" ht="15" x14ac:dyDescent="0.2">
      <c r="A33" s="517"/>
      <c r="B33" s="146" t="s">
        <v>1039</v>
      </c>
      <c r="C33" s="39"/>
      <c r="D33" s="508"/>
      <c r="E33" s="185"/>
      <c r="F33" s="231">
        <f t="shared" ca="1" si="1"/>
        <v>-43388</v>
      </c>
      <c r="G33" s="200"/>
      <c r="H33" s="38"/>
      <c r="I33" s="39"/>
      <c r="J33" s="40" t="str">
        <f t="shared" ca="1" si="6"/>
        <v>OVERDUE</v>
      </c>
      <c r="K33" s="107"/>
    </row>
    <row r="34" spans="1:11" ht="15" x14ac:dyDescent="0.2">
      <c r="A34" s="517"/>
      <c r="B34" s="160" t="s">
        <v>1039</v>
      </c>
      <c r="C34" s="152"/>
      <c r="D34" s="174"/>
      <c r="E34" s="186"/>
      <c r="F34" s="410">
        <f t="shared" ca="1" si="1"/>
        <v>-43388</v>
      </c>
      <c r="G34" s="219"/>
      <c r="H34" s="175"/>
      <c r="I34" s="152"/>
      <c r="J34" s="153" t="str">
        <f t="shared" ca="1" si="6"/>
        <v>OVERDUE</v>
      </c>
      <c r="K34" s="201"/>
    </row>
    <row r="35" spans="1:11" ht="15" x14ac:dyDescent="0.2">
      <c r="A35" s="517"/>
      <c r="B35" s="520" t="s">
        <v>476</v>
      </c>
      <c r="C35" s="81"/>
      <c r="D35" s="171"/>
      <c r="E35" s="523"/>
      <c r="F35" s="411">
        <f t="shared" ca="1" si="1"/>
        <v>-43388</v>
      </c>
      <c r="G35" s="220"/>
      <c r="H35" s="116"/>
      <c r="I35" s="81"/>
      <c r="J35" s="141" t="str">
        <f ca="1">IF(AND(J36="completed",J37="completed",J38="completed"),"Deliverable Completed","DELIVERABLE STILL IN PROGRESS")</f>
        <v>DELIVERABLE STILL IN PROGRESS</v>
      </c>
      <c r="K35" s="107"/>
    </row>
    <row r="36" spans="1:11" ht="15" x14ac:dyDescent="0.2">
      <c r="A36" s="517"/>
      <c r="B36" s="146" t="s">
        <v>477</v>
      </c>
      <c r="C36" s="39"/>
      <c r="D36" s="508"/>
      <c r="E36" s="185"/>
      <c r="F36" s="231">
        <f t="shared" ca="1" si="1"/>
        <v>-43388</v>
      </c>
      <c r="G36" s="200"/>
      <c r="H36" s="38"/>
      <c r="I36" s="39"/>
      <c r="J36" s="40" t="str">
        <f t="shared" ca="1" si="0"/>
        <v>OVERDUE</v>
      </c>
      <c r="K36" s="107"/>
    </row>
    <row r="37" spans="1:11" ht="15" x14ac:dyDescent="0.2">
      <c r="A37" s="517"/>
      <c r="B37" s="146" t="s">
        <v>478</v>
      </c>
      <c r="C37" s="39"/>
      <c r="D37" s="508"/>
      <c r="E37" s="185"/>
      <c r="F37" s="231">
        <f t="shared" ca="1" si="1"/>
        <v>-43388</v>
      </c>
      <c r="G37" s="200"/>
      <c r="H37" s="38"/>
      <c r="I37" s="39"/>
      <c r="J37" s="40" t="str">
        <f t="shared" ca="1" si="0"/>
        <v>OVERDUE</v>
      </c>
      <c r="K37" s="107"/>
    </row>
    <row r="38" spans="1:11" ht="15" x14ac:dyDescent="0.2">
      <c r="A38" s="517"/>
      <c r="B38" s="160" t="s">
        <v>1039</v>
      </c>
      <c r="C38" s="152"/>
      <c r="D38" s="174"/>
      <c r="E38" s="186"/>
      <c r="F38" s="410">
        <f t="shared" ca="1" si="1"/>
        <v>-43388</v>
      </c>
      <c r="G38" s="219"/>
      <c r="H38" s="175"/>
      <c r="I38" s="152"/>
      <c r="J38" s="153" t="str">
        <f t="shared" ca="1" si="0"/>
        <v>OVERDUE</v>
      </c>
      <c r="K38" s="201"/>
    </row>
    <row r="39" spans="1:11" ht="15" x14ac:dyDescent="0.2">
      <c r="A39" s="517"/>
      <c r="B39" s="520" t="s">
        <v>479</v>
      </c>
      <c r="C39" s="81"/>
      <c r="D39" s="171"/>
      <c r="E39" s="523"/>
      <c r="F39" s="411">
        <f t="shared" ca="1" si="1"/>
        <v>-43388</v>
      </c>
      <c r="G39" s="220"/>
      <c r="H39" s="116"/>
      <c r="I39" s="81"/>
      <c r="J39" s="141" t="str">
        <f ca="1">IF(AND(J40="completed",J41="completed"),"Deliverable Completed","DELIVERABLE STILL IN PROGRESS")</f>
        <v>DELIVERABLE STILL IN PROGRESS</v>
      </c>
      <c r="K39" s="107"/>
    </row>
    <row r="40" spans="1:11" ht="15" x14ac:dyDescent="0.2">
      <c r="A40" s="517"/>
      <c r="B40" s="146" t="s">
        <v>480</v>
      </c>
      <c r="C40" s="39"/>
      <c r="D40" s="508"/>
      <c r="E40" s="185"/>
      <c r="F40" s="231">
        <f t="shared" ca="1" si="1"/>
        <v>-43388</v>
      </c>
      <c r="G40" s="200"/>
      <c r="H40" s="38"/>
      <c r="I40" s="39"/>
      <c r="J40" s="40" t="str">
        <f ca="1">IF(G40&gt;0,"COMPLETED",(IF(I40&gt;0,"ISSUE IDENTIFIED",(IF(TODAY()&gt;E40,"OVERDUE","In Progress")))))</f>
        <v>OVERDUE</v>
      </c>
      <c r="K40" s="107"/>
    </row>
    <row r="41" spans="1:11" ht="15" x14ac:dyDescent="0.2">
      <c r="A41" s="517"/>
      <c r="B41" s="843" t="s">
        <v>1039</v>
      </c>
      <c r="C41" s="152"/>
      <c r="D41" s="174"/>
      <c r="E41" s="186"/>
      <c r="F41" s="410">
        <f t="shared" ca="1" si="1"/>
        <v>-43388</v>
      </c>
      <c r="G41" s="219"/>
      <c r="H41" s="175"/>
      <c r="I41" s="152"/>
      <c r="J41" s="153" t="str">
        <f ca="1">IF(G41&gt;0,"COMPLETED",(IF(I41&gt;0,"ISSUE IDENTIFIED",(IF(TODAY()&gt;E41,"OVERDUE","In Progress")))))</f>
        <v>OVERDUE</v>
      </c>
      <c r="K41" s="201"/>
    </row>
    <row r="42" spans="1:11" ht="15" x14ac:dyDescent="0.2">
      <c r="A42" s="517"/>
      <c r="B42" s="520" t="s">
        <v>481</v>
      </c>
      <c r="C42" s="81"/>
      <c r="D42" s="171"/>
      <c r="E42" s="524"/>
      <c r="F42" s="411">
        <f t="shared" ca="1" si="1"/>
        <v>-43388</v>
      </c>
      <c r="G42" s="220"/>
      <c r="H42" s="116"/>
      <c r="I42" s="81"/>
      <c r="J42" s="141" t="str">
        <f ca="1">IF(AND(J43="completed",J44="completed",J45="completed",J46="completed"),"Deliverable Completed","DELIVERABLE STILL IN PROGRESS")</f>
        <v>DELIVERABLE STILL IN PROGRESS</v>
      </c>
      <c r="K42" s="107"/>
    </row>
    <row r="43" spans="1:11" ht="15" x14ac:dyDescent="0.2">
      <c r="A43" s="517"/>
      <c r="B43" s="146" t="s">
        <v>482</v>
      </c>
      <c r="C43" s="39"/>
      <c r="D43" s="508"/>
      <c r="E43" s="185"/>
      <c r="F43" s="231">
        <f t="shared" ca="1" si="1"/>
        <v>-43388</v>
      </c>
      <c r="G43" s="200"/>
      <c r="H43" s="38"/>
      <c r="I43" s="39"/>
      <c r="J43" s="40" t="str">
        <f t="shared" ca="1" si="0"/>
        <v>OVERDUE</v>
      </c>
      <c r="K43" s="107"/>
    </row>
    <row r="44" spans="1:11" ht="15" x14ac:dyDescent="0.2">
      <c r="A44" s="517"/>
      <c r="B44" s="146" t="s">
        <v>1039</v>
      </c>
      <c r="C44" s="39"/>
      <c r="D44" s="508"/>
      <c r="E44" s="185"/>
      <c r="F44" s="231">
        <f t="shared" ca="1" si="1"/>
        <v>-43388</v>
      </c>
      <c r="G44" s="200"/>
      <c r="H44" s="38"/>
      <c r="I44" s="39"/>
      <c r="J44" s="40" t="str">
        <f t="shared" ca="1" si="0"/>
        <v>OVERDUE</v>
      </c>
      <c r="K44" s="107"/>
    </row>
    <row r="45" spans="1:11" ht="15" x14ac:dyDescent="0.2">
      <c r="A45" s="517"/>
      <c r="B45" s="146" t="s">
        <v>1039</v>
      </c>
      <c r="C45" s="39"/>
      <c r="D45" s="508"/>
      <c r="E45" s="185"/>
      <c r="F45" s="231">
        <f t="shared" ca="1" si="1"/>
        <v>-43388</v>
      </c>
      <c r="G45" s="200"/>
      <c r="H45" s="38"/>
      <c r="I45" s="39"/>
      <c r="J45" s="40" t="str">
        <f t="shared" ca="1" si="0"/>
        <v>OVERDUE</v>
      </c>
      <c r="K45" s="107"/>
    </row>
    <row r="46" spans="1:11" ht="15.75" thickBot="1" x14ac:dyDescent="0.25">
      <c r="A46" s="519"/>
      <c r="B46" s="208" t="s">
        <v>1039</v>
      </c>
      <c r="C46" s="213"/>
      <c r="D46" s="511"/>
      <c r="E46" s="272"/>
      <c r="F46" s="526">
        <f t="shared" ca="1" si="1"/>
        <v>-43388</v>
      </c>
      <c r="G46" s="257"/>
      <c r="H46" s="212"/>
      <c r="I46" s="213"/>
      <c r="J46" s="74" t="str">
        <f t="shared" ca="1" si="0"/>
        <v>OVERDUE</v>
      </c>
      <c r="K46" s="258"/>
    </row>
    <row r="47" spans="1:11" x14ac:dyDescent="0.2">
      <c r="A47" s="3"/>
      <c r="B47" s="7"/>
      <c r="C47" s="3"/>
      <c r="D47" s="110"/>
      <c r="E47" s="110"/>
      <c r="F47" s="4"/>
      <c r="G47" s="133"/>
      <c r="H47" s="3"/>
      <c r="I47" s="7"/>
      <c r="J47" s="3"/>
      <c r="K47" s="3"/>
    </row>
    <row r="48" spans="1:11" x14ac:dyDescent="0.2">
      <c r="A48" s="3"/>
      <c r="B48" s="7"/>
      <c r="C48" s="3"/>
      <c r="D48" s="110"/>
      <c r="E48" s="110"/>
      <c r="F48" s="4"/>
      <c r="G48" s="133"/>
      <c r="H48" s="3"/>
      <c r="I48" s="7"/>
      <c r="J48" s="3"/>
      <c r="K48" s="3"/>
    </row>
  </sheetData>
  <sheetProtection algorithmName="SHA-512" hashValue="NGF/AcQKivjCSFjZj/NWqbaDJC9v2NGlxJDZSygta39LIT8BaVu1K7DmVt72Cn2t2JAPovUVElcJPwDbmFuAPg==" saltValue="xThF2dioTfS+K8dARCYDFw==" spinCount="100000" sheet="1" insertRows="0" deleteRows="0" sort="0" autoFilter="0"/>
  <mergeCells count="1">
    <mergeCell ref="A1:K1"/>
  </mergeCells>
  <conditionalFormatting sqref="F9:F150">
    <cfRule type="cellIs" dxfId="76" priority="2" stopIfTrue="1" operator="lessThan">
      <formula>-1000</formula>
    </cfRule>
  </conditionalFormatting>
  <conditionalFormatting sqref="D9:E46">
    <cfRule type="cellIs" dxfId="75" priority="1" operator="equal">
      <formula>0</formula>
    </cfRule>
  </conditionalFormatting>
  <conditionalFormatting sqref="J9:J150">
    <cfRule type="cellIs" dxfId="74" priority="6" stopIfTrue="1" operator="equal">
      <formula>"OVERDUE"</formula>
    </cfRule>
    <cfRule type="cellIs" dxfId="73" priority="7" stopIfTrue="1" operator="equal">
      <formula>"COMPLETED"</formula>
    </cfRule>
    <cfRule type="cellIs" dxfId="72" priority="8" stopIfTrue="1" operator="equal">
      <formula>"ISSUE IDENTIFIED"</formula>
    </cfRule>
    <cfRule type="containsText" dxfId="71" priority="11" operator="containsText" text="DELIVERABLE STILL IN PROGRESS">
      <formula>NOT(ISERROR(SEARCH("DELIVERABLE STILL IN PROGRESS",J9)))</formula>
    </cfRule>
    <cfRule type="containsText" dxfId="70" priority="12" operator="containsText" text="DELIVERABLE COMPLETED">
      <formula>NOT(ISERROR(SEARCH("DELIVERABLE COMPLETED",J9)))</formula>
    </cfRule>
  </conditionalFormatting>
  <printOptions horizontalCentered="1"/>
  <pageMargins left="0.25" right="0.25" top="0.5" bottom="0.75" header="0.25" footer="0.5"/>
  <pageSetup scale="46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tabColor rgb="FF0C3964"/>
    <pageSetUpPr fitToPage="1"/>
  </sheetPr>
  <dimension ref="A1:M126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sqref="A1:XFD1"/>
    </sheetView>
  </sheetViews>
  <sheetFormatPr defaultRowHeight="12.75" x14ac:dyDescent="0.2"/>
  <cols>
    <col min="1" max="1" width="20.28515625" style="25" customWidth="1"/>
    <col min="2" max="2" width="87.7109375" style="27" customWidth="1"/>
    <col min="3" max="3" width="33.85546875" style="25" bestFit="1" customWidth="1"/>
    <col min="4" max="4" width="9.5703125" style="5" bestFit="1" customWidth="1"/>
    <col min="5" max="6" width="13.7109375" style="5" customWidth="1"/>
    <col min="7" max="7" width="13.7109375" style="25" customWidth="1"/>
    <col min="8" max="8" width="13.7109375" style="5" customWidth="1"/>
    <col min="9" max="9" width="18.140625" style="25" bestFit="1" customWidth="1"/>
    <col min="10" max="10" width="21.85546875" style="27" bestFit="1" customWidth="1"/>
    <col min="11" max="11" width="32.28515625" style="25" bestFit="1" customWidth="1"/>
    <col min="12" max="12" width="40.7109375" style="27" customWidth="1"/>
    <col min="13" max="13" width="32.42578125" style="25" customWidth="1"/>
    <col min="14" max="257" width="9.140625" style="25"/>
    <col min="258" max="258" width="10.7109375" style="25" customWidth="1"/>
    <col min="259" max="259" width="50.7109375" style="25" customWidth="1"/>
    <col min="260" max="260" width="15.5703125" style="25" customWidth="1"/>
    <col min="261" max="264" width="10.7109375" style="25" customWidth="1"/>
    <col min="265" max="266" width="12.7109375" style="25" customWidth="1"/>
    <col min="267" max="267" width="15.7109375" style="25" customWidth="1"/>
    <col min="268" max="268" width="40.7109375" style="25" customWidth="1"/>
    <col min="269" max="269" width="15.5703125" style="25" customWidth="1"/>
    <col min="270" max="513" width="9.140625" style="25"/>
    <col min="514" max="514" width="10.7109375" style="25" customWidth="1"/>
    <col min="515" max="515" width="50.7109375" style="25" customWidth="1"/>
    <col min="516" max="516" width="15.5703125" style="25" customWidth="1"/>
    <col min="517" max="520" width="10.7109375" style="25" customWidth="1"/>
    <col min="521" max="522" width="12.7109375" style="25" customWidth="1"/>
    <col min="523" max="523" width="15.7109375" style="25" customWidth="1"/>
    <col min="524" max="524" width="40.7109375" style="25" customWidth="1"/>
    <col min="525" max="525" width="15.5703125" style="25" customWidth="1"/>
    <col min="526" max="769" width="9.140625" style="25"/>
    <col min="770" max="770" width="10.7109375" style="25" customWidth="1"/>
    <col min="771" max="771" width="50.7109375" style="25" customWidth="1"/>
    <col min="772" max="772" width="15.5703125" style="25" customWidth="1"/>
    <col min="773" max="776" width="10.7109375" style="25" customWidth="1"/>
    <col min="777" max="778" width="12.7109375" style="25" customWidth="1"/>
    <col min="779" max="779" width="15.7109375" style="25" customWidth="1"/>
    <col min="780" max="780" width="40.7109375" style="25" customWidth="1"/>
    <col min="781" max="781" width="15.5703125" style="25" customWidth="1"/>
    <col min="782" max="1025" width="9.140625" style="25"/>
    <col min="1026" max="1026" width="10.7109375" style="25" customWidth="1"/>
    <col min="1027" max="1027" width="50.7109375" style="25" customWidth="1"/>
    <col min="1028" max="1028" width="15.5703125" style="25" customWidth="1"/>
    <col min="1029" max="1032" width="10.7109375" style="25" customWidth="1"/>
    <col min="1033" max="1034" width="12.7109375" style="25" customWidth="1"/>
    <col min="1035" max="1035" width="15.7109375" style="25" customWidth="1"/>
    <col min="1036" max="1036" width="40.7109375" style="25" customWidth="1"/>
    <col min="1037" max="1037" width="15.5703125" style="25" customWidth="1"/>
    <col min="1038" max="1281" width="9.140625" style="25"/>
    <col min="1282" max="1282" width="10.7109375" style="25" customWidth="1"/>
    <col min="1283" max="1283" width="50.7109375" style="25" customWidth="1"/>
    <col min="1284" max="1284" width="15.5703125" style="25" customWidth="1"/>
    <col min="1285" max="1288" width="10.7109375" style="25" customWidth="1"/>
    <col min="1289" max="1290" width="12.7109375" style="25" customWidth="1"/>
    <col min="1291" max="1291" width="15.7109375" style="25" customWidth="1"/>
    <col min="1292" max="1292" width="40.7109375" style="25" customWidth="1"/>
    <col min="1293" max="1293" width="15.5703125" style="25" customWidth="1"/>
    <col min="1294" max="1537" width="9.140625" style="25"/>
    <col min="1538" max="1538" width="10.7109375" style="25" customWidth="1"/>
    <col min="1539" max="1539" width="50.7109375" style="25" customWidth="1"/>
    <col min="1540" max="1540" width="15.5703125" style="25" customWidth="1"/>
    <col min="1541" max="1544" width="10.7109375" style="25" customWidth="1"/>
    <col min="1545" max="1546" width="12.7109375" style="25" customWidth="1"/>
    <col min="1547" max="1547" width="15.7109375" style="25" customWidth="1"/>
    <col min="1548" max="1548" width="40.7109375" style="25" customWidth="1"/>
    <col min="1549" max="1549" width="15.5703125" style="25" customWidth="1"/>
    <col min="1550" max="1793" width="9.140625" style="25"/>
    <col min="1794" max="1794" width="10.7109375" style="25" customWidth="1"/>
    <col min="1795" max="1795" width="50.7109375" style="25" customWidth="1"/>
    <col min="1796" max="1796" width="15.5703125" style="25" customWidth="1"/>
    <col min="1797" max="1800" width="10.7109375" style="25" customWidth="1"/>
    <col min="1801" max="1802" width="12.7109375" style="25" customWidth="1"/>
    <col min="1803" max="1803" width="15.7109375" style="25" customWidth="1"/>
    <col min="1804" max="1804" width="40.7109375" style="25" customWidth="1"/>
    <col min="1805" max="1805" width="15.5703125" style="25" customWidth="1"/>
    <col min="1806" max="2049" width="9.140625" style="25"/>
    <col min="2050" max="2050" width="10.7109375" style="25" customWidth="1"/>
    <col min="2051" max="2051" width="50.7109375" style="25" customWidth="1"/>
    <col min="2052" max="2052" width="15.5703125" style="25" customWidth="1"/>
    <col min="2053" max="2056" width="10.7109375" style="25" customWidth="1"/>
    <col min="2057" max="2058" width="12.7109375" style="25" customWidth="1"/>
    <col min="2059" max="2059" width="15.7109375" style="25" customWidth="1"/>
    <col min="2060" max="2060" width="40.7109375" style="25" customWidth="1"/>
    <col min="2061" max="2061" width="15.5703125" style="25" customWidth="1"/>
    <col min="2062" max="2305" width="9.140625" style="25"/>
    <col min="2306" max="2306" width="10.7109375" style="25" customWidth="1"/>
    <col min="2307" max="2307" width="50.7109375" style="25" customWidth="1"/>
    <col min="2308" max="2308" width="15.5703125" style="25" customWidth="1"/>
    <col min="2309" max="2312" width="10.7109375" style="25" customWidth="1"/>
    <col min="2313" max="2314" width="12.7109375" style="25" customWidth="1"/>
    <col min="2315" max="2315" width="15.7109375" style="25" customWidth="1"/>
    <col min="2316" max="2316" width="40.7109375" style="25" customWidth="1"/>
    <col min="2317" max="2317" width="15.5703125" style="25" customWidth="1"/>
    <col min="2318" max="2561" width="9.140625" style="25"/>
    <col min="2562" max="2562" width="10.7109375" style="25" customWidth="1"/>
    <col min="2563" max="2563" width="50.7109375" style="25" customWidth="1"/>
    <col min="2564" max="2564" width="15.5703125" style="25" customWidth="1"/>
    <col min="2565" max="2568" width="10.7109375" style="25" customWidth="1"/>
    <col min="2569" max="2570" width="12.7109375" style="25" customWidth="1"/>
    <col min="2571" max="2571" width="15.7109375" style="25" customWidth="1"/>
    <col min="2572" max="2572" width="40.7109375" style="25" customWidth="1"/>
    <col min="2573" max="2573" width="15.5703125" style="25" customWidth="1"/>
    <col min="2574" max="2817" width="9.140625" style="25"/>
    <col min="2818" max="2818" width="10.7109375" style="25" customWidth="1"/>
    <col min="2819" max="2819" width="50.7109375" style="25" customWidth="1"/>
    <col min="2820" max="2820" width="15.5703125" style="25" customWidth="1"/>
    <col min="2821" max="2824" width="10.7109375" style="25" customWidth="1"/>
    <col min="2825" max="2826" width="12.7109375" style="25" customWidth="1"/>
    <col min="2827" max="2827" width="15.7109375" style="25" customWidth="1"/>
    <col min="2828" max="2828" width="40.7109375" style="25" customWidth="1"/>
    <col min="2829" max="2829" width="15.5703125" style="25" customWidth="1"/>
    <col min="2830" max="3073" width="9.140625" style="25"/>
    <col min="3074" max="3074" width="10.7109375" style="25" customWidth="1"/>
    <col min="3075" max="3075" width="50.7109375" style="25" customWidth="1"/>
    <col min="3076" max="3076" width="15.5703125" style="25" customWidth="1"/>
    <col min="3077" max="3080" width="10.7109375" style="25" customWidth="1"/>
    <col min="3081" max="3082" width="12.7109375" style="25" customWidth="1"/>
    <col min="3083" max="3083" width="15.7109375" style="25" customWidth="1"/>
    <col min="3084" max="3084" width="40.7109375" style="25" customWidth="1"/>
    <col min="3085" max="3085" width="15.5703125" style="25" customWidth="1"/>
    <col min="3086" max="3329" width="9.140625" style="25"/>
    <col min="3330" max="3330" width="10.7109375" style="25" customWidth="1"/>
    <col min="3331" max="3331" width="50.7109375" style="25" customWidth="1"/>
    <col min="3332" max="3332" width="15.5703125" style="25" customWidth="1"/>
    <col min="3333" max="3336" width="10.7109375" style="25" customWidth="1"/>
    <col min="3337" max="3338" width="12.7109375" style="25" customWidth="1"/>
    <col min="3339" max="3339" width="15.7109375" style="25" customWidth="1"/>
    <col min="3340" max="3340" width="40.7109375" style="25" customWidth="1"/>
    <col min="3341" max="3341" width="15.5703125" style="25" customWidth="1"/>
    <col min="3342" max="3585" width="9.140625" style="25"/>
    <col min="3586" max="3586" width="10.7109375" style="25" customWidth="1"/>
    <col min="3587" max="3587" width="50.7109375" style="25" customWidth="1"/>
    <col min="3588" max="3588" width="15.5703125" style="25" customWidth="1"/>
    <col min="3589" max="3592" width="10.7109375" style="25" customWidth="1"/>
    <col min="3593" max="3594" width="12.7109375" style="25" customWidth="1"/>
    <col min="3595" max="3595" width="15.7109375" style="25" customWidth="1"/>
    <col min="3596" max="3596" width="40.7109375" style="25" customWidth="1"/>
    <col min="3597" max="3597" width="15.5703125" style="25" customWidth="1"/>
    <col min="3598" max="3841" width="9.140625" style="25"/>
    <col min="3842" max="3842" width="10.7109375" style="25" customWidth="1"/>
    <col min="3843" max="3843" width="50.7109375" style="25" customWidth="1"/>
    <col min="3844" max="3844" width="15.5703125" style="25" customWidth="1"/>
    <col min="3845" max="3848" width="10.7109375" style="25" customWidth="1"/>
    <col min="3849" max="3850" width="12.7109375" style="25" customWidth="1"/>
    <col min="3851" max="3851" width="15.7109375" style="25" customWidth="1"/>
    <col min="3852" max="3852" width="40.7109375" style="25" customWidth="1"/>
    <col min="3853" max="3853" width="15.5703125" style="25" customWidth="1"/>
    <col min="3854" max="4097" width="9.140625" style="25"/>
    <col min="4098" max="4098" width="10.7109375" style="25" customWidth="1"/>
    <col min="4099" max="4099" width="50.7109375" style="25" customWidth="1"/>
    <col min="4100" max="4100" width="15.5703125" style="25" customWidth="1"/>
    <col min="4101" max="4104" width="10.7109375" style="25" customWidth="1"/>
    <col min="4105" max="4106" width="12.7109375" style="25" customWidth="1"/>
    <col min="4107" max="4107" width="15.7109375" style="25" customWidth="1"/>
    <col min="4108" max="4108" width="40.7109375" style="25" customWidth="1"/>
    <col min="4109" max="4109" width="15.5703125" style="25" customWidth="1"/>
    <col min="4110" max="4353" width="9.140625" style="25"/>
    <col min="4354" max="4354" width="10.7109375" style="25" customWidth="1"/>
    <col min="4355" max="4355" width="50.7109375" style="25" customWidth="1"/>
    <col min="4356" max="4356" width="15.5703125" style="25" customWidth="1"/>
    <col min="4357" max="4360" width="10.7109375" style="25" customWidth="1"/>
    <col min="4361" max="4362" width="12.7109375" style="25" customWidth="1"/>
    <col min="4363" max="4363" width="15.7109375" style="25" customWidth="1"/>
    <col min="4364" max="4364" width="40.7109375" style="25" customWidth="1"/>
    <col min="4365" max="4365" width="15.5703125" style="25" customWidth="1"/>
    <col min="4366" max="4609" width="9.140625" style="25"/>
    <col min="4610" max="4610" width="10.7109375" style="25" customWidth="1"/>
    <col min="4611" max="4611" width="50.7109375" style="25" customWidth="1"/>
    <col min="4612" max="4612" width="15.5703125" style="25" customWidth="1"/>
    <col min="4613" max="4616" width="10.7109375" style="25" customWidth="1"/>
    <col min="4617" max="4618" width="12.7109375" style="25" customWidth="1"/>
    <col min="4619" max="4619" width="15.7109375" style="25" customWidth="1"/>
    <col min="4620" max="4620" width="40.7109375" style="25" customWidth="1"/>
    <col min="4621" max="4621" width="15.5703125" style="25" customWidth="1"/>
    <col min="4622" max="4865" width="9.140625" style="25"/>
    <col min="4866" max="4866" width="10.7109375" style="25" customWidth="1"/>
    <col min="4867" max="4867" width="50.7109375" style="25" customWidth="1"/>
    <col min="4868" max="4868" width="15.5703125" style="25" customWidth="1"/>
    <col min="4869" max="4872" width="10.7109375" style="25" customWidth="1"/>
    <col min="4873" max="4874" width="12.7109375" style="25" customWidth="1"/>
    <col min="4875" max="4875" width="15.7109375" style="25" customWidth="1"/>
    <col min="4876" max="4876" width="40.7109375" style="25" customWidth="1"/>
    <col min="4877" max="4877" width="15.5703125" style="25" customWidth="1"/>
    <col min="4878" max="5121" width="9.140625" style="25"/>
    <col min="5122" max="5122" width="10.7109375" style="25" customWidth="1"/>
    <col min="5123" max="5123" width="50.7109375" style="25" customWidth="1"/>
    <col min="5124" max="5124" width="15.5703125" style="25" customWidth="1"/>
    <col min="5125" max="5128" width="10.7109375" style="25" customWidth="1"/>
    <col min="5129" max="5130" width="12.7109375" style="25" customWidth="1"/>
    <col min="5131" max="5131" width="15.7109375" style="25" customWidth="1"/>
    <col min="5132" max="5132" width="40.7109375" style="25" customWidth="1"/>
    <col min="5133" max="5133" width="15.5703125" style="25" customWidth="1"/>
    <col min="5134" max="5377" width="9.140625" style="25"/>
    <col min="5378" max="5378" width="10.7109375" style="25" customWidth="1"/>
    <col min="5379" max="5379" width="50.7109375" style="25" customWidth="1"/>
    <col min="5380" max="5380" width="15.5703125" style="25" customWidth="1"/>
    <col min="5381" max="5384" width="10.7109375" style="25" customWidth="1"/>
    <col min="5385" max="5386" width="12.7109375" style="25" customWidth="1"/>
    <col min="5387" max="5387" width="15.7109375" style="25" customWidth="1"/>
    <col min="5388" max="5388" width="40.7109375" style="25" customWidth="1"/>
    <col min="5389" max="5389" width="15.5703125" style="25" customWidth="1"/>
    <col min="5390" max="5633" width="9.140625" style="25"/>
    <col min="5634" max="5634" width="10.7109375" style="25" customWidth="1"/>
    <col min="5635" max="5635" width="50.7109375" style="25" customWidth="1"/>
    <col min="5636" max="5636" width="15.5703125" style="25" customWidth="1"/>
    <col min="5637" max="5640" width="10.7109375" style="25" customWidth="1"/>
    <col min="5641" max="5642" width="12.7109375" style="25" customWidth="1"/>
    <col min="5643" max="5643" width="15.7109375" style="25" customWidth="1"/>
    <col min="5644" max="5644" width="40.7109375" style="25" customWidth="1"/>
    <col min="5645" max="5645" width="15.5703125" style="25" customWidth="1"/>
    <col min="5646" max="5889" width="9.140625" style="25"/>
    <col min="5890" max="5890" width="10.7109375" style="25" customWidth="1"/>
    <col min="5891" max="5891" width="50.7109375" style="25" customWidth="1"/>
    <col min="5892" max="5892" width="15.5703125" style="25" customWidth="1"/>
    <col min="5893" max="5896" width="10.7109375" style="25" customWidth="1"/>
    <col min="5897" max="5898" width="12.7109375" style="25" customWidth="1"/>
    <col min="5899" max="5899" width="15.7109375" style="25" customWidth="1"/>
    <col min="5900" max="5900" width="40.7109375" style="25" customWidth="1"/>
    <col min="5901" max="5901" width="15.5703125" style="25" customWidth="1"/>
    <col min="5902" max="6145" width="9.140625" style="25"/>
    <col min="6146" max="6146" width="10.7109375" style="25" customWidth="1"/>
    <col min="6147" max="6147" width="50.7109375" style="25" customWidth="1"/>
    <col min="6148" max="6148" width="15.5703125" style="25" customWidth="1"/>
    <col min="6149" max="6152" width="10.7109375" style="25" customWidth="1"/>
    <col min="6153" max="6154" width="12.7109375" style="25" customWidth="1"/>
    <col min="6155" max="6155" width="15.7109375" style="25" customWidth="1"/>
    <col min="6156" max="6156" width="40.7109375" style="25" customWidth="1"/>
    <col min="6157" max="6157" width="15.5703125" style="25" customWidth="1"/>
    <col min="6158" max="6401" width="9.140625" style="25"/>
    <col min="6402" max="6402" width="10.7109375" style="25" customWidth="1"/>
    <col min="6403" max="6403" width="50.7109375" style="25" customWidth="1"/>
    <col min="6404" max="6404" width="15.5703125" style="25" customWidth="1"/>
    <col min="6405" max="6408" width="10.7109375" style="25" customWidth="1"/>
    <col min="6409" max="6410" width="12.7109375" style="25" customWidth="1"/>
    <col min="6411" max="6411" width="15.7109375" style="25" customWidth="1"/>
    <col min="6412" max="6412" width="40.7109375" style="25" customWidth="1"/>
    <col min="6413" max="6413" width="15.5703125" style="25" customWidth="1"/>
    <col min="6414" max="6657" width="9.140625" style="25"/>
    <col min="6658" max="6658" width="10.7109375" style="25" customWidth="1"/>
    <col min="6659" max="6659" width="50.7109375" style="25" customWidth="1"/>
    <col min="6660" max="6660" width="15.5703125" style="25" customWidth="1"/>
    <col min="6661" max="6664" width="10.7109375" style="25" customWidth="1"/>
    <col min="6665" max="6666" width="12.7109375" style="25" customWidth="1"/>
    <col min="6667" max="6667" width="15.7109375" style="25" customWidth="1"/>
    <col min="6668" max="6668" width="40.7109375" style="25" customWidth="1"/>
    <col min="6669" max="6669" width="15.5703125" style="25" customWidth="1"/>
    <col min="6670" max="6913" width="9.140625" style="25"/>
    <col min="6914" max="6914" width="10.7109375" style="25" customWidth="1"/>
    <col min="6915" max="6915" width="50.7109375" style="25" customWidth="1"/>
    <col min="6916" max="6916" width="15.5703125" style="25" customWidth="1"/>
    <col min="6917" max="6920" width="10.7109375" style="25" customWidth="1"/>
    <col min="6921" max="6922" width="12.7109375" style="25" customWidth="1"/>
    <col min="6923" max="6923" width="15.7109375" style="25" customWidth="1"/>
    <col min="6924" max="6924" width="40.7109375" style="25" customWidth="1"/>
    <col min="6925" max="6925" width="15.5703125" style="25" customWidth="1"/>
    <col min="6926" max="7169" width="9.140625" style="25"/>
    <col min="7170" max="7170" width="10.7109375" style="25" customWidth="1"/>
    <col min="7171" max="7171" width="50.7109375" style="25" customWidth="1"/>
    <col min="7172" max="7172" width="15.5703125" style="25" customWidth="1"/>
    <col min="7173" max="7176" width="10.7109375" style="25" customWidth="1"/>
    <col min="7177" max="7178" width="12.7109375" style="25" customWidth="1"/>
    <col min="7179" max="7179" width="15.7109375" style="25" customWidth="1"/>
    <col min="7180" max="7180" width="40.7109375" style="25" customWidth="1"/>
    <col min="7181" max="7181" width="15.5703125" style="25" customWidth="1"/>
    <col min="7182" max="7425" width="9.140625" style="25"/>
    <col min="7426" max="7426" width="10.7109375" style="25" customWidth="1"/>
    <col min="7427" max="7427" width="50.7109375" style="25" customWidth="1"/>
    <col min="7428" max="7428" width="15.5703125" style="25" customWidth="1"/>
    <col min="7429" max="7432" width="10.7109375" style="25" customWidth="1"/>
    <col min="7433" max="7434" width="12.7109375" style="25" customWidth="1"/>
    <col min="7435" max="7435" width="15.7109375" style="25" customWidth="1"/>
    <col min="7436" max="7436" width="40.7109375" style="25" customWidth="1"/>
    <col min="7437" max="7437" width="15.5703125" style="25" customWidth="1"/>
    <col min="7438" max="7681" width="9.140625" style="25"/>
    <col min="7682" max="7682" width="10.7109375" style="25" customWidth="1"/>
    <col min="7683" max="7683" width="50.7109375" style="25" customWidth="1"/>
    <col min="7684" max="7684" width="15.5703125" style="25" customWidth="1"/>
    <col min="7685" max="7688" width="10.7109375" style="25" customWidth="1"/>
    <col min="7689" max="7690" width="12.7109375" style="25" customWidth="1"/>
    <col min="7691" max="7691" width="15.7109375" style="25" customWidth="1"/>
    <col min="7692" max="7692" width="40.7109375" style="25" customWidth="1"/>
    <col min="7693" max="7693" width="15.5703125" style="25" customWidth="1"/>
    <col min="7694" max="7937" width="9.140625" style="25"/>
    <col min="7938" max="7938" width="10.7109375" style="25" customWidth="1"/>
    <col min="7939" max="7939" width="50.7109375" style="25" customWidth="1"/>
    <col min="7940" max="7940" width="15.5703125" style="25" customWidth="1"/>
    <col min="7941" max="7944" width="10.7109375" style="25" customWidth="1"/>
    <col min="7945" max="7946" width="12.7109375" style="25" customWidth="1"/>
    <col min="7947" max="7947" width="15.7109375" style="25" customWidth="1"/>
    <col min="7948" max="7948" width="40.7109375" style="25" customWidth="1"/>
    <col min="7949" max="7949" width="15.5703125" style="25" customWidth="1"/>
    <col min="7950" max="8193" width="9.140625" style="25"/>
    <col min="8194" max="8194" width="10.7109375" style="25" customWidth="1"/>
    <col min="8195" max="8195" width="50.7109375" style="25" customWidth="1"/>
    <col min="8196" max="8196" width="15.5703125" style="25" customWidth="1"/>
    <col min="8197" max="8200" width="10.7109375" style="25" customWidth="1"/>
    <col min="8201" max="8202" width="12.7109375" style="25" customWidth="1"/>
    <col min="8203" max="8203" width="15.7109375" style="25" customWidth="1"/>
    <col min="8204" max="8204" width="40.7109375" style="25" customWidth="1"/>
    <col min="8205" max="8205" width="15.5703125" style="25" customWidth="1"/>
    <col min="8206" max="8449" width="9.140625" style="25"/>
    <col min="8450" max="8450" width="10.7109375" style="25" customWidth="1"/>
    <col min="8451" max="8451" width="50.7109375" style="25" customWidth="1"/>
    <col min="8452" max="8452" width="15.5703125" style="25" customWidth="1"/>
    <col min="8453" max="8456" width="10.7109375" style="25" customWidth="1"/>
    <col min="8457" max="8458" width="12.7109375" style="25" customWidth="1"/>
    <col min="8459" max="8459" width="15.7109375" style="25" customWidth="1"/>
    <col min="8460" max="8460" width="40.7109375" style="25" customWidth="1"/>
    <col min="8461" max="8461" width="15.5703125" style="25" customWidth="1"/>
    <col min="8462" max="8705" width="9.140625" style="25"/>
    <col min="8706" max="8706" width="10.7109375" style="25" customWidth="1"/>
    <col min="8707" max="8707" width="50.7109375" style="25" customWidth="1"/>
    <col min="8708" max="8708" width="15.5703125" style="25" customWidth="1"/>
    <col min="8709" max="8712" width="10.7109375" style="25" customWidth="1"/>
    <col min="8713" max="8714" width="12.7109375" style="25" customWidth="1"/>
    <col min="8715" max="8715" width="15.7109375" style="25" customWidth="1"/>
    <col min="8716" max="8716" width="40.7109375" style="25" customWidth="1"/>
    <col min="8717" max="8717" width="15.5703125" style="25" customWidth="1"/>
    <col min="8718" max="8961" width="9.140625" style="25"/>
    <col min="8962" max="8962" width="10.7109375" style="25" customWidth="1"/>
    <col min="8963" max="8963" width="50.7109375" style="25" customWidth="1"/>
    <col min="8964" max="8964" width="15.5703125" style="25" customWidth="1"/>
    <col min="8965" max="8968" width="10.7109375" style="25" customWidth="1"/>
    <col min="8969" max="8970" width="12.7109375" style="25" customWidth="1"/>
    <col min="8971" max="8971" width="15.7109375" style="25" customWidth="1"/>
    <col min="8972" max="8972" width="40.7109375" style="25" customWidth="1"/>
    <col min="8973" max="8973" width="15.5703125" style="25" customWidth="1"/>
    <col min="8974" max="9217" width="9.140625" style="25"/>
    <col min="9218" max="9218" width="10.7109375" style="25" customWidth="1"/>
    <col min="9219" max="9219" width="50.7109375" style="25" customWidth="1"/>
    <col min="9220" max="9220" width="15.5703125" style="25" customWidth="1"/>
    <col min="9221" max="9224" width="10.7109375" style="25" customWidth="1"/>
    <col min="9225" max="9226" width="12.7109375" style="25" customWidth="1"/>
    <col min="9227" max="9227" width="15.7109375" style="25" customWidth="1"/>
    <col min="9228" max="9228" width="40.7109375" style="25" customWidth="1"/>
    <col min="9229" max="9229" width="15.5703125" style="25" customWidth="1"/>
    <col min="9230" max="9473" width="9.140625" style="25"/>
    <col min="9474" max="9474" width="10.7109375" style="25" customWidth="1"/>
    <col min="9475" max="9475" width="50.7109375" style="25" customWidth="1"/>
    <col min="9476" max="9476" width="15.5703125" style="25" customWidth="1"/>
    <col min="9477" max="9480" width="10.7109375" style="25" customWidth="1"/>
    <col min="9481" max="9482" width="12.7109375" style="25" customWidth="1"/>
    <col min="9483" max="9483" width="15.7109375" style="25" customWidth="1"/>
    <col min="9484" max="9484" width="40.7109375" style="25" customWidth="1"/>
    <col min="9485" max="9485" width="15.5703125" style="25" customWidth="1"/>
    <col min="9486" max="9729" width="9.140625" style="25"/>
    <col min="9730" max="9730" width="10.7109375" style="25" customWidth="1"/>
    <col min="9731" max="9731" width="50.7109375" style="25" customWidth="1"/>
    <col min="9732" max="9732" width="15.5703125" style="25" customWidth="1"/>
    <col min="9733" max="9736" width="10.7109375" style="25" customWidth="1"/>
    <col min="9737" max="9738" width="12.7109375" style="25" customWidth="1"/>
    <col min="9739" max="9739" width="15.7109375" style="25" customWidth="1"/>
    <col min="9740" max="9740" width="40.7109375" style="25" customWidth="1"/>
    <col min="9741" max="9741" width="15.5703125" style="25" customWidth="1"/>
    <col min="9742" max="9985" width="9.140625" style="25"/>
    <col min="9986" max="9986" width="10.7109375" style="25" customWidth="1"/>
    <col min="9987" max="9987" width="50.7109375" style="25" customWidth="1"/>
    <col min="9988" max="9988" width="15.5703125" style="25" customWidth="1"/>
    <col min="9989" max="9992" width="10.7109375" style="25" customWidth="1"/>
    <col min="9993" max="9994" width="12.7109375" style="25" customWidth="1"/>
    <col min="9995" max="9995" width="15.7109375" style="25" customWidth="1"/>
    <col min="9996" max="9996" width="40.7109375" style="25" customWidth="1"/>
    <col min="9997" max="9997" width="15.5703125" style="25" customWidth="1"/>
    <col min="9998" max="10241" width="9.140625" style="25"/>
    <col min="10242" max="10242" width="10.7109375" style="25" customWidth="1"/>
    <col min="10243" max="10243" width="50.7109375" style="25" customWidth="1"/>
    <col min="10244" max="10244" width="15.5703125" style="25" customWidth="1"/>
    <col min="10245" max="10248" width="10.7109375" style="25" customWidth="1"/>
    <col min="10249" max="10250" width="12.7109375" style="25" customWidth="1"/>
    <col min="10251" max="10251" width="15.7109375" style="25" customWidth="1"/>
    <col min="10252" max="10252" width="40.7109375" style="25" customWidth="1"/>
    <col min="10253" max="10253" width="15.5703125" style="25" customWidth="1"/>
    <col min="10254" max="10497" width="9.140625" style="25"/>
    <col min="10498" max="10498" width="10.7109375" style="25" customWidth="1"/>
    <col min="10499" max="10499" width="50.7109375" style="25" customWidth="1"/>
    <col min="10500" max="10500" width="15.5703125" style="25" customWidth="1"/>
    <col min="10501" max="10504" width="10.7109375" style="25" customWidth="1"/>
    <col min="10505" max="10506" width="12.7109375" style="25" customWidth="1"/>
    <col min="10507" max="10507" width="15.7109375" style="25" customWidth="1"/>
    <col min="10508" max="10508" width="40.7109375" style="25" customWidth="1"/>
    <col min="10509" max="10509" width="15.5703125" style="25" customWidth="1"/>
    <col min="10510" max="10753" width="9.140625" style="25"/>
    <col min="10754" max="10754" width="10.7109375" style="25" customWidth="1"/>
    <col min="10755" max="10755" width="50.7109375" style="25" customWidth="1"/>
    <col min="10756" max="10756" width="15.5703125" style="25" customWidth="1"/>
    <col min="10757" max="10760" width="10.7109375" style="25" customWidth="1"/>
    <col min="10761" max="10762" width="12.7109375" style="25" customWidth="1"/>
    <col min="10763" max="10763" width="15.7109375" style="25" customWidth="1"/>
    <col min="10764" max="10764" width="40.7109375" style="25" customWidth="1"/>
    <col min="10765" max="10765" width="15.5703125" style="25" customWidth="1"/>
    <col min="10766" max="11009" width="9.140625" style="25"/>
    <col min="11010" max="11010" width="10.7109375" style="25" customWidth="1"/>
    <col min="11011" max="11011" width="50.7109375" style="25" customWidth="1"/>
    <col min="11012" max="11012" width="15.5703125" style="25" customWidth="1"/>
    <col min="11013" max="11016" width="10.7109375" style="25" customWidth="1"/>
    <col min="11017" max="11018" width="12.7109375" style="25" customWidth="1"/>
    <col min="11019" max="11019" width="15.7109375" style="25" customWidth="1"/>
    <col min="11020" max="11020" width="40.7109375" style="25" customWidth="1"/>
    <col min="11021" max="11021" width="15.5703125" style="25" customWidth="1"/>
    <col min="11022" max="11265" width="9.140625" style="25"/>
    <col min="11266" max="11266" width="10.7109375" style="25" customWidth="1"/>
    <col min="11267" max="11267" width="50.7109375" style="25" customWidth="1"/>
    <col min="11268" max="11268" width="15.5703125" style="25" customWidth="1"/>
    <col min="11269" max="11272" width="10.7109375" style="25" customWidth="1"/>
    <col min="11273" max="11274" width="12.7109375" style="25" customWidth="1"/>
    <col min="11275" max="11275" width="15.7109375" style="25" customWidth="1"/>
    <col min="11276" max="11276" width="40.7109375" style="25" customWidth="1"/>
    <col min="11277" max="11277" width="15.5703125" style="25" customWidth="1"/>
    <col min="11278" max="11521" width="9.140625" style="25"/>
    <col min="11522" max="11522" width="10.7109375" style="25" customWidth="1"/>
    <col min="11523" max="11523" width="50.7109375" style="25" customWidth="1"/>
    <col min="11524" max="11524" width="15.5703125" style="25" customWidth="1"/>
    <col min="11525" max="11528" width="10.7109375" style="25" customWidth="1"/>
    <col min="11529" max="11530" width="12.7109375" style="25" customWidth="1"/>
    <col min="11531" max="11531" width="15.7109375" style="25" customWidth="1"/>
    <col min="11532" max="11532" width="40.7109375" style="25" customWidth="1"/>
    <col min="11533" max="11533" width="15.5703125" style="25" customWidth="1"/>
    <col min="11534" max="11777" width="9.140625" style="25"/>
    <col min="11778" max="11778" width="10.7109375" style="25" customWidth="1"/>
    <col min="11779" max="11779" width="50.7109375" style="25" customWidth="1"/>
    <col min="11780" max="11780" width="15.5703125" style="25" customWidth="1"/>
    <col min="11781" max="11784" width="10.7109375" style="25" customWidth="1"/>
    <col min="11785" max="11786" width="12.7109375" style="25" customWidth="1"/>
    <col min="11787" max="11787" width="15.7109375" style="25" customWidth="1"/>
    <col min="11788" max="11788" width="40.7109375" style="25" customWidth="1"/>
    <col min="11789" max="11789" width="15.5703125" style="25" customWidth="1"/>
    <col min="11790" max="12033" width="9.140625" style="25"/>
    <col min="12034" max="12034" width="10.7109375" style="25" customWidth="1"/>
    <col min="12035" max="12035" width="50.7109375" style="25" customWidth="1"/>
    <col min="12036" max="12036" width="15.5703125" style="25" customWidth="1"/>
    <col min="12037" max="12040" width="10.7109375" style="25" customWidth="1"/>
    <col min="12041" max="12042" width="12.7109375" style="25" customWidth="1"/>
    <col min="12043" max="12043" width="15.7109375" style="25" customWidth="1"/>
    <col min="12044" max="12044" width="40.7109375" style="25" customWidth="1"/>
    <col min="12045" max="12045" width="15.5703125" style="25" customWidth="1"/>
    <col min="12046" max="12289" width="9.140625" style="25"/>
    <col min="12290" max="12290" width="10.7109375" style="25" customWidth="1"/>
    <col min="12291" max="12291" width="50.7109375" style="25" customWidth="1"/>
    <col min="12292" max="12292" width="15.5703125" style="25" customWidth="1"/>
    <col min="12293" max="12296" width="10.7109375" style="25" customWidth="1"/>
    <col min="12297" max="12298" width="12.7109375" style="25" customWidth="1"/>
    <col min="12299" max="12299" width="15.7109375" style="25" customWidth="1"/>
    <col min="12300" max="12300" width="40.7109375" style="25" customWidth="1"/>
    <col min="12301" max="12301" width="15.5703125" style="25" customWidth="1"/>
    <col min="12302" max="12545" width="9.140625" style="25"/>
    <col min="12546" max="12546" width="10.7109375" style="25" customWidth="1"/>
    <col min="12547" max="12547" width="50.7109375" style="25" customWidth="1"/>
    <col min="12548" max="12548" width="15.5703125" style="25" customWidth="1"/>
    <col min="12549" max="12552" width="10.7109375" style="25" customWidth="1"/>
    <col min="12553" max="12554" width="12.7109375" style="25" customWidth="1"/>
    <col min="12555" max="12555" width="15.7109375" style="25" customWidth="1"/>
    <col min="12556" max="12556" width="40.7109375" style="25" customWidth="1"/>
    <col min="12557" max="12557" width="15.5703125" style="25" customWidth="1"/>
    <col min="12558" max="12801" width="9.140625" style="25"/>
    <col min="12802" max="12802" width="10.7109375" style="25" customWidth="1"/>
    <col min="12803" max="12803" width="50.7109375" style="25" customWidth="1"/>
    <col min="12804" max="12804" width="15.5703125" style="25" customWidth="1"/>
    <col min="12805" max="12808" width="10.7109375" style="25" customWidth="1"/>
    <col min="12809" max="12810" width="12.7109375" style="25" customWidth="1"/>
    <col min="12811" max="12811" width="15.7109375" style="25" customWidth="1"/>
    <col min="12812" max="12812" width="40.7109375" style="25" customWidth="1"/>
    <col min="12813" max="12813" width="15.5703125" style="25" customWidth="1"/>
    <col min="12814" max="13057" width="9.140625" style="25"/>
    <col min="13058" max="13058" width="10.7109375" style="25" customWidth="1"/>
    <col min="13059" max="13059" width="50.7109375" style="25" customWidth="1"/>
    <col min="13060" max="13060" width="15.5703125" style="25" customWidth="1"/>
    <col min="13061" max="13064" width="10.7109375" style="25" customWidth="1"/>
    <col min="13065" max="13066" width="12.7109375" style="25" customWidth="1"/>
    <col min="13067" max="13067" width="15.7109375" style="25" customWidth="1"/>
    <col min="13068" max="13068" width="40.7109375" style="25" customWidth="1"/>
    <col min="13069" max="13069" width="15.5703125" style="25" customWidth="1"/>
    <col min="13070" max="13313" width="9.140625" style="25"/>
    <col min="13314" max="13314" width="10.7109375" style="25" customWidth="1"/>
    <col min="13315" max="13315" width="50.7109375" style="25" customWidth="1"/>
    <col min="13316" max="13316" width="15.5703125" style="25" customWidth="1"/>
    <col min="13317" max="13320" width="10.7109375" style="25" customWidth="1"/>
    <col min="13321" max="13322" width="12.7109375" style="25" customWidth="1"/>
    <col min="13323" max="13323" width="15.7109375" style="25" customWidth="1"/>
    <col min="13324" max="13324" width="40.7109375" style="25" customWidth="1"/>
    <col min="13325" max="13325" width="15.5703125" style="25" customWidth="1"/>
    <col min="13326" max="13569" width="9.140625" style="25"/>
    <col min="13570" max="13570" width="10.7109375" style="25" customWidth="1"/>
    <col min="13571" max="13571" width="50.7109375" style="25" customWidth="1"/>
    <col min="13572" max="13572" width="15.5703125" style="25" customWidth="1"/>
    <col min="13573" max="13576" width="10.7109375" style="25" customWidth="1"/>
    <col min="13577" max="13578" width="12.7109375" style="25" customWidth="1"/>
    <col min="13579" max="13579" width="15.7109375" style="25" customWidth="1"/>
    <col min="13580" max="13580" width="40.7109375" style="25" customWidth="1"/>
    <col min="13581" max="13581" width="15.5703125" style="25" customWidth="1"/>
    <col min="13582" max="13825" width="9.140625" style="25"/>
    <col min="13826" max="13826" width="10.7109375" style="25" customWidth="1"/>
    <col min="13827" max="13827" width="50.7109375" style="25" customWidth="1"/>
    <col min="13828" max="13828" width="15.5703125" style="25" customWidth="1"/>
    <col min="13829" max="13832" width="10.7109375" style="25" customWidth="1"/>
    <col min="13833" max="13834" width="12.7109375" style="25" customWidth="1"/>
    <col min="13835" max="13835" width="15.7109375" style="25" customWidth="1"/>
    <col min="13836" max="13836" width="40.7109375" style="25" customWidth="1"/>
    <col min="13837" max="13837" width="15.5703125" style="25" customWidth="1"/>
    <col min="13838" max="14081" width="9.140625" style="25"/>
    <col min="14082" max="14082" width="10.7109375" style="25" customWidth="1"/>
    <col min="14083" max="14083" width="50.7109375" style="25" customWidth="1"/>
    <col min="14084" max="14084" width="15.5703125" style="25" customWidth="1"/>
    <col min="14085" max="14088" width="10.7109375" style="25" customWidth="1"/>
    <col min="14089" max="14090" width="12.7109375" style="25" customWidth="1"/>
    <col min="14091" max="14091" width="15.7109375" style="25" customWidth="1"/>
    <col min="14092" max="14092" width="40.7109375" style="25" customWidth="1"/>
    <col min="14093" max="14093" width="15.5703125" style="25" customWidth="1"/>
    <col min="14094" max="14337" width="9.140625" style="25"/>
    <col min="14338" max="14338" width="10.7109375" style="25" customWidth="1"/>
    <col min="14339" max="14339" width="50.7109375" style="25" customWidth="1"/>
    <col min="14340" max="14340" width="15.5703125" style="25" customWidth="1"/>
    <col min="14341" max="14344" width="10.7109375" style="25" customWidth="1"/>
    <col min="14345" max="14346" width="12.7109375" style="25" customWidth="1"/>
    <col min="14347" max="14347" width="15.7109375" style="25" customWidth="1"/>
    <col min="14348" max="14348" width="40.7109375" style="25" customWidth="1"/>
    <col min="14349" max="14349" width="15.5703125" style="25" customWidth="1"/>
    <col min="14350" max="14593" width="9.140625" style="25"/>
    <col min="14594" max="14594" width="10.7109375" style="25" customWidth="1"/>
    <col min="14595" max="14595" width="50.7109375" style="25" customWidth="1"/>
    <col min="14596" max="14596" width="15.5703125" style="25" customWidth="1"/>
    <col min="14597" max="14600" width="10.7109375" style="25" customWidth="1"/>
    <col min="14601" max="14602" width="12.7109375" style="25" customWidth="1"/>
    <col min="14603" max="14603" width="15.7109375" style="25" customWidth="1"/>
    <col min="14604" max="14604" width="40.7109375" style="25" customWidth="1"/>
    <col min="14605" max="14605" width="15.5703125" style="25" customWidth="1"/>
    <col min="14606" max="14849" width="9.140625" style="25"/>
    <col min="14850" max="14850" width="10.7109375" style="25" customWidth="1"/>
    <col min="14851" max="14851" width="50.7109375" style="25" customWidth="1"/>
    <col min="14852" max="14852" width="15.5703125" style="25" customWidth="1"/>
    <col min="14853" max="14856" width="10.7109375" style="25" customWidth="1"/>
    <col min="14857" max="14858" width="12.7109375" style="25" customWidth="1"/>
    <col min="14859" max="14859" width="15.7109375" style="25" customWidth="1"/>
    <col min="14860" max="14860" width="40.7109375" style="25" customWidth="1"/>
    <col min="14861" max="14861" width="15.5703125" style="25" customWidth="1"/>
    <col min="14862" max="15105" width="9.140625" style="25"/>
    <col min="15106" max="15106" width="10.7109375" style="25" customWidth="1"/>
    <col min="15107" max="15107" width="50.7109375" style="25" customWidth="1"/>
    <col min="15108" max="15108" width="15.5703125" style="25" customWidth="1"/>
    <col min="15109" max="15112" width="10.7109375" style="25" customWidth="1"/>
    <col min="15113" max="15114" width="12.7109375" style="25" customWidth="1"/>
    <col min="15115" max="15115" width="15.7109375" style="25" customWidth="1"/>
    <col min="15116" max="15116" width="40.7109375" style="25" customWidth="1"/>
    <col min="15117" max="15117" width="15.5703125" style="25" customWidth="1"/>
    <col min="15118" max="15361" width="9.140625" style="25"/>
    <col min="15362" max="15362" width="10.7109375" style="25" customWidth="1"/>
    <col min="15363" max="15363" width="50.7109375" style="25" customWidth="1"/>
    <col min="15364" max="15364" width="15.5703125" style="25" customWidth="1"/>
    <col min="15365" max="15368" width="10.7109375" style="25" customWidth="1"/>
    <col min="15369" max="15370" width="12.7109375" style="25" customWidth="1"/>
    <col min="15371" max="15371" width="15.7109375" style="25" customWidth="1"/>
    <col min="15372" max="15372" width="40.7109375" style="25" customWidth="1"/>
    <col min="15373" max="15373" width="15.5703125" style="25" customWidth="1"/>
    <col min="15374" max="15617" width="9.140625" style="25"/>
    <col min="15618" max="15618" width="10.7109375" style="25" customWidth="1"/>
    <col min="15619" max="15619" width="50.7109375" style="25" customWidth="1"/>
    <col min="15620" max="15620" width="15.5703125" style="25" customWidth="1"/>
    <col min="15621" max="15624" width="10.7109375" style="25" customWidth="1"/>
    <col min="15625" max="15626" width="12.7109375" style="25" customWidth="1"/>
    <col min="15627" max="15627" width="15.7109375" style="25" customWidth="1"/>
    <col min="15628" max="15628" width="40.7109375" style="25" customWidth="1"/>
    <col min="15629" max="15629" width="15.5703125" style="25" customWidth="1"/>
    <col min="15630" max="15873" width="9.140625" style="25"/>
    <col min="15874" max="15874" width="10.7109375" style="25" customWidth="1"/>
    <col min="15875" max="15875" width="50.7109375" style="25" customWidth="1"/>
    <col min="15876" max="15876" width="15.5703125" style="25" customWidth="1"/>
    <col min="15877" max="15880" width="10.7109375" style="25" customWidth="1"/>
    <col min="15881" max="15882" width="12.7109375" style="25" customWidth="1"/>
    <col min="15883" max="15883" width="15.7109375" style="25" customWidth="1"/>
    <col min="15884" max="15884" width="40.7109375" style="25" customWidth="1"/>
    <col min="15885" max="15885" width="15.5703125" style="25" customWidth="1"/>
    <col min="15886" max="16129" width="9.140625" style="25"/>
    <col min="16130" max="16130" width="10.7109375" style="25" customWidth="1"/>
    <col min="16131" max="16131" width="50.7109375" style="25" customWidth="1"/>
    <col min="16132" max="16132" width="15.5703125" style="25" customWidth="1"/>
    <col min="16133" max="16136" width="10.7109375" style="25" customWidth="1"/>
    <col min="16137" max="16138" width="12.7109375" style="25" customWidth="1"/>
    <col min="16139" max="16139" width="15.7109375" style="25" customWidth="1"/>
    <col min="16140" max="16140" width="40.7109375" style="25" customWidth="1"/>
    <col min="16141" max="16141" width="15.5703125" style="25" customWidth="1"/>
    <col min="16142" max="16384" width="9.140625" style="25"/>
  </cols>
  <sheetData>
    <row r="1" spans="1:13" s="489" customFormat="1" ht="69.95" customHeight="1" thickBot="1" x14ac:dyDescent="0.25">
      <c r="A1" s="966" t="s">
        <v>1024</v>
      </c>
      <c r="B1" s="967"/>
      <c r="C1" s="967"/>
      <c r="D1" s="967"/>
      <c r="E1" s="967"/>
      <c r="F1" s="967"/>
      <c r="G1" s="967"/>
      <c r="H1" s="967"/>
      <c r="I1" s="967"/>
      <c r="J1" s="967"/>
      <c r="K1" s="967"/>
      <c r="L1" s="968"/>
      <c r="M1" s="488"/>
    </row>
    <row r="2" spans="1:13" s="493" customFormat="1" ht="15.95" customHeight="1" thickTop="1" x14ac:dyDescent="0.25">
      <c r="A2" s="436" t="s">
        <v>1019</v>
      </c>
      <c r="B2" s="437">
        <v>0</v>
      </c>
      <c r="C2" s="438" t="s">
        <v>776</v>
      </c>
      <c r="D2" s="439">
        <f ca="1">COUNTIF($K$9:$K$135,"Deliverable Still In Progress")</f>
        <v>14</v>
      </c>
      <c r="E2" s="440"/>
      <c r="F2" s="441"/>
      <c r="G2" s="454"/>
      <c r="H2" s="441"/>
      <c r="I2" s="454"/>
      <c r="J2" s="490"/>
      <c r="K2" s="454"/>
      <c r="L2" s="491"/>
      <c r="M2" s="492"/>
    </row>
    <row r="3" spans="1:13" s="493" customFormat="1" ht="15.95" customHeight="1" x14ac:dyDescent="0.25">
      <c r="A3" s="436" t="s">
        <v>1020</v>
      </c>
      <c r="B3" s="437">
        <v>0</v>
      </c>
      <c r="C3" s="438" t="s">
        <v>777</v>
      </c>
      <c r="D3" s="439">
        <f ca="1">COUNTIF($K$9:$K$135,"Deliverable Completed")</f>
        <v>0</v>
      </c>
      <c r="E3" s="449">
        <f ca="1">D3/D6</f>
        <v>0</v>
      </c>
      <c r="F3" s="441"/>
      <c r="G3" s="454"/>
      <c r="H3" s="441"/>
      <c r="I3" s="454"/>
      <c r="J3" s="490"/>
      <c r="K3" s="454"/>
      <c r="L3" s="491"/>
      <c r="M3" s="492"/>
    </row>
    <row r="4" spans="1:13" s="493" customFormat="1" ht="15.95" customHeight="1" x14ac:dyDescent="0.25">
      <c r="A4" s="436" t="s">
        <v>1021</v>
      </c>
      <c r="B4" s="437"/>
      <c r="C4" s="438" t="s">
        <v>778</v>
      </c>
      <c r="D4" s="439">
        <f ca="1">D7-COUNTIF($K$9:$K$135,"completed")</f>
        <v>104</v>
      </c>
      <c r="E4" s="440"/>
      <c r="F4" s="441"/>
      <c r="G4" s="454"/>
      <c r="H4" s="441"/>
      <c r="I4" s="454"/>
      <c r="J4" s="490"/>
      <c r="K4" s="454"/>
      <c r="L4" s="491"/>
      <c r="M4" s="492"/>
    </row>
    <row r="5" spans="1:13" s="493" customFormat="1" ht="15.95" customHeight="1" x14ac:dyDescent="0.25">
      <c r="A5" s="451"/>
      <c r="B5" s="450"/>
      <c r="C5" s="452" t="s">
        <v>779</v>
      </c>
      <c r="D5" s="439">
        <f ca="1">D7-D4</f>
        <v>0</v>
      </c>
      <c r="E5" s="449">
        <f ca="1">D5/D7</f>
        <v>0</v>
      </c>
      <c r="F5" s="441"/>
      <c r="G5" s="454"/>
      <c r="H5" s="494"/>
      <c r="I5" s="454"/>
      <c r="J5" s="490"/>
      <c r="K5" s="454"/>
      <c r="L5" s="491"/>
      <c r="M5" s="492"/>
    </row>
    <row r="6" spans="1:13" s="493" customFormat="1" ht="15.95" customHeight="1" thickBot="1" x14ac:dyDescent="0.3">
      <c r="A6" s="451"/>
      <c r="B6" s="450"/>
      <c r="C6" s="452" t="s">
        <v>780</v>
      </c>
      <c r="D6" s="439">
        <f ca="1">D2+D3</f>
        <v>14</v>
      </c>
      <c r="E6" s="449"/>
      <c r="F6" s="441"/>
      <c r="G6" s="454"/>
      <c r="H6" s="441"/>
      <c r="I6" s="454"/>
      <c r="J6" s="490"/>
      <c r="K6" s="454"/>
      <c r="L6" s="491"/>
      <c r="M6" s="492"/>
    </row>
    <row r="7" spans="1:13" s="493" customFormat="1" ht="15.95" customHeight="1" thickBot="1" x14ac:dyDescent="0.3">
      <c r="A7" s="451"/>
      <c r="B7" s="450"/>
      <c r="C7" s="452" t="s">
        <v>781</v>
      </c>
      <c r="D7" s="439">
        <f ca="1">COUNTA($B$9:$B$135)-D6</f>
        <v>104</v>
      </c>
      <c r="E7" s="449"/>
      <c r="F7" s="441"/>
      <c r="G7" s="544" t="s">
        <v>1017</v>
      </c>
      <c r="H7" s="441"/>
      <c r="I7" s="454"/>
      <c r="J7" s="490"/>
      <c r="K7" s="544" t="s">
        <v>1017</v>
      </c>
      <c r="L7" s="491"/>
      <c r="M7" s="492"/>
    </row>
    <row r="8" spans="1:13" s="127" customFormat="1" ht="47.25" x14ac:dyDescent="0.25">
      <c r="A8" s="352" t="s">
        <v>90</v>
      </c>
      <c r="B8" s="353" t="s">
        <v>91</v>
      </c>
      <c r="C8" s="495" t="s">
        <v>48</v>
      </c>
      <c r="D8" s="496" t="s">
        <v>483</v>
      </c>
      <c r="E8" s="496" t="s">
        <v>92</v>
      </c>
      <c r="F8" s="496" t="s">
        <v>782</v>
      </c>
      <c r="G8" s="496" t="s">
        <v>783</v>
      </c>
      <c r="H8" s="496" t="s">
        <v>53</v>
      </c>
      <c r="I8" s="496" t="s">
        <v>95</v>
      </c>
      <c r="J8" s="496" t="s">
        <v>54</v>
      </c>
      <c r="K8" s="353" t="s">
        <v>55</v>
      </c>
      <c r="L8" s="427" t="s">
        <v>56</v>
      </c>
      <c r="M8" s="126"/>
    </row>
    <row r="9" spans="1:13" ht="15" customHeight="1" x14ac:dyDescent="0.2">
      <c r="A9" s="991" t="s">
        <v>484</v>
      </c>
      <c r="B9" s="844" t="s">
        <v>485</v>
      </c>
      <c r="C9" s="861"/>
      <c r="D9" s="862"/>
      <c r="E9" s="863"/>
      <c r="F9" s="112"/>
      <c r="G9" s="411">
        <f t="shared" ref="G9:G72" ca="1" si="0">IF(ISBLANK(H9),IF(ISERROR(DAYS360(TODAY(),F9))," ",(DAYS360(TODAY(),F9))),F9-H9)</f>
        <v>-43388</v>
      </c>
      <c r="H9" s="864"/>
      <c r="I9" s="865"/>
      <c r="J9" s="278"/>
      <c r="K9" s="38" t="str">
        <f ca="1">IF(AND(K10="completed",K11="completed",K12="completed",K13="completed",K14="completed",K15="completed",K16="completed"),"Deliverable Completed","DELIVERABLE STILL IN PROGRESS")</f>
        <v>DELIVERABLE STILL IN PROGRESS</v>
      </c>
      <c r="L9" s="182"/>
    </row>
    <row r="10" spans="1:13" ht="24.75" customHeight="1" x14ac:dyDescent="0.2">
      <c r="A10" s="992"/>
      <c r="B10" s="845" t="s">
        <v>486</v>
      </c>
      <c r="C10" s="866"/>
      <c r="D10" s="867"/>
      <c r="E10" s="864"/>
      <c r="F10" s="864"/>
      <c r="G10" s="231">
        <f t="shared" ca="1" si="0"/>
        <v>-43388</v>
      </c>
      <c r="H10" s="864"/>
      <c r="I10" s="865"/>
      <c r="J10" s="855"/>
      <c r="K10" s="38" t="str">
        <f t="shared" ref="K10:K16" ca="1" si="1">IF(H10&gt;0,"COMPLETED",(IF(J10&gt;0,"ISSUE IDENTIFIED",(IF(TODAY()&gt;F10,"OVERDUE","In Progress")))))</f>
        <v>OVERDUE</v>
      </c>
      <c r="L10" s="218"/>
    </row>
    <row r="11" spans="1:13" ht="25.5" customHeight="1" x14ac:dyDescent="0.2">
      <c r="A11" s="992"/>
      <c r="B11" s="845" t="s">
        <v>487</v>
      </c>
      <c r="C11" s="866"/>
      <c r="D11" s="867"/>
      <c r="E11" s="864"/>
      <c r="F11" s="864"/>
      <c r="G11" s="231">
        <f t="shared" ca="1" si="0"/>
        <v>-43388</v>
      </c>
      <c r="H11" s="864"/>
      <c r="I11" s="865"/>
      <c r="J11" s="855"/>
      <c r="K11" s="38" t="str">
        <f t="shared" ca="1" si="1"/>
        <v>OVERDUE</v>
      </c>
      <c r="L11" s="218"/>
    </row>
    <row r="12" spans="1:13" ht="12.75" customHeight="1" x14ac:dyDescent="0.2">
      <c r="A12" s="992"/>
      <c r="B12" s="845" t="s">
        <v>488</v>
      </c>
      <c r="C12" s="866"/>
      <c r="D12" s="867"/>
      <c r="E12" s="864"/>
      <c r="F12" s="864"/>
      <c r="G12" s="231">
        <f t="shared" ca="1" si="0"/>
        <v>-43388</v>
      </c>
      <c r="H12" s="864"/>
      <c r="I12" s="865"/>
      <c r="J12" s="855"/>
      <c r="K12" s="38" t="str">
        <f t="shared" ca="1" si="1"/>
        <v>OVERDUE</v>
      </c>
      <c r="L12" s="218"/>
    </row>
    <row r="13" spans="1:13" ht="21.75" customHeight="1" x14ac:dyDescent="0.2">
      <c r="A13" s="992"/>
      <c r="B13" s="845" t="s">
        <v>489</v>
      </c>
      <c r="C13" s="866"/>
      <c r="D13" s="867"/>
      <c r="E13" s="864"/>
      <c r="F13" s="864"/>
      <c r="G13" s="231">
        <f t="shared" ca="1" si="0"/>
        <v>-43388</v>
      </c>
      <c r="H13" s="864"/>
      <c r="I13" s="865"/>
      <c r="J13" s="855"/>
      <c r="K13" s="38" t="str">
        <f t="shared" ca="1" si="1"/>
        <v>OVERDUE</v>
      </c>
      <c r="L13" s="218"/>
    </row>
    <row r="14" spans="1:13" ht="14.25" customHeight="1" x14ac:dyDescent="0.2">
      <c r="A14" s="992"/>
      <c r="B14" s="845" t="s">
        <v>490</v>
      </c>
      <c r="C14" s="866"/>
      <c r="D14" s="867"/>
      <c r="E14" s="864"/>
      <c r="F14" s="864"/>
      <c r="G14" s="231">
        <f t="shared" ca="1" si="0"/>
        <v>-43388</v>
      </c>
      <c r="H14" s="864"/>
      <c r="I14" s="865"/>
      <c r="J14" s="855"/>
      <c r="K14" s="38" t="str">
        <f t="shared" ca="1" si="1"/>
        <v>OVERDUE</v>
      </c>
      <c r="L14" s="218"/>
    </row>
    <row r="15" spans="1:13" ht="14.25" customHeight="1" x14ac:dyDescent="0.2">
      <c r="A15" s="992"/>
      <c r="B15" s="845" t="s">
        <v>491</v>
      </c>
      <c r="C15" s="866"/>
      <c r="D15" s="867"/>
      <c r="E15" s="864"/>
      <c r="F15" s="864"/>
      <c r="G15" s="231">
        <f t="shared" ca="1" si="0"/>
        <v>-43388</v>
      </c>
      <c r="H15" s="864"/>
      <c r="I15" s="865"/>
      <c r="J15" s="855"/>
      <c r="K15" s="38" t="str">
        <f t="shared" ca="1" si="1"/>
        <v>OVERDUE</v>
      </c>
      <c r="L15" s="218"/>
    </row>
    <row r="16" spans="1:13" ht="13.5" customHeight="1" x14ac:dyDescent="0.2">
      <c r="A16" s="993"/>
      <c r="B16" s="846" t="s">
        <v>492</v>
      </c>
      <c r="C16" s="868"/>
      <c r="D16" s="869"/>
      <c r="E16" s="870"/>
      <c r="F16" s="870"/>
      <c r="G16" s="410">
        <f t="shared" ca="1" si="0"/>
        <v>-43388</v>
      </c>
      <c r="H16" s="870"/>
      <c r="I16" s="871"/>
      <c r="J16" s="856"/>
      <c r="K16" s="175" t="str">
        <f t="shared" ca="1" si="1"/>
        <v>OVERDUE</v>
      </c>
      <c r="L16" s="473"/>
    </row>
    <row r="17" spans="1:13" s="20" customFormat="1" ht="15" customHeight="1" x14ac:dyDescent="0.2">
      <c r="A17" s="998" t="s">
        <v>493</v>
      </c>
      <c r="B17" s="844" t="s">
        <v>494</v>
      </c>
      <c r="C17" s="872"/>
      <c r="D17" s="862"/>
      <c r="E17" s="863"/>
      <c r="F17" s="863"/>
      <c r="G17" s="231">
        <f t="shared" ca="1" si="0"/>
        <v>-43388</v>
      </c>
      <c r="H17" s="279"/>
      <c r="I17" s="862"/>
      <c r="J17" s="857"/>
      <c r="K17" s="116" t="str">
        <f ca="1">IF(AND(K18="completed",K19="completed",K20="completed",K21="completed",K22="completed"),"Deliverable Completed","DELIVERABLE STILL IN PROGRESS")</f>
        <v>DELIVERABLE STILL IN PROGRESS</v>
      </c>
      <c r="L17" s="474"/>
    </row>
    <row r="18" spans="1:13" ht="14.45" customHeight="1" x14ac:dyDescent="0.2">
      <c r="A18" s="999"/>
      <c r="B18" s="847" t="s">
        <v>495</v>
      </c>
      <c r="C18" s="866"/>
      <c r="D18" s="867"/>
      <c r="E18" s="864"/>
      <c r="F18" s="864"/>
      <c r="G18" s="231">
        <f t="shared" ca="1" si="0"/>
        <v>-43388</v>
      </c>
      <c r="H18" s="864"/>
      <c r="I18" s="867"/>
      <c r="J18" s="855"/>
      <c r="K18" s="38" t="str">
        <f ca="1">IF(H18&gt;0,"COMPLETED",(IF(J18&gt;0,"ISSUE IDENTIFIED",(IF(TODAY()&gt;F18,"OVERDUE","In Progress")))))</f>
        <v>OVERDUE</v>
      </c>
      <c r="L18" s="475"/>
    </row>
    <row r="19" spans="1:13" ht="15" x14ac:dyDescent="0.2">
      <c r="A19" s="999"/>
      <c r="B19" s="847" t="s">
        <v>496</v>
      </c>
      <c r="C19" s="866"/>
      <c r="D19" s="867"/>
      <c r="E19" s="864"/>
      <c r="F19" s="864"/>
      <c r="G19" s="231">
        <f t="shared" ca="1" si="0"/>
        <v>-43388</v>
      </c>
      <c r="H19" s="864"/>
      <c r="I19" s="867"/>
      <c r="J19" s="855"/>
      <c r="K19" s="38" t="str">
        <f ca="1">IF(H19&gt;0,"COMPLETED",(IF(J19&gt;0,"ISSUE IDENTIFIED",(IF(TODAY()&gt;F19,"OVERDUE","In Progress")))))</f>
        <v>OVERDUE</v>
      </c>
      <c r="L19" s="475"/>
    </row>
    <row r="20" spans="1:13" ht="15" x14ac:dyDescent="0.2">
      <c r="A20" s="999"/>
      <c r="B20" s="847" t="s">
        <v>497</v>
      </c>
      <c r="C20" s="866"/>
      <c r="D20" s="867"/>
      <c r="E20" s="864"/>
      <c r="F20" s="864"/>
      <c r="G20" s="231">
        <f t="shared" ca="1" si="0"/>
        <v>-43388</v>
      </c>
      <c r="H20" s="864"/>
      <c r="I20" s="867"/>
      <c r="J20" s="855"/>
      <c r="K20" s="38" t="str">
        <f ca="1">IF(H20&gt;0,"COMPLETED",(IF(J20&gt;0,"ISSUE IDENTIFIED",(IF(TODAY()&gt;F20,"OVERDUE","In Progress")))))</f>
        <v>OVERDUE</v>
      </c>
      <c r="L20" s="475"/>
    </row>
    <row r="21" spans="1:13" ht="15" x14ac:dyDescent="0.2">
      <c r="A21" s="999"/>
      <c r="B21" s="847" t="s">
        <v>498</v>
      </c>
      <c r="C21" s="866"/>
      <c r="D21" s="867"/>
      <c r="E21" s="864"/>
      <c r="F21" s="864"/>
      <c r="G21" s="231">
        <f t="shared" ca="1" si="0"/>
        <v>-43388</v>
      </c>
      <c r="H21" s="864"/>
      <c r="I21" s="867"/>
      <c r="J21" s="855"/>
      <c r="K21" s="38" t="str">
        <f ca="1">IF(H21&gt;0,"COMPLETED",(IF(J21&gt;0,"ISSUE IDENTIFIED",(IF(TODAY()&gt;F21,"OVERDUE","In Progress")))))</f>
        <v>OVERDUE</v>
      </c>
      <c r="L21" s="476"/>
    </row>
    <row r="22" spans="1:13" ht="15" x14ac:dyDescent="0.2">
      <c r="A22" s="999"/>
      <c r="B22" s="848" t="s">
        <v>499</v>
      </c>
      <c r="C22" s="868"/>
      <c r="D22" s="869"/>
      <c r="E22" s="870"/>
      <c r="F22" s="870"/>
      <c r="G22" s="410">
        <f t="shared" ca="1" si="0"/>
        <v>-43388</v>
      </c>
      <c r="H22" s="280"/>
      <c r="I22" s="869"/>
      <c r="J22" s="856"/>
      <c r="K22" s="175" t="str">
        <f ca="1">IF(H22&gt;0,"COMPLETED",(IF(J22&gt;0,"ISSUE IDENTIFIED",(IF(TODAY()&gt;F22,"OVERDUE","In Progress")))))</f>
        <v>OVERDUE</v>
      </c>
      <c r="L22" s="477"/>
    </row>
    <row r="23" spans="1:13" ht="15" x14ac:dyDescent="0.2">
      <c r="A23" s="999"/>
      <c r="B23" s="844" t="s">
        <v>500</v>
      </c>
      <c r="C23" s="872"/>
      <c r="D23" s="862"/>
      <c r="E23" s="863"/>
      <c r="F23" s="112"/>
      <c r="G23" s="411">
        <f t="shared" ca="1" si="0"/>
        <v>-43388</v>
      </c>
      <c r="H23" s="108"/>
      <c r="I23" s="862"/>
      <c r="J23" s="857"/>
      <c r="K23" s="116" t="str">
        <f ca="1">IF(AND(K24="completed",K25="completed",K26="completed",K27="completed",K28="completed",K30="completed"),"Deliverable Completed","DELIVERABLE STILL IN PROGRESS")</f>
        <v>DELIVERABLE STILL IN PROGRESS</v>
      </c>
      <c r="L23" s="474"/>
    </row>
    <row r="24" spans="1:13" ht="15" x14ac:dyDescent="0.2">
      <c r="A24" s="999"/>
      <c r="B24" s="849" t="s">
        <v>501</v>
      </c>
      <c r="C24" s="866"/>
      <c r="D24" s="867"/>
      <c r="E24" s="864"/>
      <c r="F24" s="864"/>
      <c r="G24" s="231">
        <f t="shared" ca="1" si="0"/>
        <v>-43388</v>
      </c>
      <c r="H24" s="864"/>
      <c r="I24" s="867"/>
      <c r="J24" s="855"/>
      <c r="K24" s="38" t="str">
        <f t="shared" ref="K24:K30" ca="1" si="2">IF(H24&gt;0,"COMPLETED",(IF(J24&gt;0,"ISSUE IDENTIFIED",(IF(TODAY()&gt;F24,"OVERDUE","In Progress")))))</f>
        <v>OVERDUE</v>
      </c>
      <c r="L24" s="475"/>
    </row>
    <row r="25" spans="1:13" ht="15" x14ac:dyDescent="0.2">
      <c r="A25" s="999"/>
      <c r="B25" s="849" t="s">
        <v>502</v>
      </c>
      <c r="C25" s="866"/>
      <c r="D25" s="867"/>
      <c r="E25" s="864"/>
      <c r="F25" s="864"/>
      <c r="G25" s="231">
        <f t="shared" ca="1" si="0"/>
        <v>-43388</v>
      </c>
      <c r="H25" s="864"/>
      <c r="I25" s="867"/>
      <c r="J25" s="855"/>
      <c r="K25" s="38" t="str">
        <f t="shared" ca="1" si="2"/>
        <v>OVERDUE</v>
      </c>
      <c r="L25" s="475"/>
    </row>
    <row r="26" spans="1:13" ht="15" x14ac:dyDescent="0.2">
      <c r="A26" s="999"/>
      <c r="B26" s="849" t="s">
        <v>503</v>
      </c>
      <c r="C26" s="866"/>
      <c r="D26" s="867"/>
      <c r="E26" s="864"/>
      <c r="F26" s="864"/>
      <c r="G26" s="231">
        <f t="shared" ca="1" si="0"/>
        <v>-43388</v>
      </c>
      <c r="H26" s="864"/>
      <c r="I26" s="867"/>
      <c r="J26" s="855"/>
      <c r="K26" s="38" t="str">
        <f t="shared" ca="1" si="2"/>
        <v>OVERDUE</v>
      </c>
      <c r="L26" s="475"/>
    </row>
    <row r="27" spans="1:13" ht="23.25" customHeight="1" x14ac:dyDescent="0.2">
      <c r="A27" s="999"/>
      <c r="B27" s="849" t="s">
        <v>504</v>
      </c>
      <c r="C27" s="866"/>
      <c r="D27" s="867"/>
      <c r="E27" s="864"/>
      <c r="F27" s="864"/>
      <c r="G27" s="231">
        <f t="shared" ca="1" si="0"/>
        <v>-43388</v>
      </c>
      <c r="H27" s="864"/>
      <c r="I27" s="867"/>
      <c r="J27" s="855"/>
      <c r="K27" s="38" t="str">
        <f t="shared" ca="1" si="2"/>
        <v>OVERDUE</v>
      </c>
      <c r="L27" s="475"/>
      <c r="M27" s="478"/>
    </row>
    <row r="28" spans="1:13" ht="15.75" customHeight="1" x14ac:dyDescent="0.2">
      <c r="A28" s="999"/>
      <c r="B28" s="849" t="s">
        <v>505</v>
      </c>
      <c r="C28" s="866"/>
      <c r="D28" s="867"/>
      <c r="E28" s="864"/>
      <c r="F28" s="864"/>
      <c r="G28" s="231">
        <f t="shared" ca="1" si="0"/>
        <v>-43388</v>
      </c>
      <c r="H28" s="864"/>
      <c r="I28" s="867"/>
      <c r="J28" s="855"/>
      <c r="K28" s="38" t="str">
        <f t="shared" ca="1" si="2"/>
        <v>OVERDUE</v>
      </c>
      <c r="L28" s="475"/>
      <c r="M28" s="478"/>
    </row>
    <row r="29" spans="1:13" ht="15.75" customHeight="1" x14ac:dyDescent="0.2">
      <c r="A29" s="1000"/>
      <c r="B29" s="849" t="s">
        <v>506</v>
      </c>
      <c r="C29" s="866"/>
      <c r="D29" s="867"/>
      <c r="E29" s="864"/>
      <c r="F29" s="864"/>
      <c r="G29" s="411">
        <f t="shared" ca="1" si="0"/>
        <v>-43388</v>
      </c>
      <c r="H29" s="864"/>
      <c r="I29" s="867"/>
      <c r="J29" s="855"/>
      <c r="K29" s="38" t="str">
        <f t="shared" ca="1" si="2"/>
        <v>OVERDUE</v>
      </c>
      <c r="L29" s="475"/>
      <c r="M29" s="478"/>
    </row>
    <row r="30" spans="1:13" ht="20.25" customHeight="1" x14ac:dyDescent="0.2">
      <c r="A30" s="1001"/>
      <c r="B30" s="479" t="s">
        <v>507</v>
      </c>
      <c r="C30" s="480"/>
      <c r="D30" s="481"/>
      <c r="E30" s="482"/>
      <c r="F30" s="870"/>
      <c r="G30" s="410">
        <f t="shared" ca="1" si="0"/>
        <v>-43388</v>
      </c>
      <c r="H30" s="280"/>
      <c r="I30" s="481"/>
      <c r="J30" s="858"/>
      <c r="K30" s="293" t="str">
        <f t="shared" ca="1" si="2"/>
        <v>OVERDUE</v>
      </c>
      <c r="L30" s="483"/>
      <c r="M30" s="478"/>
    </row>
    <row r="31" spans="1:13" ht="15" x14ac:dyDescent="0.2">
      <c r="A31" s="999" t="s">
        <v>61</v>
      </c>
      <c r="B31" s="844" t="s">
        <v>508</v>
      </c>
      <c r="C31" s="873"/>
      <c r="D31" s="874"/>
      <c r="E31" s="863"/>
      <c r="F31" s="863"/>
      <c r="G31" s="411">
        <f t="shared" ca="1" si="0"/>
        <v>-43388</v>
      </c>
      <c r="H31" s="108"/>
      <c r="I31" s="862"/>
      <c r="J31" s="857"/>
      <c r="K31" s="116" t="str">
        <f ca="1">IF(AND(K32="completed",K33="completed",K34="completed",K35="completed",K36="completed",K37="completed",K38="completed",K39="completed",K40="completed",K41="completed",K42="completed",K43="completed"),"Deliverable Completed","DELIVERABLE STILL IN PROGRESS")</f>
        <v>DELIVERABLE STILL IN PROGRESS</v>
      </c>
      <c r="L31" s="474"/>
    </row>
    <row r="32" spans="1:13" ht="15" x14ac:dyDescent="0.2">
      <c r="A32" s="999"/>
      <c r="B32" s="845" t="s">
        <v>509</v>
      </c>
      <c r="C32" s="875"/>
      <c r="D32" s="876"/>
      <c r="E32" s="864"/>
      <c r="F32" s="864"/>
      <c r="G32" s="231">
        <f t="shared" ca="1" si="0"/>
        <v>-43388</v>
      </c>
      <c r="H32" s="864"/>
      <c r="I32" s="867"/>
      <c r="J32" s="855"/>
      <c r="K32" s="38" t="str">
        <f t="shared" ref="K32:K43" ca="1" si="3">IF(H32&gt;0,"COMPLETED",(IF(J32&gt;0,"ISSUE IDENTIFIED",(IF(TODAY()&gt;F32,"OVERDUE","In Progress")))))</f>
        <v>OVERDUE</v>
      </c>
      <c r="L32" s="476"/>
    </row>
    <row r="33" spans="1:12" ht="15" x14ac:dyDescent="0.2">
      <c r="A33" s="999"/>
      <c r="B33" s="845" t="s">
        <v>510</v>
      </c>
      <c r="C33" s="875"/>
      <c r="D33" s="876"/>
      <c r="E33" s="864"/>
      <c r="F33" s="864"/>
      <c r="G33" s="231">
        <f t="shared" ca="1" si="0"/>
        <v>-43388</v>
      </c>
      <c r="H33" s="864"/>
      <c r="I33" s="867"/>
      <c r="J33" s="855"/>
      <c r="K33" s="38" t="str">
        <f t="shared" ca="1" si="3"/>
        <v>OVERDUE</v>
      </c>
      <c r="L33" s="475"/>
    </row>
    <row r="34" spans="1:12" ht="15" x14ac:dyDescent="0.2">
      <c r="A34" s="999"/>
      <c r="B34" s="850" t="s">
        <v>511</v>
      </c>
      <c r="C34" s="875"/>
      <c r="D34" s="876"/>
      <c r="E34" s="864"/>
      <c r="F34" s="864"/>
      <c r="G34" s="231">
        <f t="shared" ca="1" si="0"/>
        <v>-43388</v>
      </c>
      <c r="H34" s="864"/>
      <c r="I34" s="867"/>
      <c r="J34" s="855"/>
      <c r="K34" s="38" t="str">
        <f t="shared" ca="1" si="3"/>
        <v>OVERDUE</v>
      </c>
      <c r="L34" s="475"/>
    </row>
    <row r="35" spans="1:12" ht="14.45" customHeight="1" x14ac:dyDescent="0.2">
      <c r="A35" s="999"/>
      <c r="B35" s="850" t="s">
        <v>512</v>
      </c>
      <c r="C35" s="875"/>
      <c r="D35" s="876"/>
      <c r="E35" s="864"/>
      <c r="F35" s="864"/>
      <c r="G35" s="231">
        <f t="shared" ca="1" si="0"/>
        <v>-43388</v>
      </c>
      <c r="H35" s="864"/>
      <c r="I35" s="867"/>
      <c r="J35" s="855"/>
      <c r="K35" s="38" t="str">
        <f t="shared" ca="1" si="3"/>
        <v>OVERDUE</v>
      </c>
      <c r="L35" s="475"/>
    </row>
    <row r="36" spans="1:12" ht="15" x14ac:dyDescent="0.2">
      <c r="A36" s="999"/>
      <c r="B36" s="850" t="s">
        <v>513</v>
      </c>
      <c r="C36" s="875"/>
      <c r="D36" s="876"/>
      <c r="E36" s="864"/>
      <c r="F36" s="864"/>
      <c r="G36" s="231">
        <f t="shared" ca="1" si="0"/>
        <v>-43388</v>
      </c>
      <c r="H36" s="864"/>
      <c r="I36" s="867"/>
      <c r="J36" s="855"/>
      <c r="K36" s="38" t="str">
        <f t="shared" ca="1" si="3"/>
        <v>OVERDUE</v>
      </c>
      <c r="L36" s="475"/>
    </row>
    <row r="37" spans="1:12" ht="15" x14ac:dyDescent="0.2">
      <c r="A37" s="999"/>
      <c r="B37" s="850" t="s">
        <v>514</v>
      </c>
      <c r="C37" s="875"/>
      <c r="D37" s="876"/>
      <c r="E37" s="864"/>
      <c r="F37" s="864"/>
      <c r="G37" s="231">
        <f t="shared" ca="1" si="0"/>
        <v>-43388</v>
      </c>
      <c r="H37" s="864"/>
      <c r="I37" s="867"/>
      <c r="J37" s="855"/>
      <c r="K37" s="38" t="str">
        <f t="shared" ca="1" si="3"/>
        <v>OVERDUE</v>
      </c>
      <c r="L37" s="475"/>
    </row>
    <row r="38" spans="1:12" ht="13.15" customHeight="1" x14ac:dyDescent="0.2">
      <c r="A38" s="999"/>
      <c r="B38" s="850" t="s">
        <v>515</v>
      </c>
      <c r="C38" s="875"/>
      <c r="D38" s="876"/>
      <c r="E38" s="864"/>
      <c r="F38" s="864"/>
      <c r="G38" s="231">
        <f t="shared" ca="1" si="0"/>
        <v>-43388</v>
      </c>
      <c r="H38" s="864"/>
      <c r="I38" s="867"/>
      <c r="J38" s="855"/>
      <c r="K38" s="38" t="str">
        <f t="shared" ca="1" si="3"/>
        <v>OVERDUE</v>
      </c>
      <c r="L38" s="475"/>
    </row>
    <row r="39" spans="1:12" ht="15" x14ac:dyDescent="0.2">
      <c r="A39" s="999"/>
      <c r="B39" s="850" t="s">
        <v>516</v>
      </c>
      <c r="C39" s="875"/>
      <c r="D39" s="876"/>
      <c r="E39" s="864"/>
      <c r="F39" s="864"/>
      <c r="G39" s="231">
        <f t="shared" ca="1" si="0"/>
        <v>-43388</v>
      </c>
      <c r="H39" s="864"/>
      <c r="I39" s="867"/>
      <c r="J39" s="855"/>
      <c r="K39" s="38" t="str">
        <f t="shared" ca="1" si="3"/>
        <v>OVERDUE</v>
      </c>
      <c r="L39" s="475"/>
    </row>
    <row r="40" spans="1:12" ht="15" x14ac:dyDescent="0.2">
      <c r="A40" s="999"/>
      <c r="B40" s="845" t="s">
        <v>517</v>
      </c>
      <c r="C40" s="875"/>
      <c r="D40" s="876"/>
      <c r="E40" s="864"/>
      <c r="F40" s="864"/>
      <c r="G40" s="231">
        <f t="shared" ca="1" si="0"/>
        <v>-43388</v>
      </c>
      <c r="H40" s="864"/>
      <c r="I40" s="867"/>
      <c r="J40" s="855"/>
      <c r="K40" s="38" t="str">
        <f t="shared" ca="1" si="3"/>
        <v>OVERDUE</v>
      </c>
      <c r="L40" s="475"/>
    </row>
    <row r="41" spans="1:12" ht="15" x14ac:dyDescent="0.2">
      <c r="A41" s="999"/>
      <c r="B41" s="845" t="s">
        <v>518</v>
      </c>
      <c r="C41" s="875"/>
      <c r="D41" s="876"/>
      <c r="E41" s="864"/>
      <c r="F41" s="864"/>
      <c r="G41" s="231">
        <f t="shared" ca="1" si="0"/>
        <v>-43388</v>
      </c>
      <c r="H41" s="864"/>
      <c r="I41" s="867"/>
      <c r="J41" s="855"/>
      <c r="K41" s="38" t="str">
        <f t="shared" ca="1" si="3"/>
        <v>OVERDUE</v>
      </c>
      <c r="L41" s="475"/>
    </row>
    <row r="42" spans="1:12" ht="15" x14ac:dyDescent="0.2">
      <c r="A42" s="999"/>
      <c r="B42" s="845" t="s">
        <v>519</v>
      </c>
      <c r="C42" s="875"/>
      <c r="D42" s="876"/>
      <c r="E42" s="864"/>
      <c r="F42" s="864"/>
      <c r="G42" s="231">
        <f t="shared" ca="1" si="0"/>
        <v>-43388</v>
      </c>
      <c r="H42" s="864"/>
      <c r="I42" s="867"/>
      <c r="J42" s="855"/>
      <c r="K42" s="38" t="str">
        <f t="shared" ca="1" si="3"/>
        <v>OVERDUE</v>
      </c>
      <c r="L42" s="475"/>
    </row>
    <row r="43" spans="1:12" ht="15" x14ac:dyDescent="0.2">
      <c r="A43" s="999"/>
      <c r="B43" s="851" t="s">
        <v>520</v>
      </c>
      <c r="C43" s="877"/>
      <c r="D43" s="878"/>
      <c r="E43" s="870"/>
      <c r="F43" s="870"/>
      <c r="G43" s="410">
        <f t="shared" ca="1" si="0"/>
        <v>-43388</v>
      </c>
      <c r="H43" s="174"/>
      <c r="I43" s="869"/>
      <c r="J43" s="856"/>
      <c r="K43" s="175" t="str">
        <f t="shared" ca="1" si="3"/>
        <v>OVERDUE</v>
      </c>
      <c r="L43" s="484"/>
    </row>
    <row r="44" spans="1:12" ht="15" x14ac:dyDescent="0.2">
      <c r="A44" s="999"/>
      <c r="B44" s="844" t="s">
        <v>521</v>
      </c>
      <c r="C44" s="873"/>
      <c r="D44" s="874"/>
      <c r="E44" s="863"/>
      <c r="F44" s="112"/>
      <c r="G44" s="411">
        <f t="shared" ca="1" si="0"/>
        <v>-43388</v>
      </c>
      <c r="H44" s="43"/>
      <c r="I44" s="862"/>
      <c r="J44" s="857"/>
      <c r="K44" s="116" t="str">
        <f ca="1">IF(AND(K45="completed",K46="completed",K47="completed",K48="completed",K49="completed",K50="completed",K51="completed",K52="completed",K53="completed",K54="completed",K55="completed",K56="completed",K57="completed",K58="completed",K59="completed",K60="completed",K61="completed",K62="completed"),"Deliverable Completed","DELIVERABLE STILL IN PROGRESS")</f>
        <v>DELIVERABLE STILL IN PROGRESS</v>
      </c>
      <c r="L44" s="474"/>
    </row>
    <row r="45" spans="1:12" ht="15" x14ac:dyDescent="0.2">
      <c r="A45" s="999"/>
      <c r="B45" s="845" t="s">
        <v>522</v>
      </c>
      <c r="C45" s="875"/>
      <c r="D45" s="876"/>
      <c r="E45" s="864"/>
      <c r="F45" s="864"/>
      <c r="G45" s="231">
        <f t="shared" ca="1" si="0"/>
        <v>-43388</v>
      </c>
      <c r="H45" s="864"/>
      <c r="I45" s="867"/>
      <c r="J45" s="855"/>
      <c r="K45" s="38" t="str">
        <f t="shared" ref="K45:K62" ca="1" si="4">IF(H45&gt;0,"COMPLETED",(IF(J45&gt;0,"ISSUE IDENTIFIED",(IF(TODAY()&gt;F45,"OVERDUE","In Progress")))))</f>
        <v>OVERDUE</v>
      </c>
      <c r="L45" s="475"/>
    </row>
    <row r="46" spans="1:12" ht="15" x14ac:dyDescent="0.2">
      <c r="A46" s="999"/>
      <c r="B46" s="845" t="s">
        <v>510</v>
      </c>
      <c r="C46" s="875"/>
      <c r="D46" s="876"/>
      <c r="E46" s="864"/>
      <c r="F46" s="864"/>
      <c r="G46" s="231">
        <f t="shared" ca="1" si="0"/>
        <v>-43388</v>
      </c>
      <c r="H46" s="864"/>
      <c r="I46" s="867"/>
      <c r="J46" s="855"/>
      <c r="K46" s="38" t="str">
        <f t="shared" ca="1" si="4"/>
        <v>OVERDUE</v>
      </c>
      <c r="L46" s="475"/>
    </row>
    <row r="47" spans="1:12" ht="15" x14ac:dyDescent="0.2">
      <c r="A47" s="999"/>
      <c r="B47" s="850" t="s">
        <v>523</v>
      </c>
      <c r="C47" s="875"/>
      <c r="D47" s="876"/>
      <c r="E47" s="864"/>
      <c r="F47" s="864"/>
      <c r="G47" s="231">
        <f t="shared" ca="1" si="0"/>
        <v>-43388</v>
      </c>
      <c r="H47" s="864"/>
      <c r="I47" s="867"/>
      <c r="J47" s="855"/>
      <c r="K47" s="38" t="str">
        <f t="shared" ca="1" si="4"/>
        <v>OVERDUE</v>
      </c>
      <c r="L47" s="475"/>
    </row>
    <row r="48" spans="1:12" ht="15" x14ac:dyDescent="0.2">
      <c r="A48" s="999"/>
      <c r="B48" s="850" t="s">
        <v>524</v>
      </c>
      <c r="C48" s="875"/>
      <c r="D48" s="876"/>
      <c r="E48" s="864"/>
      <c r="F48" s="864"/>
      <c r="G48" s="231">
        <f t="shared" ca="1" si="0"/>
        <v>-43388</v>
      </c>
      <c r="H48" s="864"/>
      <c r="I48" s="867"/>
      <c r="J48" s="855"/>
      <c r="K48" s="38" t="str">
        <f t="shared" ca="1" si="4"/>
        <v>OVERDUE</v>
      </c>
      <c r="L48" s="475"/>
    </row>
    <row r="49" spans="1:12" ht="15" x14ac:dyDescent="0.2">
      <c r="A49" s="999"/>
      <c r="B49" s="850" t="s">
        <v>525</v>
      </c>
      <c r="C49" s="875"/>
      <c r="D49" s="876"/>
      <c r="E49" s="864"/>
      <c r="F49" s="864"/>
      <c r="G49" s="231">
        <f t="shared" ca="1" si="0"/>
        <v>-43388</v>
      </c>
      <c r="H49" s="864"/>
      <c r="I49" s="867"/>
      <c r="J49" s="855"/>
      <c r="K49" s="38" t="str">
        <f t="shared" ca="1" si="4"/>
        <v>OVERDUE</v>
      </c>
      <c r="L49" s="475"/>
    </row>
    <row r="50" spans="1:12" ht="15" x14ac:dyDescent="0.2">
      <c r="A50" s="999"/>
      <c r="B50" s="850" t="s">
        <v>526</v>
      </c>
      <c r="C50" s="875"/>
      <c r="D50" s="876"/>
      <c r="E50" s="864"/>
      <c r="F50" s="864"/>
      <c r="G50" s="231">
        <f t="shared" ca="1" si="0"/>
        <v>-43388</v>
      </c>
      <c r="H50" s="864"/>
      <c r="I50" s="867"/>
      <c r="J50" s="855"/>
      <c r="K50" s="38" t="str">
        <f t="shared" ca="1" si="4"/>
        <v>OVERDUE</v>
      </c>
      <c r="L50" s="475"/>
    </row>
    <row r="51" spans="1:12" ht="15" x14ac:dyDescent="0.2">
      <c r="A51" s="999"/>
      <c r="B51" s="845" t="s">
        <v>527</v>
      </c>
      <c r="C51" s="875"/>
      <c r="D51" s="876"/>
      <c r="E51" s="864"/>
      <c r="F51" s="864"/>
      <c r="G51" s="231">
        <f t="shared" ca="1" si="0"/>
        <v>-43388</v>
      </c>
      <c r="H51" s="864"/>
      <c r="I51" s="867"/>
      <c r="J51" s="855"/>
      <c r="K51" s="38" t="str">
        <f t="shared" ca="1" si="4"/>
        <v>OVERDUE</v>
      </c>
      <c r="L51" s="475"/>
    </row>
    <row r="52" spans="1:12" ht="15" x14ac:dyDescent="0.2">
      <c r="A52" s="999"/>
      <c r="B52" s="845" t="s">
        <v>528</v>
      </c>
      <c r="C52" s="875"/>
      <c r="D52" s="876"/>
      <c r="E52" s="864"/>
      <c r="F52" s="864"/>
      <c r="G52" s="231">
        <f t="shared" ca="1" si="0"/>
        <v>-43388</v>
      </c>
      <c r="H52" s="864"/>
      <c r="I52" s="867"/>
      <c r="J52" s="855"/>
      <c r="K52" s="38" t="str">
        <f t="shared" ca="1" si="4"/>
        <v>OVERDUE</v>
      </c>
      <c r="L52" s="475"/>
    </row>
    <row r="53" spans="1:12" ht="15" x14ac:dyDescent="0.2">
      <c r="A53" s="999"/>
      <c r="B53" s="845" t="s">
        <v>529</v>
      </c>
      <c r="C53" s="875"/>
      <c r="D53" s="876"/>
      <c r="E53" s="864"/>
      <c r="F53" s="864"/>
      <c r="G53" s="231">
        <f t="shared" ca="1" si="0"/>
        <v>-43388</v>
      </c>
      <c r="H53" s="864"/>
      <c r="I53" s="867"/>
      <c r="J53" s="855"/>
      <c r="K53" s="38" t="str">
        <f t="shared" ca="1" si="4"/>
        <v>OVERDUE</v>
      </c>
      <c r="L53" s="475"/>
    </row>
    <row r="54" spans="1:12" ht="15" x14ac:dyDescent="0.2">
      <c r="A54" s="999"/>
      <c r="B54" s="845" t="s">
        <v>530</v>
      </c>
      <c r="C54" s="875"/>
      <c r="D54" s="876"/>
      <c r="E54" s="864"/>
      <c r="F54" s="864"/>
      <c r="G54" s="231">
        <f t="shared" ca="1" si="0"/>
        <v>-43388</v>
      </c>
      <c r="H54" s="864"/>
      <c r="I54" s="867"/>
      <c r="J54" s="855"/>
      <c r="K54" s="38" t="str">
        <f t="shared" ca="1" si="4"/>
        <v>OVERDUE</v>
      </c>
      <c r="L54" s="475"/>
    </row>
    <row r="55" spans="1:12" ht="15" x14ac:dyDescent="0.2">
      <c r="A55" s="999"/>
      <c r="B55" s="845" t="s">
        <v>531</v>
      </c>
      <c r="C55" s="875"/>
      <c r="D55" s="876"/>
      <c r="E55" s="864"/>
      <c r="F55" s="864"/>
      <c r="G55" s="231">
        <f t="shared" ca="1" si="0"/>
        <v>-43388</v>
      </c>
      <c r="H55" s="864"/>
      <c r="I55" s="867"/>
      <c r="J55" s="855"/>
      <c r="K55" s="38" t="str">
        <f t="shared" ca="1" si="4"/>
        <v>OVERDUE</v>
      </c>
      <c r="L55" s="475"/>
    </row>
    <row r="56" spans="1:12" ht="15" x14ac:dyDescent="0.2">
      <c r="A56" s="999"/>
      <c r="B56" s="845" t="s">
        <v>532</v>
      </c>
      <c r="C56" s="875"/>
      <c r="D56" s="876"/>
      <c r="E56" s="864"/>
      <c r="F56" s="864"/>
      <c r="G56" s="231">
        <f t="shared" ca="1" si="0"/>
        <v>-43388</v>
      </c>
      <c r="H56" s="864"/>
      <c r="I56" s="867"/>
      <c r="J56" s="855"/>
      <c r="K56" s="38" t="str">
        <f t="shared" ca="1" si="4"/>
        <v>OVERDUE</v>
      </c>
      <c r="L56" s="475"/>
    </row>
    <row r="57" spans="1:12" ht="15" x14ac:dyDescent="0.2">
      <c r="A57" s="999"/>
      <c r="B57" s="845" t="s">
        <v>533</v>
      </c>
      <c r="C57" s="875"/>
      <c r="D57" s="876"/>
      <c r="E57" s="864"/>
      <c r="F57" s="864"/>
      <c r="G57" s="231">
        <f t="shared" ca="1" si="0"/>
        <v>-43388</v>
      </c>
      <c r="H57" s="864"/>
      <c r="I57" s="867"/>
      <c r="J57" s="855"/>
      <c r="K57" s="38" t="str">
        <f t="shared" ca="1" si="4"/>
        <v>OVERDUE</v>
      </c>
      <c r="L57" s="475"/>
    </row>
    <row r="58" spans="1:12" ht="15" x14ac:dyDescent="0.2">
      <c r="A58" s="999"/>
      <c r="B58" s="845" t="s">
        <v>534</v>
      </c>
      <c r="C58" s="875"/>
      <c r="D58" s="876"/>
      <c r="E58" s="864"/>
      <c r="F58" s="864"/>
      <c r="G58" s="231">
        <f t="shared" ca="1" si="0"/>
        <v>-43388</v>
      </c>
      <c r="H58" s="864"/>
      <c r="I58" s="867"/>
      <c r="J58" s="855"/>
      <c r="K58" s="38" t="str">
        <f t="shared" ca="1" si="4"/>
        <v>OVERDUE</v>
      </c>
      <c r="L58" s="475"/>
    </row>
    <row r="59" spans="1:12" ht="15" x14ac:dyDescent="0.2">
      <c r="A59" s="999"/>
      <c r="B59" s="845" t="s">
        <v>535</v>
      </c>
      <c r="C59" s="875"/>
      <c r="D59" s="876"/>
      <c r="E59" s="864"/>
      <c r="F59" s="864"/>
      <c r="G59" s="231">
        <f t="shared" ca="1" si="0"/>
        <v>-43388</v>
      </c>
      <c r="H59" s="864"/>
      <c r="I59" s="867"/>
      <c r="J59" s="855"/>
      <c r="K59" s="38" t="str">
        <f t="shared" ca="1" si="4"/>
        <v>OVERDUE</v>
      </c>
      <c r="L59" s="475"/>
    </row>
    <row r="60" spans="1:12" ht="15" x14ac:dyDescent="0.2">
      <c r="A60" s="999"/>
      <c r="B60" s="845" t="s">
        <v>536</v>
      </c>
      <c r="C60" s="875"/>
      <c r="D60" s="876"/>
      <c r="E60" s="864"/>
      <c r="F60" s="864"/>
      <c r="G60" s="231">
        <f t="shared" ca="1" si="0"/>
        <v>-43388</v>
      </c>
      <c r="H60" s="864"/>
      <c r="I60" s="867"/>
      <c r="J60" s="855"/>
      <c r="K60" s="38" t="str">
        <f t="shared" ca="1" si="4"/>
        <v>OVERDUE</v>
      </c>
      <c r="L60" s="475"/>
    </row>
    <row r="61" spans="1:12" ht="15" x14ac:dyDescent="0.2">
      <c r="A61" s="999"/>
      <c r="B61" s="852" t="s">
        <v>537</v>
      </c>
      <c r="C61" s="875"/>
      <c r="D61" s="876"/>
      <c r="E61" s="864"/>
      <c r="F61" s="864"/>
      <c r="G61" s="231">
        <f t="shared" ca="1" si="0"/>
        <v>-43388</v>
      </c>
      <c r="H61" s="864"/>
      <c r="I61" s="867"/>
      <c r="J61" s="855"/>
      <c r="K61" s="38" t="str">
        <f t="shared" ca="1" si="4"/>
        <v>OVERDUE</v>
      </c>
      <c r="L61" s="475"/>
    </row>
    <row r="62" spans="1:12" ht="15" x14ac:dyDescent="0.2">
      <c r="A62" s="1001"/>
      <c r="B62" s="160" t="s">
        <v>538</v>
      </c>
      <c r="C62" s="877"/>
      <c r="D62" s="869"/>
      <c r="E62" s="870"/>
      <c r="F62" s="870"/>
      <c r="G62" s="410">
        <f t="shared" ca="1" si="0"/>
        <v>-43388</v>
      </c>
      <c r="H62" s="42"/>
      <c r="I62" s="869"/>
      <c r="J62" s="856"/>
      <c r="K62" s="175" t="str">
        <f t="shared" ca="1" si="4"/>
        <v>OVERDUE</v>
      </c>
      <c r="L62" s="484"/>
    </row>
    <row r="63" spans="1:12" ht="13.9" customHeight="1" x14ac:dyDescent="0.2">
      <c r="A63" s="991" t="s">
        <v>539</v>
      </c>
      <c r="B63" s="844" t="s">
        <v>540</v>
      </c>
      <c r="C63" s="873"/>
      <c r="D63" s="862"/>
      <c r="E63" s="863"/>
      <c r="F63" s="863"/>
      <c r="G63" s="411">
        <f t="shared" ca="1" si="0"/>
        <v>-43388</v>
      </c>
      <c r="H63" s="43"/>
      <c r="I63" s="862"/>
      <c r="J63" s="857"/>
      <c r="K63" s="116" t="str">
        <f ca="1">IF(AND(K64="completed",K65="completed",K66="completed"),"Deliverable Completed","DELIVERABLE STILL IN PROGRESS")</f>
        <v>DELIVERABLE STILL IN PROGRESS</v>
      </c>
      <c r="L63" s="474"/>
    </row>
    <row r="64" spans="1:12" ht="15" x14ac:dyDescent="0.2">
      <c r="A64" s="992"/>
      <c r="B64" s="146" t="s">
        <v>541</v>
      </c>
      <c r="C64" s="875"/>
      <c r="D64" s="867"/>
      <c r="E64" s="864"/>
      <c r="F64" s="864"/>
      <c r="G64" s="231">
        <f t="shared" ca="1" si="0"/>
        <v>-43388</v>
      </c>
      <c r="H64" s="864"/>
      <c r="I64" s="867"/>
      <c r="J64" s="855"/>
      <c r="K64" s="38" t="str">
        <f ca="1">IF(H64&gt;0,"COMPLETED",(IF(J64&gt;0,"ISSUE IDENTIFIED",(IF(TODAY()&gt;F64,"OVERDUE","In Progress")))))</f>
        <v>OVERDUE</v>
      </c>
      <c r="L64" s="475"/>
    </row>
    <row r="65" spans="1:12" ht="15" x14ac:dyDescent="0.2">
      <c r="A65" s="992"/>
      <c r="B65" s="146" t="s">
        <v>542</v>
      </c>
      <c r="C65" s="875"/>
      <c r="D65" s="867"/>
      <c r="E65" s="864"/>
      <c r="F65" s="864"/>
      <c r="G65" s="231">
        <f t="shared" ca="1" si="0"/>
        <v>-43388</v>
      </c>
      <c r="H65" s="864"/>
      <c r="I65" s="867"/>
      <c r="J65" s="855"/>
      <c r="K65" s="38" t="str">
        <f ca="1">IF(H65&gt;0,"COMPLETED",(IF(J65&gt;0,"ISSUE IDENTIFIED",(IF(TODAY()&gt;F65,"OVERDUE","In Progress")))))</f>
        <v>OVERDUE</v>
      </c>
      <c r="L65" s="475"/>
    </row>
    <row r="66" spans="1:12" ht="15" x14ac:dyDescent="0.2">
      <c r="A66" s="992"/>
      <c r="B66" s="160" t="s">
        <v>543</v>
      </c>
      <c r="C66" s="877"/>
      <c r="D66" s="869"/>
      <c r="E66" s="870"/>
      <c r="F66" s="870"/>
      <c r="G66" s="410">
        <f t="shared" ca="1" si="0"/>
        <v>-43388</v>
      </c>
      <c r="H66" s="42"/>
      <c r="I66" s="869"/>
      <c r="J66" s="856"/>
      <c r="K66" s="175" t="str">
        <f ca="1">IF(H66&gt;0,"COMPLETED",(IF(J66&gt;0,"ISSUE IDENTIFIED",(IF(TODAY()&gt;F66,"OVERDUE","In Progress")))))</f>
        <v>OVERDUE</v>
      </c>
      <c r="L66" s="484"/>
    </row>
    <row r="67" spans="1:12" ht="15" x14ac:dyDescent="0.2">
      <c r="A67" s="992"/>
      <c r="B67" s="844" t="s">
        <v>544</v>
      </c>
      <c r="C67" s="873"/>
      <c r="D67" s="862"/>
      <c r="E67" s="863"/>
      <c r="F67" s="863"/>
      <c r="G67" s="411">
        <f t="shared" ca="1" si="0"/>
        <v>-43388</v>
      </c>
      <c r="H67" s="43"/>
      <c r="I67" s="862"/>
      <c r="J67" s="857"/>
      <c r="K67" s="116" t="str">
        <f ca="1">IF(AND(K68="completed",K69="completed",K70="completed",K71="completed",K72="completed"),"Deliverable Completed","DELIVERABLE STILL IN PROGRESS")</f>
        <v>DELIVERABLE STILL IN PROGRESS</v>
      </c>
      <c r="L67" s="474"/>
    </row>
    <row r="68" spans="1:12" ht="15" x14ac:dyDescent="0.2">
      <c r="A68" s="992"/>
      <c r="B68" s="146" t="s">
        <v>545</v>
      </c>
      <c r="C68" s="875"/>
      <c r="D68" s="867"/>
      <c r="E68" s="864"/>
      <c r="F68" s="864"/>
      <c r="G68" s="231">
        <f t="shared" ca="1" si="0"/>
        <v>-43388</v>
      </c>
      <c r="H68" s="864"/>
      <c r="I68" s="867"/>
      <c r="J68" s="855"/>
      <c r="K68" s="38" t="str">
        <f ca="1">IF(H68&gt;0,"COMPLETED",(IF(J68&gt;0,"ISSUE IDENTIFIED",(IF(TODAY()&gt;F68,"OVERDUE","In Progress")))))</f>
        <v>OVERDUE</v>
      </c>
      <c r="L68" s="475"/>
    </row>
    <row r="69" spans="1:12" ht="15" x14ac:dyDescent="0.2">
      <c r="A69" s="992"/>
      <c r="B69" s="146" t="s">
        <v>546</v>
      </c>
      <c r="C69" s="875"/>
      <c r="D69" s="867"/>
      <c r="E69" s="864"/>
      <c r="F69" s="864"/>
      <c r="G69" s="231">
        <f t="shared" ca="1" si="0"/>
        <v>-43388</v>
      </c>
      <c r="H69" s="864"/>
      <c r="I69" s="867"/>
      <c r="J69" s="855"/>
      <c r="K69" s="38" t="str">
        <f ca="1">IF(H69&gt;0,"COMPLETED",(IF(J69&gt;0,"ISSUE IDENTIFIED",(IF(TODAY()&gt;F69,"OVERDUE","In Progress")))))</f>
        <v>OVERDUE</v>
      </c>
      <c r="L69" s="475"/>
    </row>
    <row r="70" spans="1:12" ht="15" x14ac:dyDescent="0.2">
      <c r="A70" s="992"/>
      <c r="B70" s="146" t="s">
        <v>547</v>
      </c>
      <c r="C70" s="875"/>
      <c r="D70" s="867"/>
      <c r="E70" s="864"/>
      <c r="F70" s="864"/>
      <c r="G70" s="231">
        <f t="shared" ca="1" si="0"/>
        <v>-43388</v>
      </c>
      <c r="H70" s="864"/>
      <c r="I70" s="867"/>
      <c r="J70" s="855"/>
      <c r="K70" s="38" t="str">
        <f ca="1">IF(H70&gt;0,"COMPLETED",(IF(J70&gt;0,"ISSUE IDENTIFIED",(IF(TODAY()&gt;F70,"OVERDUE","In Progress")))))</f>
        <v>OVERDUE</v>
      </c>
      <c r="L70" s="475"/>
    </row>
    <row r="71" spans="1:12" ht="15" x14ac:dyDescent="0.2">
      <c r="A71" s="992"/>
      <c r="B71" s="146" t="s">
        <v>548</v>
      </c>
      <c r="C71" s="875"/>
      <c r="D71" s="867"/>
      <c r="E71" s="864"/>
      <c r="F71" s="864"/>
      <c r="G71" s="231">
        <f t="shared" ca="1" si="0"/>
        <v>-43388</v>
      </c>
      <c r="H71" s="864"/>
      <c r="I71" s="867"/>
      <c r="J71" s="855"/>
      <c r="K71" s="38" t="str">
        <f ca="1">IF(H71&gt;0,"COMPLETED",(IF(J71&gt;0,"ISSUE IDENTIFIED",(IF(TODAY()&gt;F71,"OVERDUE","In Progress")))))</f>
        <v>OVERDUE</v>
      </c>
      <c r="L71" s="475"/>
    </row>
    <row r="72" spans="1:12" ht="15" x14ac:dyDescent="0.2">
      <c r="A72" s="992"/>
      <c r="B72" s="160" t="s">
        <v>549</v>
      </c>
      <c r="C72" s="877"/>
      <c r="D72" s="869"/>
      <c r="E72" s="870"/>
      <c r="F72" s="870"/>
      <c r="G72" s="410">
        <f t="shared" ca="1" si="0"/>
        <v>-43388</v>
      </c>
      <c r="H72" s="42"/>
      <c r="I72" s="869"/>
      <c r="J72" s="856"/>
      <c r="K72" s="175" t="str">
        <f ca="1">IF(H72&gt;0,"COMPLETED",(IF(J72&gt;0,"ISSUE IDENTIFIED",(IF(TODAY()&gt;F72,"OVERDUE","In Progress")))))</f>
        <v>OVERDUE</v>
      </c>
      <c r="L72" s="484"/>
    </row>
    <row r="73" spans="1:12" ht="15" x14ac:dyDescent="0.25">
      <c r="A73" s="992"/>
      <c r="B73" s="844" t="s">
        <v>550</v>
      </c>
      <c r="C73" s="873"/>
      <c r="D73" s="862"/>
      <c r="E73" s="863"/>
      <c r="F73" s="879"/>
      <c r="G73" s="411">
        <f t="shared" ref="G73:G126" ca="1" si="5">IF(ISBLANK(H73),IF(ISERROR(DAYS360(TODAY(),F73))," ",(DAYS360(TODAY(),F73))),F73-H73)</f>
        <v>-43388</v>
      </c>
      <c r="H73" s="43"/>
      <c r="I73" s="862"/>
      <c r="J73" s="857"/>
      <c r="K73" s="116" t="str">
        <f ca="1">IF(AND(K74="completed",K75="completed",K76="completed"),"Deliverable Completed","DELIVERABLE STILL IN PROGRESS")</f>
        <v>DELIVERABLE STILL IN PROGRESS</v>
      </c>
      <c r="L73" s="474"/>
    </row>
    <row r="74" spans="1:12" ht="15" x14ac:dyDescent="0.25">
      <c r="A74" s="992"/>
      <c r="B74" s="847" t="s">
        <v>551</v>
      </c>
      <c r="C74" s="880"/>
      <c r="D74" s="867"/>
      <c r="E74" s="864"/>
      <c r="F74" s="881"/>
      <c r="G74" s="231">
        <f t="shared" ca="1" si="5"/>
        <v>-43388</v>
      </c>
      <c r="H74" s="881"/>
      <c r="I74" s="867"/>
      <c r="J74" s="855"/>
      <c r="K74" s="38" t="str">
        <f ca="1">IF(H74&gt;0,"COMPLETED",(IF(J74&gt;0,"ISSUE IDENTIFIED",(IF(TODAY()&gt;F74,"OVERDUE","In Progress")))))</f>
        <v>OVERDUE</v>
      </c>
      <c r="L74" s="475"/>
    </row>
    <row r="75" spans="1:12" ht="15" x14ac:dyDescent="0.25">
      <c r="A75" s="992"/>
      <c r="B75" s="847" t="s">
        <v>552</v>
      </c>
      <c r="C75" s="880"/>
      <c r="D75" s="867"/>
      <c r="E75" s="864"/>
      <c r="F75" s="881"/>
      <c r="G75" s="231">
        <f t="shared" ca="1" si="5"/>
        <v>-43388</v>
      </c>
      <c r="H75" s="881"/>
      <c r="I75" s="867"/>
      <c r="J75" s="855"/>
      <c r="K75" s="38" t="str">
        <f ca="1">IF(H75&gt;0,"COMPLETED",(IF(J75&gt;0,"ISSUE IDENTIFIED",(IF(TODAY()&gt;F75,"OVERDUE","In Progress")))))</f>
        <v>OVERDUE</v>
      </c>
      <c r="L75" s="475"/>
    </row>
    <row r="76" spans="1:12" ht="15" x14ac:dyDescent="0.25">
      <c r="A76" s="992"/>
      <c r="B76" s="846" t="s">
        <v>553</v>
      </c>
      <c r="C76" s="882"/>
      <c r="D76" s="869"/>
      <c r="E76" s="870"/>
      <c r="F76" s="883"/>
      <c r="G76" s="410">
        <f t="shared" ca="1" si="5"/>
        <v>-43388</v>
      </c>
      <c r="H76" s="42"/>
      <c r="I76" s="869"/>
      <c r="J76" s="856"/>
      <c r="K76" s="175" t="str">
        <f ca="1">IF(H76&gt;0,"COMPLETED",(IF(J76&gt;0,"ISSUE IDENTIFIED",(IF(TODAY()&gt;F76,"OVERDUE","In Progress")))))</f>
        <v>OVERDUE</v>
      </c>
      <c r="L76" s="484"/>
    </row>
    <row r="77" spans="1:12" ht="15" x14ac:dyDescent="0.2">
      <c r="A77" s="992"/>
      <c r="B77" s="844" t="s">
        <v>554</v>
      </c>
      <c r="C77" s="872"/>
      <c r="D77" s="862"/>
      <c r="E77" s="863"/>
      <c r="F77" s="863"/>
      <c r="G77" s="411">
        <f t="shared" ca="1" si="5"/>
        <v>-43388</v>
      </c>
      <c r="H77" s="43"/>
      <c r="I77" s="862"/>
      <c r="J77" s="857"/>
      <c r="K77" s="116" t="str">
        <f ca="1">IF(AND(K78="completed",K79="completed",K80="completed"),"Deliverable Completed","DELIVERABLE STILL IN PROGRESS")</f>
        <v>DELIVERABLE STILL IN PROGRESS</v>
      </c>
      <c r="L77" s="474"/>
    </row>
    <row r="78" spans="1:12" ht="15" x14ac:dyDescent="0.25">
      <c r="A78" s="992"/>
      <c r="B78" s="845" t="s">
        <v>555</v>
      </c>
      <c r="C78" s="866"/>
      <c r="D78" s="867"/>
      <c r="E78" s="864"/>
      <c r="F78" s="884"/>
      <c r="G78" s="231">
        <f t="shared" ca="1" si="5"/>
        <v>-43388</v>
      </c>
      <c r="H78" s="884"/>
      <c r="I78" s="867"/>
      <c r="J78" s="855"/>
      <c r="K78" s="38" t="str">
        <f ca="1">IF(H78&gt;0,"COMPLETED",(IF(J78&gt;0,"ISSUE IDENTIFIED",(IF(TODAY()&gt;F78,"OVERDUE","In Progress")))))</f>
        <v>OVERDUE</v>
      </c>
      <c r="L78" s="475"/>
    </row>
    <row r="79" spans="1:12" ht="15" x14ac:dyDescent="0.25">
      <c r="A79" s="992"/>
      <c r="B79" s="845" t="s">
        <v>556</v>
      </c>
      <c r="C79" s="866"/>
      <c r="D79" s="867"/>
      <c r="E79" s="864"/>
      <c r="F79" s="884"/>
      <c r="G79" s="231">
        <f t="shared" ca="1" si="5"/>
        <v>-43388</v>
      </c>
      <c r="H79" s="884"/>
      <c r="I79" s="867"/>
      <c r="J79" s="855"/>
      <c r="K79" s="38" t="str">
        <f ca="1">IF(H79&gt;0,"COMPLETED",(IF(J79&gt;0,"ISSUE IDENTIFIED",(IF(TODAY()&gt;F79,"OVERDUE","In Progress")))))</f>
        <v>OVERDUE</v>
      </c>
      <c r="L79" s="475"/>
    </row>
    <row r="80" spans="1:12" ht="15" x14ac:dyDescent="0.2">
      <c r="A80" s="993"/>
      <c r="B80" s="159" t="s">
        <v>557</v>
      </c>
      <c r="C80" s="868"/>
      <c r="D80" s="869"/>
      <c r="E80" s="870"/>
      <c r="F80" s="870"/>
      <c r="G80" s="410">
        <f t="shared" ca="1" si="5"/>
        <v>-43388</v>
      </c>
      <c r="H80" s="42"/>
      <c r="I80" s="869"/>
      <c r="J80" s="856"/>
      <c r="K80" s="175" t="str">
        <f ca="1">IF(H80&gt;0,"COMPLETED",(IF(J80&gt;0,"ISSUE IDENTIFIED",(IF(TODAY()&gt;F80,"OVERDUE","In Progress")))))</f>
        <v>OVERDUE</v>
      </c>
      <c r="L80" s="484"/>
    </row>
    <row r="81" spans="1:12" ht="15" x14ac:dyDescent="0.2">
      <c r="A81" s="991" t="s">
        <v>558</v>
      </c>
      <c r="B81" s="844" t="s">
        <v>559</v>
      </c>
      <c r="C81" s="872"/>
      <c r="D81" s="862"/>
      <c r="E81" s="863"/>
      <c r="F81" s="863"/>
      <c r="G81" s="411">
        <f t="shared" ca="1" si="5"/>
        <v>-43388</v>
      </c>
      <c r="H81" s="43"/>
      <c r="I81" s="862"/>
      <c r="J81" s="857"/>
      <c r="K81" s="116" t="str">
        <f ca="1">IF(AND(K82="completed",K83="completed",K84="completed",K85="completed",K86="completed",K87="completed"),"Deliverable Completed","DELIVERABLE STILL IN PROGRESS")</f>
        <v>DELIVERABLE STILL IN PROGRESS</v>
      </c>
      <c r="L81" s="474"/>
    </row>
    <row r="82" spans="1:12" ht="15" x14ac:dyDescent="0.25">
      <c r="A82" s="992"/>
      <c r="B82" s="845" t="s">
        <v>560</v>
      </c>
      <c r="C82" s="866"/>
      <c r="D82" s="867"/>
      <c r="E82" s="864"/>
      <c r="F82" s="884"/>
      <c r="G82" s="231">
        <f t="shared" ca="1" si="5"/>
        <v>-43388</v>
      </c>
      <c r="H82" s="864"/>
      <c r="I82" s="867"/>
      <c r="J82" s="855"/>
      <c r="K82" s="38" t="str">
        <f t="shared" ref="K82:K87" ca="1" si="6">IF(H82&gt;0,"COMPLETED",(IF(J82&gt;0,"ISSUE IDENTIFIED",(IF(TODAY()&gt;F82,"OVERDUE","In Progress")))))</f>
        <v>OVERDUE</v>
      </c>
      <c r="L82" s="475"/>
    </row>
    <row r="83" spans="1:12" ht="15" x14ac:dyDescent="0.2">
      <c r="A83" s="992"/>
      <c r="B83" s="850" t="s">
        <v>561</v>
      </c>
      <c r="C83" s="866"/>
      <c r="D83" s="867"/>
      <c r="E83" s="864"/>
      <c r="F83" s="864"/>
      <c r="G83" s="231">
        <f t="shared" ca="1" si="5"/>
        <v>-43388</v>
      </c>
      <c r="H83" s="864"/>
      <c r="I83" s="867"/>
      <c r="J83" s="855"/>
      <c r="K83" s="38" t="str">
        <f t="shared" ca="1" si="6"/>
        <v>OVERDUE</v>
      </c>
      <c r="L83" s="475"/>
    </row>
    <row r="84" spans="1:12" ht="15" x14ac:dyDescent="0.2">
      <c r="A84" s="992"/>
      <c r="B84" s="850" t="s">
        <v>562</v>
      </c>
      <c r="C84" s="866"/>
      <c r="D84" s="867"/>
      <c r="E84" s="864"/>
      <c r="F84" s="864"/>
      <c r="G84" s="231">
        <f t="shared" ca="1" si="5"/>
        <v>-43388</v>
      </c>
      <c r="H84" s="864"/>
      <c r="I84" s="867"/>
      <c r="J84" s="855"/>
      <c r="K84" s="38" t="str">
        <f t="shared" ca="1" si="6"/>
        <v>OVERDUE</v>
      </c>
      <c r="L84" s="475"/>
    </row>
    <row r="85" spans="1:12" ht="15" x14ac:dyDescent="0.2">
      <c r="A85" s="992"/>
      <c r="B85" s="845" t="s">
        <v>563</v>
      </c>
      <c r="C85" s="866"/>
      <c r="D85" s="867"/>
      <c r="E85" s="864"/>
      <c r="F85" s="864"/>
      <c r="G85" s="231">
        <f t="shared" ca="1" si="5"/>
        <v>-43388</v>
      </c>
      <c r="H85" s="864"/>
      <c r="I85" s="867"/>
      <c r="J85" s="855"/>
      <c r="K85" s="38" t="str">
        <f t="shared" ca="1" si="6"/>
        <v>OVERDUE</v>
      </c>
      <c r="L85" s="475"/>
    </row>
    <row r="86" spans="1:12" ht="15" x14ac:dyDescent="0.2">
      <c r="A86" s="992"/>
      <c r="B86" s="845" t="s">
        <v>564</v>
      </c>
      <c r="C86" s="866"/>
      <c r="D86" s="867"/>
      <c r="E86" s="864"/>
      <c r="F86" s="864"/>
      <c r="G86" s="231">
        <f t="shared" ca="1" si="5"/>
        <v>-43388</v>
      </c>
      <c r="H86" s="864"/>
      <c r="I86" s="867"/>
      <c r="J86" s="855"/>
      <c r="K86" s="38" t="str">
        <f t="shared" ca="1" si="6"/>
        <v>OVERDUE</v>
      </c>
      <c r="L86" s="475"/>
    </row>
    <row r="87" spans="1:12" ht="15" x14ac:dyDescent="0.2">
      <c r="A87" s="992"/>
      <c r="B87" s="851" t="s">
        <v>565</v>
      </c>
      <c r="C87" s="868"/>
      <c r="D87" s="869"/>
      <c r="E87" s="870"/>
      <c r="F87" s="870"/>
      <c r="G87" s="410">
        <f t="shared" ca="1" si="5"/>
        <v>-43388</v>
      </c>
      <c r="H87" s="42"/>
      <c r="I87" s="869"/>
      <c r="J87" s="856"/>
      <c r="K87" s="175" t="str">
        <f t="shared" ca="1" si="6"/>
        <v>OVERDUE</v>
      </c>
      <c r="L87" s="484"/>
    </row>
    <row r="88" spans="1:12" ht="15" x14ac:dyDescent="0.2">
      <c r="A88" s="992"/>
      <c r="B88" s="844" t="s">
        <v>566</v>
      </c>
      <c r="C88" s="872"/>
      <c r="D88" s="862"/>
      <c r="E88" s="863"/>
      <c r="F88" s="863"/>
      <c r="G88" s="411">
        <f t="shared" ca="1" si="5"/>
        <v>-43388</v>
      </c>
      <c r="H88" s="43"/>
      <c r="I88" s="862"/>
      <c r="J88" s="857"/>
      <c r="K88" s="116" t="str">
        <f ca="1">IF(AND(K89="completed",K90="completed",K91="completed",K92="completed"),"Deliverable Completed","DELIVERABLE STILL IN PROGRESS")</f>
        <v>DELIVERABLE STILL IN PROGRESS</v>
      </c>
      <c r="L88" s="474"/>
    </row>
    <row r="89" spans="1:12" ht="15" x14ac:dyDescent="0.25">
      <c r="A89" s="992"/>
      <c r="B89" s="845" t="s">
        <v>567</v>
      </c>
      <c r="C89" s="866"/>
      <c r="D89" s="867"/>
      <c r="E89" s="864"/>
      <c r="F89" s="884"/>
      <c r="G89" s="231">
        <f t="shared" ca="1" si="5"/>
        <v>-43388</v>
      </c>
      <c r="H89" s="864"/>
      <c r="I89" s="867"/>
      <c r="J89" s="855"/>
      <c r="K89" s="38" t="str">
        <f t="shared" ref="K89:K92" ca="1" si="7">IF(H89&gt;0,"COMPLETED",(IF(J89&gt;0,"ISSUE IDENTIFIED",(IF(TODAY()&gt;F89,"OVERDUE","In Progress")))))</f>
        <v>OVERDUE</v>
      </c>
      <c r="L89" s="475"/>
    </row>
    <row r="90" spans="1:12" ht="15" x14ac:dyDescent="0.2">
      <c r="A90" s="992"/>
      <c r="B90" s="845" t="s">
        <v>568</v>
      </c>
      <c r="C90" s="866"/>
      <c r="D90" s="867"/>
      <c r="E90" s="864"/>
      <c r="F90" s="864"/>
      <c r="G90" s="231">
        <f t="shared" ca="1" si="5"/>
        <v>-43388</v>
      </c>
      <c r="H90" s="864"/>
      <c r="I90" s="867"/>
      <c r="J90" s="855"/>
      <c r="K90" s="38" t="str">
        <f t="shared" ca="1" si="7"/>
        <v>OVERDUE</v>
      </c>
      <c r="L90" s="475"/>
    </row>
    <row r="91" spans="1:12" ht="15" x14ac:dyDescent="0.2">
      <c r="A91" s="992"/>
      <c r="B91" s="845" t="s">
        <v>569</v>
      </c>
      <c r="C91" s="866"/>
      <c r="D91" s="867"/>
      <c r="E91" s="864"/>
      <c r="F91" s="864"/>
      <c r="G91" s="231">
        <f t="shared" ca="1" si="5"/>
        <v>-43388</v>
      </c>
      <c r="H91" s="864"/>
      <c r="I91" s="867"/>
      <c r="J91" s="855"/>
      <c r="K91" s="38" t="str">
        <f t="shared" ca="1" si="7"/>
        <v>OVERDUE</v>
      </c>
      <c r="L91" s="475"/>
    </row>
    <row r="92" spans="1:12" ht="15" x14ac:dyDescent="0.2">
      <c r="A92" s="993"/>
      <c r="B92" s="281" t="s">
        <v>570</v>
      </c>
      <c r="C92" s="866"/>
      <c r="D92" s="867"/>
      <c r="E92" s="864"/>
      <c r="F92" s="864"/>
      <c r="G92" s="231">
        <f t="shared" ca="1" si="5"/>
        <v>-43388</v>
      </c>
      <c r="H92" s="864"/>
      <c r="I92" s="867"/>
      <c r="J92" s="855"/>
      <c r="K92" s="38" t="str">
        <f t="shared" ca="1" si="7"/>
        <v>OVERDUE</v>
      </c>
      <c r="L92" s="475"/>
    </row>
    <row r="93" spans="1:12" ht="15" customHeight="1" x14ac:dyDescent="0.2">
      <c r="A93" s="994" t="s">
        <v>571</v>
      </c>
      <c r="B93" s="844" t="s">
        <v>572</v>
      </c>
      <c r="C93" s="861"/>
      <c r="D93" s="885"/>
      <c r="E93" s="886"/>
      <c r="F93" s="886"/>
      <c r="G93" s="409">
        <f t="shared" ca="1" si="5"/>
        <v>-43388</v>
      </c>
      <c r="H93" s="282"/>
      <c r="I93" s="885"/>
      <c r="J93" s="859"/>
      <c r="K93" s="173" t="str">
        <f ca="1">IF(AND(K94="completed",K95="completed",K96="completed",K97="completed"),"Deliverable Completed","DELIVERABLE STILL IN PROGRESS")</f>
        <v>DELIVERABLE STILL IN PROGRESS</v>
      </c>
      <c r="L93" s="485"/>
    </row>
    <row r="94" spans="1:12" ht="15" x14ac:dyDescent="0.2">
      <c r="A94" s="995"/>
      <c r="B94" s="845" t="s">
        <v>573</v>
      </c>
      <c r="C94" s="866"/>
      <c r="D94" s="867"/>
      <c r="E94" s="864"/>
      <c r="F94" s="864"/>
      <c r="G94" s="231">
        <f t="shared" ca="1" si="5"/>
        <v>-43388</v>
      </c>
      <c r="H94" s="864"/>
      <c r="I94" s="867"/>
      <c r="J94" s="855"/>
      <c r="K94" s="38" t="str">
        <f ca="1">IF(H94&gt;0,"COMPLETED",(IF(J94&gt;0,"ISSUE IDENTIFIED",(IF(TODAY()&gt;F94,"OVERDUE","In Progress")))))</f>
        <v>OVERDUE</v>
      </c>
      <c r="L94" s="475"/>
    </row>
    <row r="95" spans="1:12" ht="15" x14ac:dyDescent="0.2">
      <c r="A95" s="995"/>
      <c r="B95" s="845" t="s">
        <v>574</v>
      </c>
      <c r="C95" s="866"/>
      <c r="D95" s="867"/>
      <c r="E95" s="864"/>
      <c r="F95" s="864"/>
      <c r="G95" s="231">
        <f t="shared" ca="1" si="5"/>
        <v>-43388</v>
      </c>
      <c r="H95" s="864"/>
      <c r="I95" s="867"/>
      <c r="J95" s="855"/>
      <c r="K95" s="38" t="str">
        <f ca="1">IF(H95&gt;0,"COMPLETED",(IF(J95&gt;0,"ISSUE IDENTIFIED",(IF(TODAY()&gt;F95,"OVERDUE","In Progress")))))</f>
        <v>OVERDUE</v>
      </c>
      <c r="L95" s="475"/>
    </row>
    <row r="96" spans="1:12" ht="14.25" customHeight="1" x14ac:dyDescent="0.2">
      <c r="A96" s="995"/>
      <c r="B96" s="845" t="s">
        <v>575</v>
      </c>
      <c r="C96" s="866"/>
      <c r="D96" s="867"/>
      <c r="E96" s="864"/>
      <c r="F96" s="864"/>
      <c r="G96" s="231">
        <f t="shared" ca="1" si="5"/>
        <v>-43388</v>
      </c>
      <c r="H96" s="864"/>
      <c r="I96" s="867"/>
      <c r="J96" s="855"/>
      <c r="K96" s="38" t="str">
        <f ca="1">IF(H96&gt;0,"COMPLETED",(IF(J96&gt;0,"ISSUE IDENTIFIED",(IF(TODAY()&gt;F96,"OVERDUE","In Progress")))))</f>
        <v>OVERDUE</v>
      </c>
      <c r="L96" s="475"/>
    </row>
    <row r="97" spans="1:12" ht="15" x14ac:dyDescent="0.2">
      <c r="A97" s="995"/>
      <c r="B97" s="851" t="s">
        <v>576</v>
      </c>
      <c r="C97" s="868"/>
      <c r="D97" s="869"/>
      <c r="E97" s="870"/>
      <c r="F97" s="870"/>
      <c r="G97" s="410">
        <f t="shared" ca="1" si="5"/>
        <v>-43388</v>
      </c>
      <c r="H97" s="42"/>
      <c r="I97" s="869"/>
      <c r="J97" s="856"/>
      <c r="K97" s="175" t="str">
        <f ca="1">IF(H97&gt;0,"COMPLETED",(IF(J97&gt;0,"ISSUE IDENTIFIED",(IF(TODAY()&gt;F97,"OVERDUE","In Progress")))))</f>
        <v>OVERDUE</v>
      </c>
      <c r="L97" s="484"/>
    </row>
    <row r="98" spans="1:12" ht="15" x14ac:dyDescent="0.2">
      <c r="A98" s="995"/>
      <c r="B98" s="844" t="s">
        <v>577</v>
      </c>
      <c r="C98" s="872"/>
      <c r="D98" s="862"/>
      <c r="E98" s="863"/>
      <c r="F98" s="863"/>
      <c r="G98" s="411">
        <f t="shared" ca="1" si="5"/>
        <v>-43388</v>
      </c>
      <c r="H98" s="43"/>
      <c r="I98" s="862"/>
      <c r="J98" s="857"/>
      <c r="K98" s="116" t="str">
        <f ca="1">IF(AND(K99="completed",K100="completed",K101="completed",K102="completed",K103="completed",K104="completed",K105="completed"),"Deliverable Completed","DELIVERABLE STILL IN PROGRESS")</f>
        <v>DELIVERABLE STILL IN PROGRESS</v>
      </c>
      <c r="L98" s="474"/>
    </row>
    <row r="99" spans="1:12" ht="15" x14ac:dyDescent="0.2">
      <c r="A99" s="995"/>
      <c r="B99" s="853" t="s">
        <v>578</v>
      </c>
      <c r="C99" s="872"/>
      <c r="D99" s="862"/>
      <c r="E99" s="887"/>
      <c r="F99" s="864"/>
      <c r="G99" s="411">
        <f t="shared" ca="1" si="5"/>
        <v>-43388</v>
      </c>
      <c r="H99" s="864"/>
      <c r="I99" s="862"/>
      <c r="J99" s="857"/>
      <c r="K99" s="38" t="str">
        <f t="shared" ref="K99:K105" ca="1" si="8">IF(H99&gt;0,"COMPLETED",(IF(J99&gt;0,"ISSUE IDENTIFIED",(IF(TODAY()&gt;F99,"OVERDUE","In Progress")))))</f>
        <v>OVERDUE</v>
      </c>
      <c r="L99" s="474"/>
    </row>
    <row r="100" spans="1:12" ht="15" x14ac:dyDescent="0.2">
      <c r="A100" s="995"/>
      <c r="B100" s="146" t="s">
        <v>579</v>
      </c>
      <c r="C100" s="866"/>
      <c r="D100" s="867"/>
      <c r="E100" s="864"/>
      <c r="F100" s="864"/>
      <c r="G100" s="231">
        <f t="shared" ca="1" si="5"/>
        <v>-43388</v>
      </c>
      <c r="H100" s="864"/>
      <c r="I100" s="867"/>
      <c r="J100" s="855"/>
      <c r="K100" s="38" t="str">
        <f t="shared" ca="1" si="8"/>
        <v>OVERDUE</v>
      </c>
      <c r="L100" s="475"/>
    </row>
    <row r="101" spans="1:12" ht="15" x14ac:dyDescent="0.2">
      <c r="A101" s="995"/>
      <c r="B101" s="146" t="s">
        <v>580</v>
      </c>
      <c r="C101" s="866"/>
      <c r="D101" s="867"/>
      <c r="E101" s="864"/>
      <c r="F101" s="864"/>
      <c r="G101" s="231">
        <f t="shared" ca="1" si="5"/>
        <v>-43388</v>
      </c>
      <c r="H101" s="864"/>
      <c r="I101" s="867"/>
      <c r="J101" s="855"/>
      <c r="K101" s="38" t="str">
        <f t="shared" ca="1" si="8"/>
        <v>OVERDUE</v>
      </c>
      <c r="L101" s="475"/>
    </row>
    <row r="102" spans="1:12" ht="15" x14ac:dyDescent="0.25">
      <c r="A102" s="995"/>
      <c r="B102" s="146" t="s">
        <v>581</v>
      </c>
      <c r="C102" s="880"/>
      <c r="D102" s="888"/>
      <c r="E102" s="864"/>
      <c r="F102" s="864"/>
      <c r="G102" s="231">
        <f t="shared" ca="1" si="5"/>
        <v>-43388</v>
      </c>
      <c r="H102" s="864"/>
      <c r="I102" s="867"/>
      <c r="J102" s="855"/>
      <c r="K102" s="38" t="str">
        <f t="shared" ca="1" si="8"/>
        <v>OVERDUE</v>
      </c>
      <c r="L102" s="475"/>
    </row>
    <row r="103" spans="1:12" ht="15" x14ac:dyDescent="0.25">
      <c r="A103" s="995"/>
      <c r="B103" s="847" t="s">
        <v>582</v>
      </c>
      <c r="C103" s="880"/>
      <c r="D103" s="888"/>
      <c r="E103" s="864"/>
      <c r="F103" s="864"/>
      <c r="G103" s="231">
        <f t="shared" ca="1" si="5"/>
        <v>-43388</v>
      </c>
      <c r="H103" s="864"/>
      <c r="I103" s="867"/>
      <c r="J103" s="855"/>
      <c r="K103" s="38" t="str">
        <f t="shared" ca="1" si="8"/>
        <v>OVERDUE</v>
      </c>
      <c r="L103" s="475"/>
    </row>
    <row r="104" spans="1:12" ht="15" x14ac:dyDescent="0.25">
      <c r="A104" s="995"/>
      <c r="B104" s="847" t="s">
        <v>583</v>
      </c>
      <c r="C104" s="880"/>
      <c r="D104" s="888"/>
      <c r="E104" s="864"/>
      <c r="F104" s="864"/>
      <c r="G104" s="231">
        <f t="shared" ca="1" si="5"/>
        <v>-43388</v>
      </c>
      <c r="H104" s="864"/>
      <c r="I104" s="867"/>
      <c r="J104" s="855"/>
      <c r="K104" s="38" t="str">
        <f t="shared" ca="1" si="8"/>
        <v>OVERDUE</v>
      </c>
      <c r="L104" s="475"/>
    </row>
    <row r="105" spans="1:12" ht="15" x14ac:dyDescent="0.25">
      <c r="A105" s="996"/>
      <c r="B105" s="846" t="s">
        <v>584</v>
      </c>
      <c r="C105" s="882"/>
      <c r="D105" s="889"/>
      <c r="E105" s="870"/>
      <c r="F105" s="870"/>
      <c r="G105" s="410">
        <f t="shared" ca="1" si="5"/>
        <v>-43388</v>
      </c>
      <c r="H105" s="42"/>
      <c r="I105" s="869"/>
      <c r="J105" s="856"/>
      <c r="K105" s="175" t="str">
        <f t="shared" ca="1" si="8"/>
        <v>OVERDUE</v>
      </c>
      <c r="L105" s="484"/>
    </row>
    <row r="106" spans="1:12" ht="15" x14ac:dyDescent="0.25">
      <c r="A106" s="991" t="s">
        <v>585</v>
      </c>
      <c r="B106" s="844" t="s">
        <v>586</v>
      </c>
      <c r="C106" s="134"/>
      <c r="D106" s="135"/>
      <c r="E106" s="112"/>
      <c r="F106" s="112"/>
      <c r="G106" s="136">
        <f t="shared" ca="1" si="5"/>
        <v>-43388</v>
      </c>
      <c r="H106" s="43"/>
      <c r="I106" s="862"/>
      <c r="J106" s="857"/>
      <c r="K106" s="116" t="str">
        <f ca="1">IF(AND(K107="completed",K108="completed",K109="completed",K110="completed",K111="completed",K112="completed",K113="completed",K114="completed",K115="completed",K116="completed",K117="completed",K118="completed",K119="completed",K120="completed",K121="completed",K122="completed",K123="completed",K124="completed",K125="completed",K126="completed"),"Deliverable Completed","DELIVERABLE STILL IN PROGRESS")</f>
        <v>DELIVERABLE STILL IN PROGRESS</v>
      </c>
      <c r="L106" s="474"/>
    </row>
    <row r="107" spans="1:12" ht="15" x14ac:dyDescent="0.25">
      <c r="A107" s="992"/>
      <c r="B107" s="146" t="s">
        <v>587</v>
      </c>
      <c r="C107" s="880"/>
      <c r="D107" s="888"/>
      <c r="E107" s="864"/>
      <c r="F107" s="864"/>
      <c r="G107" s="231">
        <f t="shared" ca="1" si="5"/>
        <v>-43388</v>
      </c>
      <c r="H107" s="536"/>
      <c r="I107" s="867"/>
      <c r="J107" s="855"/>
      <c r="K107" s="38" t="str">
        <f t="shared" ref="K107:K126" ca="1" si="9">IF(H107&gt;0,"COMPLETED",(IF(J107&gt;0,"ISSUE IDENTIFIED",(IF(TODAY()&gt;F107,"OVERDUE","In Progress")))))</f>
        <v>OVERDUE</v>
      </c>
      <c r="L107" s="475"/>
    </row>
    <row r="108" spans="1:12" ht="15" x14ac:dyDescent="0.25">
      <c r="A108" s="992"/>
      <c r="B108" s="155" t="s">
        <v>588</v>
      </c>
      <c r="C108" s="880"/>
      <c r="D108" s="888"/>
      <c r="E108" s="864"/>
      <c r="F108" s="864"/>
      <c r="G108" s="231">
        <f t="shared" ca="1" si="5"/>
        <v>-43388</v>
      </c>
      <c r="H108" s="536"/>
      <c r="I108" s="867"/>
      <c r="J108" s="855"/>
      <c r="K108" s="38" t="str">
        <f t="shared" ca="1" si="9"/>
        <v>OVERDUE</v>
      </c>
      <c r="L108" s="475"/>
    </row>
    <row r="109" spans="1:12" ht="15" x14ac:dyDescent="0.25">
      <c r="A109" s="992"/>
      <c r="B109" s="155" t="s">
        <v>589</v>
      </c>
      <c r="C109" s="880"/>
      <c r="D109" s="888"/>
      <c r="E109" s="864"/>
      <c r="F109" s="864"/>
      <c r="G109" s="231">
        <f t="shared" ca="1" si="5"/>
        <v>-43388</v>
      </c>
      <c r="H109" s="536"/>
      <c r="I109" s="867"/>
      <c r="J109" s="855"/>
      <c r="K109" s="38" t="str">
        <f t="shared" ca="1" si="9"/>
        <v>OVERDUE</v>
      </c>
      <c r="L109" s="475"/>
    </row>
    <row r="110" spans="1:12" ht="15" x14ac:dyDescent="0.25">
      <c r="A110" s="992"/>
      <c r="B110" s="155" t="s">
        <v>590</v>
      </c>
      <c r="C110" s="880"/>
      <c r="D110" s="888"/>
      <c r="E110" s="864"/>
      <c r="F110" s="864"/>
      <c r="G110" s="231">
        <f t="shared" ca="1" si="5"/>
        <v>-43388</v>
      </c>
      <c r="H110" s="536"/>
      <c r="I110" s="867"/>
      <c r="J110" s="855"/>
      <c r="K110" s="38" t="str">
        <f t="shared" ca="1" si="9"/>
        <v>OVERDUE</v>
      </c>
      <c r="L110" s="475"/>
    </row>
    <row r="111" spans="1:12" ht="15" x14ac:dyDescent="0.25">
      <c r="A111" s="992"/>
      <c r="B111" s="155" t="s">
        <v>591</v>
      </c>
      <c r="C111" s="880"/>
      <c r="D111" s="888"/>
      <c r="E111" s="864"/>
      <c r="F111" s="864"/>
      <c r="G111" s="231">
        <f t="shared" ca="1" si="5"/>
        <v>-43388</v>
      </c>
      <c r="H111" s="536"/>
      <c r="I111" s="867"/>
      <c r="J111" s="855"/>
      <c r="K111" s="38" t="str">
        <f t="shared" ca="1" si="9"/>
        <v>OVERDUE</v>
      </c>
      <c r="L111" s="475"/>
    </row>
    <row r="112" spans="1:12" ht="15" x14ac:dyDescent="0.25">
      <c r="A112" s="992"/>
      <c r="B112" s="854" t="s">
        <v>592</v>
      </c>
      <c r="C112" s="880"/>
      <c r="D112" s="888"/>
      <c r="E112" s="864"/>
      <c r="F112" s="864"/>
      <c r="G112" s="231">
        <f t="shared" ca="1" si="5"/>
        <v>-43388</v>
      </c>
      <c r="H112" s="536"/>
      <c r="I112" s="867"/>
      <c r="J112" s="855"/>
      <c r="K112" s="38" t="str">
        <f t="shared" ca="1" si="9"/>
        <v>OVERDUE</v>
      </c>
      <c r="L112" s="475"/>
    </row>
    <row r="113" spans="1:12" ht="15" x14ac:dyDescent="0.25">
      <c r="A113" s="992"/>
      <c r="B113" s="854" t="s">
        <v>593</v>
      </c>
      <c r="C113" s="880"/>
      <c r="D113" s="888"/>
      <c r="E113" s="864"/>
      <c r="F113" s="864"/>
      <c r="G113" s="231">
        <f t="shared" ca="1" si="5"/>
        <v>-43388</v>
      </c>
      <c r="H113" s="536"/>
      <c r="I113" s="867"/>
      <c r="J113" s="855"/>
      <c r="K113" s="38" t="str">
        <f t="shared" ca="1" si="9"/>
        <v>OVERDUE</v>
      </c>
      <c r="L113" s="475"/>
    </row>
    <row r="114" spans="1:12" ht="15" x14ac:dyDescent="0.25">
      <c r="A114" s="992"/>
      <c r="B114" s="854" t="s">
        <v>594</v>
      </c>
      <c r="C114" s="880"/>
      <c r="D114" s="888"/>
      <c r="E114" s="864"/>
      <c r="F114" s="864"/>
      <c r="G114" s="231">
        <f t="shared" ca="1" si="5"/>
        <v>-43388</v>
      </c>
      <c r="H114" s="536"/>
      <c r="I114" s="867"/>
      <c r="J114" s="855"/>
      <c r="K114" s="38" t="str">
        <f t="shared" ca="1" si="9"/>
        <v>OVERDUE</v>
      </c>
      <c r="L114" s="475"/>
    </row>
    <row r="115" spans="1:12" ht="15" x14ac:dyDescent="0.25">
      <c r="A115" s="992"/>
      <c r="B115" s="854" t="s">
        <v>595</v>
      </c>
      <c r="C115" s="880"/>
      <c r="D115" s="888"/>
      <c r="E115" s="864"/>
      <c r="F115" s="864"/>
      <c r="G115" s="231">
        <f t="shared" ca="1" si="5"/>
        <v>-43388</v>
      </c>
      <c r="H115" s="536"/>
      <c r="I115" s="867"/>
      <c r="J115" s="855"/>
      <c r="K115" s="38" t="str">
        <f t="shared" ca="1" si="9"/>
        <v>OVERDUE</v>
      </c>
      <c r="L115" s="475"/>
    </row>
    <row r="116" spans="1:12" ht="15" x14ac:dyDescent="0.25">
      <c r="A116" s="992"/>
      <c r="B116" s="486" t="s">
        <v>596</v>
      </c>
      <c r="C116" s="880"/>
      <c r="D116" s="888"/>
      <c r="E116" s="864"/>
      <c r="F116" s="864"/>
      <c r="G116" s="231">
        <f t="shared" ca="1" si="5"/>
        <v>-43388</v>
      </c>
      <c r="H116" s="536"/>
      <c r="I116" s="867"/>
      <c r="J116" s="855"/>
      <c r="K116" s="38" t="str">
        <f t="shared" ca="1" si="9"/>
        <v>OVERDUE</v>
      </c>
      <c r="L116" s="475"/>
    </row>
    <row r="117" spans="1:12" ht="15" x14ac:dyDescent="0.25">
      <c r="A117" s="992"/>
      <c r="B117" s="146" t="s">
        <v>597</v>
      </c>
      <c r="C117" s="880"/>
      <c r="D117" s="888"/>
      <c r="E117" s="864"/>
      <c r="F117" s="864"/>
      <c r="G117" s="231">
        <f t="shared" ca="1" si="5"/>
        <v>-43388</v>
      </c>
      <c r="H117" s="536"/>
      <c r="I117" s="867"/>
      <c r="J117" s="855"/>
      <c r="K117" s="38" t="str">
        <f t="shared" ca="1" si="9"/>
        <v>OVERDUE</v>
      </c>
      <c r="L117" s="475"/>
    </row>
    <row r="118" spans="1:12" ht="15" x14ac:dyDescent="0.25">
      <c r="A118" s="992"/>
      <c r="B118" s="146" t="s">
        <v>598</v>
      </c>
      <c r="C118" s="880"/>
      <c r="D118" s="888"/>
      <c r="E118" s="864"/>
      <c r="F118" s="864"/>
      <c r="G118" s="231">
        <f t="shared" ca="1" si="5"/>
        <v>-43388</v>
      </c>
      <c r="H118" s="536"/>
      <c r="I118" s="867"/>
      <c r="J118" s="855"/>
      <c r="K118" s="38" t="str">
        <f t="shared" ca="1" si="9"/>
        <v>OVERDUE</v>
      </c>
      <c r="L118" s="475"/>
    </row>
    <row r="119" spans="1:12" ht="15" x14ac:dyDescent="0.25">
      <c r="A119" s="992"/>
      <c r="B119" s="146" t="s">
        <v>599</v>
      </c>
      <c r="C119" s="880"/>
      <c r="D119" s="888"/>
      <c r="E119" s="864"/>
      <c r="F119" s="864"/>
      <c r="G119" s="231">
        <f t="shared" ca="1" si="5"/>
        <v>-43388</v>
      </c>
      <c r="H119" s="536"/>
      <c r="I119" s="867"/>
      <c r="J119" s="855"/>
      <c r="K119" s="38" t="str">
        <f t="shared" ca="1" si="9"/>
        <v>OVERDUE</v>
      </c>
      <c r="L119" s="475"/>
    </row>
    <row r="120" spans="1:12" ht="15" x14ac:dyDescent="0.25">
      <c r="A120" s="992"/>
      <c r="B120" s="146" t="s">
        <v>600</v>
      </c>
      <c r="C120" s="880"/>
      <c r="D120" s="888"/>
      <c r="E120" s="864"/>
      <c r="F120" s="864"/>
      <c r="G120" s="231">
        <f t="shared" ca="1" si="5"/>
        <v>-43388</v>
      </c>
      <c r="H120" s="536"/>
      <c r="I120" s="867"/>
      <c r="J120" s="855"/>
      <c r="K120" s="38" t="str">
        <f t="shared" ca="1" si="9"/>
        <v>OVERDUE</v>
      </c>
      <c r="L120" s="475"/>
    </row>
    <row r="121" spans="1:12" ht="15" x14ac:dyDescent="0.25">
      <c r="A121" s="992"/>
      <c r="B121" s="146" t="s">
        <v>601</v>
      </c>
      <c r="C121" s="880"/>
      <c r="D121" s="888"/>
      <c r="E121" s="864"/>
      <c r="F121" s="864"/>
      <c r="G121" s="231">
        <f t="shared" ca="1" si="5"/>
        <v>-43388</v>
      </c>
      <c r="H121" s="536"/>
      <c r="I121" s="867"/>
      <c r="J121" s="855"/>
      <c r="K121" s="38" t="str">
        <f t="shared" ca="1" si="9"/>
        <v>OVERDUE</v>
      </c>
      <c r="L121" s="475"/>
    </row>
    <row r="122" spans="1:12" ht="15" x14ac:dyDescent="0.25">
      <c r="A122" s="992"/>
      <c r="B122" s="146" t="s">
        <v>602</v>
      </c>
      <c r="C122" s="880"/>
      <c r="D122" s="888"/>
      <c r="E122" s="864"/>
      <c r="F122" s="864"/>
      <c r="G122" s="231">
        <f t="shared" ca="1" si="5"/>
        <v>-43388</v>
      </c>
      <c r="H122" s="536"/>
      <c r="I122" s="867"/>
      <c r="J122" s="855"/>
      <c r="K122" s="38" t="str">
        <f t="shared" ca="1" si="9"/>
        <v>OVERDUE</v>
      </c>
      <c r="L122" s="475"/>
    </row>
    <row r="123" spans="1:12" ht="15" x14ac:dyDescent="0.25">
      <c r="A123" s="992"/>
      <c r="B123" s="146" t="s">
        <v>603</v>
      </c>
      <c r="C123" s="880"/>
      <c r="D123" s="888"/>
      <c r="E123" s="864"/>
      <c r="F123" s="864"/>
      <c r="G123" s="231">
        <f t="shared" ca="1" si="5"/>
        <v>-43388</v>
      </c>
      <c r="H123" s="536"/>
      <c r="I123" s="867"/>
      <c r="J123" s="855"/>
      <c r="K123" s="38" t="str">
        <f t="shared" ca="1" si="9"/>
        <v>OVERDUE</v>
      </c>
      <c r="L123" s="475"/>
    </row>
    <row r="124" spans="1:12" ht="15" x14ac:dyDescent="0.25">
      <c r="A124" s="992"/>
      <c r="B124" s="146" t="s">
        <v>604</v>
      </c>
      <c r="C124" s="880"/>
      <c r="D124" s="888"/>
      <c r="E124" s="864"/>
      <c r="F124" s="864"/>
      <c r="G124" s="231">
        <f t="shared" ca="1" si="5"/>
        <v>-43388</v>
      </c>
      <c r="H124" s="536"/>
      <c r="I124" s="867"/>
      <c r="J124" s="855"/>
      <c r="K124" s="38" t="str">
        <f t="shared" ca="1" si="9"/>
        <v>OVERDUE</v>
      </c>
      <c r="L124" s="475"/>
    </row>
    <row r="125" spans="1:12" ht="15" x14ac:dyDescent="0.25">
      <c r="A125" s="992"/>
      <c r="B125" s="146" t="s">
        <v>605</v>
      </c>
      <c r="C125" s="880"/>
      <c r="D125" s="888"/>
      <c r="E125" s="864"/>
      <c r="F125" s="864"/>
      <c r="G125" s="231">
        <f t="shared" ca="1" si="5"/>
        <v>-43388</v>
      </c>
      <c r="H125" s="536"/>
      <c r="I125" s="867"/>
      <c r="J125" s="855"/>
      <c r="K125" s="38" t="str">
        <f t="shared" ca="1" si="9"/>
        <v>OVERDUE</v>
      </c>
      <c r="L125" s="475"/>
    </row>
    <row r="126" spans="1:12" ht="15.75" thickBot="1" x14ac:dyDescent="0.3">
      <c r="A126" s="997"/>
      <c r="B126" s="487" t="s">
        <v>606</v>
      </c>
      <c r="C126" s="890"/>
      <c r="D126" s="891"/>
      <c r="E126" s="892"/>
      <c r="F126" s="892"/>
      <c r="G126" s="526">
        <f t="shared" ca="1" si="5"/>
        <v>-43388</v>
      </c>
      <c r="H126" s="559"/>
      <c r="I126" s="560"/>
      <c r="J126" s="860"/>
      <c r="K126" s="497" t="str">
        <f t="shared" ca="1" si="9"/>
        <v>OVERDUE</v>
      </c>
      <c r="L126" s="498"/>
    </row>
  </sheetData>
  <sheetProtection algorithmName="SHA-512" hashValue="kpc3RzVHSARwcxvvGSld1uJZlnJKAHark/8GAAr0cL86xrXF5VCx7/vWGtknOOWB0Uhtw6sCtXv7rur6+H03qA==" saltValue="HzTbzh8FEM7uFVfoyXHYDw==" spinCount="100000" sheet="1" insertRows="0" deleteRows="0" sort="0" autoFilter="0"/>
  <mergeCells count="8">
    <mergeCell ref="A81:A92"/>
    <mergeCell ref="A93:A105"/>
    <mergeCell ref="A106:A126"/>
    <mergeCell ref="A1:L1"/>
    <mergeCell ref="A9:A16"/>
    <mergeCell ref="A17:A30"/>
    <mergeCell ref="A31:A62"/>
    <mergeCell ref="A63:A80"/>
  </mergeCells>
  <conditionalFormatting sqref="G9:G150">
    <cfRule type="cellIs" dxfId="69" priority="3" stopIfTrue="1" operator="lessThan">
      <formula>-1000</formula>
    </cfRule>
  </conditionalFormatting>
  <conditionalFormatting sqref="E9:F126">
    <cfRule type="cellIs" dxfId="68" priority="1" operator="equal">
      <formula>0</formula>
    </cfRule>
  </conditionalFormatting>
  <conditionalFormatting sqref="K9:K150">
    <cfRule type="containsText" dxfId="67" priority="4" operator="containsText" text="DELIVERABLE STILL IN PROGRESS">
      <formula>NOT(ISERROR(SEARCH("DELIVERABLE STILL IN PROGRESS",K9)))</formula>
    </cfRule>
    <cfRule type="containsText" dxfId="66" priority="5" operator="containsText" text="DELIVERABLE COMPLETED">
      <formula>NOT(ISERROR(SEARCH("DELIVERABLE COMPLETED",K9)))</formula>
    </cfRule>
    <cfRule type="cellIs" dxfId="65" priority="6" stopIfTrue="1" operator="equal">
      <formula>"OVERDUE"</formula>
    </cfRule>
    <cfRule type="cellIs" dxfId="64" priority="7" stopIfTrue="1" operator="equal">
      <formula>"COMPLETED"</formula>
    </cfRule>
    <cfRule type="cellIs" dxfId="63" priority="8" stopIfTrue="1" operator="equal">
      <formula>"ISSUE IDENTIFIED"</formula>
    </cfRule>
  </conditionalFormatting>
  <printOptions horizontalCentered="1"/>
  <pageMargins left="0.25" right="0.25" top="0.5" bottom="0.75" header="0.25" footer="0.5"/>
  <pageSetup scale="41" fitToHeight="2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0C3964"/>
    <pageSetUpPr fitToPage="1"/>
  </sheetPr>
  <dimension ref="A1:JC173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6" sqref="C6"/>
    </sheetView>
  </sheetViews>
  <sheetFormatPr defaultRowHeight="12.75" x14ac:dyDescent="0.2"/>
  <cols>
    <col min="1" max="1" width="18.7109375" style="25" customWidth="1"/>
    <col min="2" max="2" width="87.7109375" style="27" customWidth="1"/>
    <col min="3" max="3" width="33.5703125" style="27" bestFit="1" customWidth="1"/>
    <col min="4" max="5" width="13.7109375" style="5" customWidth="1"/>
    <col min="6" max="6" width="22.28515625" style="111" bestFit="1" customWidth="1"/>
    <col min="7" max="7" width="22.28515625" style="5" bestFit="1" customWidth="1"/>
    <col min="8" max="8" width="17.28515625" style="27" bestFit="1" customWidth="1"/>
    <col min="9" max="9" width="27.42578125" style="27" bestFit="1" customWidth="1"/>
    <col min="10" max="10" width="32.7109375" style="25" bestFit="1" customWidth="1"/>
    <col min="11" max="11" width="40.7109375" style="18" customWidth="1"/>
    <col min="12" max="12" width="15.5703125" style="25" customWidth="1"/>
    <col min="13" max="49" width="9.140625" style="20"/>
    <col min="50" max="256" width="9.140625" style="25"/>
    <col min="257" max="257" width="10.7109375" style="25" customWidth="1"/>
    <col min="258" max="258" width="50.7109375" style="25" customWidth="1"/>
    <col min="259" max="259" width="15.5703125" style="25" customWidth="1"/>
    <col min="260" max="263" width="10.7109375" style="25" customWidth="1"/>
    <col min="264" max="265" width="12.7109375" style="25" customWidth="1"/>
    <col min="266" max="266" width="15.7109375" style="25" customWidth="1"/>
    <col min="267" max="267" width="40.7109375" style="25" customWidth="1"/>
    <col min="268" max="268" width="15.5703125" style="25" customWidth="1"/>
    <col min="269" max="512" width="9.140625" style="25"/>
    <col min="513" max="513" width="10.7109375" style="25" customWidth="1"/>
    <col min="514" max="514" width="50.7109375" style="25" customWidth="1"/>
    <col min="515" max="515" width="15.5703125" style="25" customWidth="1"/>
    <col min="516" max="519" width="10.7109375" style="25" customWidth="1"/>
    <col min="520" max="521" width="12.7109375" style="25" customWidth="1"/>
    <col min="522" max="522" width="15.7109375" style="25" customWidth="1"/>
    <col min="523" max="523" width="40.7109375" style="25" customWidth="1"/>
    <col min="524" max="524" width="15.5703125" style="25" customWidth="1"/>
    <col min="525" max="768" width="9.140625" style="25"/>
    <col min="769" max="769" width="10.7109375" style="25" customWidth="1"/>
    <col min="770" max="770" width="50.7109375" style="25" customWidth="1"/>
    <col min="771" max="771" width="15.5703125" style="25" customWidth="1"/>
    <col min="772" max="775" width="10.7109375" style="25" customWidth="1"/>
    <col min="776" max="777" width="12.7109375" style="25" customWidth="1"/>
    <col min="778" max="778" width="15.7109375" style="25" customWidth="1"/>
    <col min="779" max="779" width="40.7109375" style="25" customWidth="1"/>
    <col min="780" max="780" width="15.5703125" style="25" customWidth="1"/>
    <col min="781" max="1024" width="9.140625" style="25"/>
    <col min="1025" max="1025" width="10.7109375" style="25" customWidth="1"/>
    <col min="1026" max="1026" width="50.7109375" style="25" customWidth="1"/>
    <col min="1027" max="1027" width="15.5703125" style="25" customWidth="1"/>
    <col min="1028" max="1031" width="10.7109375" style="25" customWidth="1"/>
    <col min="1032" max="1033" width="12.7109375" style="25" customWidth="1"/>
    <col min="1034" max="1034" width="15.7109375" style="25" customWidth="1"/>
    <col min="1035" max="1035" width="40.7109375" style="25" customWidth="1"/>
    <col min="1036" max="1036" width="15.5703125" style="25" customWidth="1"/>
    <col min="1037" max="1280" width="9.140625" style="25"/>
    <col min="1281" max="1281" width="10.7109375" style="25" customWidth="1"/>
    <col min="1282" max="1282" width="50.7109375" style="25" customWidth="1"/>
    <col min="1283" max="1283" width="15.5703125" style="25" customWidth="1"/>
    <col min="1284" max="1287" width="10.7109375" style="25" customWidth="1"/>
    <col min="1288" max="1289" width="12.7109375" style="25" customWidth="1"/>
    <col min="1290" max="1290" width="15.7109375" style="25" customWidth="1"/>
    <col min="1291" max="1291" width="40.7109375" style="25" customWidth="1"/>
    <col min="1292" max="1292" width="15.5703125" style="25" customWidth="1"/>
    <col min="1293" max="1536" width="9.140625" style="25"/>
    <col min="1537" max="1537" width="10.7109375" style="25" customWidth="1"/>
    <col min="1538" max="1538" width="50.7109375" style="25" customWidth="1"/>
    <col min="1539" max="1539" width="15.5703125" style="25" customWidth="1"/>
    <col min="1540" max="1543" width="10.7109375" style="25" customWidth="1"/>
    <col min="1544" max="1545" width="12.7109375" style="25" customWidth="1"/>
    <col min="1546" max="1546" width="15.7109375" style="25" customWidth="1"/>
    <col min="1547" max="1547" width="40.7109375" style="25" customWidth="1"/>
    <col min="1548" max="1548" width="15.5703125" style="25" customWidth="1"/>
    <col min="1549" max="1792" width="9.140625" style="25"/>
    <col min="1793" max="1793" width="10.7109375" style="25" customWidth="1"/>
    <col min="1794" max="1794" width="50.7109375" style="25" customWidth="1"/>
    <col min="1795" max="1795" width="15.5703125" style="25" customWidth="1"/>
    <col min="1796" max="1799" width="10.7109375" style="25" customWidth="1"/>
    <col min="1800" max="1801" width="12.7109375" style="25" customWidth="1"/>
    <col min="1802" max="1802" width="15.7109375" style="25" customWidth="1"/>
    <col min="1803" max="1803" width="40.7109375" style="25" customWidth="1"/>
    <col min="1804" max="1804" width="15.5703125" style="25" customWidth="1"/>
    <col min="1805" max="2048" width="9.140625" style="25"/>
    <col min="2049" max="2049" width="10.7109375" style="25" customWidth="1"/>
    <col min="2050" max="2050" width="50.7109375" style="25" customWidth="1"/>
    <col min="2051" max="2051" width="15.5703125" style="25" customWidth="1"/>
    <col min="2052" max="2055" width="10.7109375" style="25" customWidth="1"/>
    <col min="2056" max="2057" width="12.7109375" style="25" customWidth="1"/>
    <col min="2058" max="2058" width="15.7109375" style="25" customWidth="1"/>
    <col min="2059" max="2059" width="40.7109375" style="25" customWidth="1"/>
    <col min="2060" max="2060" width="15.5703125" style="25" customWidth="1"/>
    <col min="2061" max="2304" width="9.140625" style="25"/>
    <col min="2305" max="2305" width="10.7109375" style="25" customWidth="1"/>
    <col min="2306" max="2306" width="50.7109375" style="25" customWidth="1"/>
    <col min="2307" max="2307" width="15.5703125" style="25" customWidth="1"/>
    <col min="2308" max="2311" width="10.7109375" style="25" customWidth="1"/>
    <col min="2312" max="2313" width="12.7109375" style="25" customWidth="1"/>
    <col min="2314" max="2314" width="15.7109375" style="25" customWidth="1"/>
    <col min="2315" max="2315" width="40.7109375" style="25" customWidth="1"/>
    <col min="2316" max="2316" width="15.5703125" style="25" customWidth="1"/>
    <col min="2317" max="2560" width="9.140625" style="25"/>
    <col min="2561" max="2561" width="10.7109375" style="25" customWidth="1"/>
    <col min="2562" max="2562" width="50.7109375" style="25" customWidth="1"/>
    <col min="2563" max="2563" width="15.5703125" style="25" customWidth="1"/>
    <col min="2564" max="2567" width="10.7109375" style="25" customWidth="1"/>
    <col min="2568" max="2569" width="12.7109375" style="25" customWidth="1"/>
    <col min="2570" max="2570" width="15.7109375" style="25" customWidth="1"/>
    <col min="2571" max="2571" width="40.7109375" style="25" customWidth="1"/>
    <col min="2572" max="2572" width="15.5703125" style="25" customWidth="1"/>
    <col min="2573" max="2816" width="9.140625" style="25"/>
    <col min="2817" max="2817" width="10.7109375" style="25" customWidth="1"/>
    <col min="2818" max="2818" width="50.7109375" style="25" customWidth="1"/>
    <col min="2819" max="2819" width="15.5703125" style="25" customWidth="1"/>
    <col min="2820" max="2823" width="10.7109375" style="25" customWidth="1"/>
    <col min="2824" max="2825" width="12.7109375" style="25" customWidth="1"/>
    <col min="2826" max="2826" width="15.7109375" style="25" customWidth="1"/>
    <col min="2827" max="2827" width="40.7109375" style="25" customWidth="1"/>
    <col min="2828" max="2828" width="15.5703125" style="25" customWidth="1"/>
    <col min="2829" max="3072" width="9.140625" style="25"/>
    <col min="3073" max="3073" width="10.7109375" style="25" customWidth="1"/>
    <col min="3074" max="3074" width="50.7109375" style="25" customWidth="1"/>
    <col min="3075" max="3075" width="15.5703125" style="25" customWidth="1"/>
    <col min="3076" max="3079" width="10.7109375" style="25" customWidth="1"/>
    <col min="3080" max="3081" width="12.7109375" style="25" customWidth="1"/>
    <col min="3082" max="3082" width="15.7109375" style="25" customWidth="1"/>
    <col min="3083" max="3083" width="40.7109375" style="25" customWidth="1"/>
    <col min="3084" max="3084" width="15.5703125" style="25" customWidth="1"/>
    <col min="3085" max="3328" width="9.140625" style="25"/>
    <col min="3329" max="3329" width="10.7109375" style="25" customWidth="1"/>
    <col min="3330" max="3330" width="50.7109375" style="25" customWidth="1"/>
    <col min="3331" max="3331" width="15.5703125" style="25" customWidth="1"/>
    <col min="3332" max="3335" width="10.7109375" style="25" customWidth="1"/>
    <col min="3336" max="3337" width="12.7109375" style="25" customWidth="1"/>
    <col min="3338" max="3338" width="15.7109375" style="25" customWidth="1"/>
    <col min="3339" max="3339" width="40.7109375" style="25" customWidth="1"/>
    <col min="3340" max="3340" width="15.5703125" style="25" customWidth="1"/>
    <col min="3341" max="3584" width="9.140625" style="25"/>
    <col min="3585" max="3585" width="10.7109375" style="25" customWidth="1"/>
    <col min="3586" max="3586" width="50.7109375" style="25" customWidth="1"/>
    <col min="3587" max="3587" width="15.5703125" style="25" customWidth="1"/>
    <col min="3588" max="3591" width="10.7109375" style="25" customWidth="1"/>
    <col min="3592" max="3593" width="12.7109375" style="25" customWidth="1"/>
    <col min="3594" max="3594" width="15.7109375" style="25" customWidth="1"/>
    <col min="3595" max="3595" width="40.7109375" style="25" customWidth="1"/>
    <col min="3596" max="3596" width="15.5703125" style="25" customWidth="1"/>
    <col min="3597" max="3840" width="9.140625" style="25"/>
    <col min="3841" max="3841" width="10.7109375" style="25" customWidth="1"/>
    <col min="3842" max="3842" width="50.7109375" style="25" customWidth="1"/>
    <col min="3843" max="3843" width="15.5703125" style="25" customWidth="1"/>
    <col min="3844" max="3847" width="10.7109375" style="25" customWidth="1"/>
    <col min="3848" max="3849" width="12.7109375" style="25" customWidth="1"/>
    <col min="3850" max="3850" width="15.7109375" style="25" customWidth="1"/>
    <col min="3851" max="3851" width="40.7109375" style="25" customWidth="1"/>
    <col min="3852" max="3852" width="15.5703125" style="25" customWidth="1"/>
    <col min="3853" max="4096" width="9.140625" style="25"/>
    <col min="4097" max="4097" width="10.7109375" style="25" customWidth="1"/>
    <col min="4098" max="4098" width="50.7109375" style="25" customWidth="1"/>
    <col min="4099" max="4099" width="15.5703125" style="25" customWidth="1"/>
    <col min="4100" max="4103" width="10.7109375" style="25" customWidth="1"/>
    <col min="4104" max="4105" width="12.7109375" style="25" customWidth="1"/>
    <col min="4106" max="4106" width="15.7109375" style="25" customWidth="1"/>
    <col min="4107" max="4107" width="40.7109375" style="25" customWidth="1"/>
    <col min="4108" max="4108" width="15.5703125" style="25" customWidth="1"/>
    <col min="4109" max="4352" width="9.140625" style="25"/>
    <col min="4353" max="4353" width="10.7109375" style="25" customWidth="1"/>
    <col min="4354" max="4354" width="50.7109375" style="25" customWidth="1"/>
    <col min="4355" max="4355" width="15.5703125" style="25" customWidth="1"/>
    <col min="4356" max="4359" width="10.7109375" style="25" customWidth="1"/>
    <col min="4360" max="4361" width="12.7109375" style="25" customWidth="1"/>
    <col min="4362" max="4362" width="15.7109375" style="25" customWidth="1"/>
    <col min="4363" max="4363" width="40.7109375" style="25" customWidth="1"/>
    <col min="4364" max="4364" width="15.5703125" style="25" customWidth="1"/>
    <col min="4365" max="4608" width="9.140625" style="25"/>
    <col min="4609" max="4609" width="10.7109375" style="25" customWidth="1"/>
    <col min="4610" max="4610" width="50.7109375" style="25" customWidth="1"/>
    <col min="4611" max="4611" width="15.5703125" style="25" customWidth="1"/>
    <col min="4612" max="4615" width="10.7109375" style="25" customWidth="1"/>
    <col min="4616" max="4617" width="12.7109375" style="25" customWidth="1"/>
    <col min="4618" max="4618" width="15.7109375" style="25" customWidth="1"/>
    <col min="4619" max="4619" width="40.7109375" style="25" customWidth="1"/>
    <col min="4620" max="4620" width="15.5703125" style="25" customWidth="1"/>
    <col min="4621" max="4864" width="9.140625" style="25"/>
    <col min="4865" max="4865" width="10.7109375" style="25" customWidth="1"/>
    <col min="4866" max="4866" width="50.7109375" style="25" customWidth="1"/>
    <col min="4867" max="4867" width="15.5703125" style="25" customWidth="1"/>
    <col min="4868" max="4871" width="10.7109375" style="25" customWidth="1"/>
    <col min="4872" max="4873" width="12.7109375" style="25" customWidth="1"/>
    <col min="4874" max="4874" width="15.7109375" style="25" customWidth="1"/>
    <col min="4875" max="4875" width="40.7109375" style="25" customWidth="1"/>
    <col min="4876" max="4876" width="15.5703125" style="25" customWidth="1"/>
    <col min="4877" max="5120" width="9.140625" style="25"/>
    <col min="5121" max="5121" width="10.7109375" style="25" customWidth="1"/>
    <col min="5122" max="5122" width="50.7109375" style="25" customWidth="1"/>
    <col min="5123" max="5123" width="15.5703125" style="25" customWidth="1"/>
    <col min="5124" max="5127" width="10.7109375" style="25" customWidth="1"/>
    <col min="5128" max="5129" width="12.7109375" style="25" customWidth="1"/>
    <col min="5130" max="5130" width="15.7109375" style="25" customWidth="1"/>
    <col min="5131" max="5131" width="40.7109375" style="25" customWidth="1"/>
    <col min="5132" max="5132" width="15.5703125" style="25" customWidth="1"/>
    <col min="5133" max="5376" width="9.140625" style="25"/>
    <col min="5377" max="5377" width="10.7109375" style="25" customWidth="1"/>
    <col min="5378" max="5378" width="50.7109375" style="25" customWidth="1"/>
    <col min="5379" max="5379" width="15.5703125" style="25" customWidth="1"/>
    <col min="5380" max="5383" width="10.7109375" style="25" customWidth="1"/>
    <col min="5384" max="5385" width="12.7109375" style="25" customWidth="1"/>
    <col min="5386" max="5386" width="15.7109375" style="25" customWidth="1"/>
    <col min="5387" max="5387" width="40.7109375" style="25" customWidth="1"/>
    <col min="5388" max="5388" width="15.5703125" style="25" customWidth="1"/>
    <col min="5389" max="5632" width="9.140625" style="25"/>
    <col min="5633" max="5633" width="10.7109375" style="25" customWidth="1"/>
    <col min="5634" max="5634" width="50.7109375" style="25" customWidth="1"/>
    <col min="5635" max="5635" width="15.5703125" style="25" customWidth="1"/>
    <col min="5636" max="5639" width="10.7109375" style="25" customWidth="1"/>
    <col min="5640" max="5641" width="12.7109375" style="25" customWidth="1"/>
    <col min="5642" max="5642" width="15.7109375" style="25" customWidth="1"/>
    <col min="5643" max="5643" width="40.7109375" style="25" customWidth="1"/>
    <col min="5644" max="5644" width="15.5703125" style="25" customWidth="1"/>
    <col min="5645" max="5888" width="9.140625" style="25"/>
    <col min="5889" max="5889" width="10.7109375" style="25" customWidth="1"/>
    <col min="5890" max="5890" width="50.7109375" style="25" customWidth="1"/>
    <col min="5891" max="5891" width="15.5703125" style="25" customWidth="1"/>
    <col min="5892" max="5895" width="10.7109375" style="25" customWidth="1"/>
    <col min="5896" max="5897" width="12.7109375" style="25" customWidth="1"/>
    <col min="5898" max="5898" width="15.7109375" style="25" customWidth="1"/>
    <col min="5899" max="5899" width="40.7109375" style="25" customWidth="1"/>
    <col min="5900" max="5900" width="15.5703125" style="25" customWidth="1"/>
    <col min="5901" max="6144" width="9.140625" style="25"/>
    <col min="6145" max="6145" width="10.7109375" style="25" customWidth="1"/>
    <col min="6146" max="6146" width="50.7109375" style="25" customWidth="1"/>
    <col min="6147" max="6147" width="15.5703125" style="25" customWidth="1"/>
    <col min="6148" max="6151" width="10.7109375" style="25" customWidth="1"/>
    <col min="6152" max="6153" width="12.7109375" style="25" customWidth="1"/>
    <col min="6154" max="6154" width="15.7109375" style="25" customWidth="1"/>
    <col min="6155" max="6155" width="40.7109375" style="25" customWidth="1"/>
    <col min="6156" max="6156" width="15.5703125" style="25" customWidth="1"/>
    <col min="6157" max="6400" width="9.140625" style="25"/>
    <col min="6401" max="6401" width="10.7109375" style="25" customWidth="1"/>
    <col min="6402" max="6402" width="50.7109375" style="25" customWidth="1"/>
    <col min="6403" max="6403" width="15.5703125" style="25" customWidth="1"/>
    <col min="6404" max="6407" width="10.7109375" style="25" customWidth="1"/>
    <col min="6408" max="6409" width="12.7109375" style="25" customWidth="1"/>
    <col min="6410" max="6410" width="15.7109375" style="25" customWidth="1"/>
    <col min="6411" max="6411" width="40.7109375" style="25" customWidth="1"/>
    <col min="6412" max="6412" width="15.5703125" style="25" customWidth="1"/>
    <col min="6413" max="6656" width="9.140625" style="25"/>
    <col min="6657" max="6657" width="10.7109375" style="25" customWidth="1"/>
    <col min="6658" max="6658" width="50.7109375" style="25" customWidth="1"/>
    <col min="6659" max="6659" width="15.5703125" style="25" customWidth="1"/>
    <col min="6660" max="6663" width="10.7109375" style="25" customWidth="1"/>
    <col min="6664" max="6665" width="12.7109375" style="25" customWidth="1"/>
    <col min="6666" max="6666" width="15.7109375" style="25" customWidth="1"/>
    <col min="6667" max="6667" width="40.7109375" style="25" customWidth="1"/>
    <col min="6668" max="6668" width="15.5703125" style="25" customWidth="1"/>
    <col min="6669" max="6912" width="9.140625" style="25"/>
    <col min="6913" max="6913" width="10.7109375" style="25" customWidth="1"/>
    <col min="6914" max="6914" width="50.7109375" style="25" customWidth="1"/>
    <col min="6915" max="6915" width="15.5703125" style="25" customWidth="1"/>
    <col min="6916" max="6919" width="10.7109375" style="25" customWidth="1"/>
    <col min="6920" max="6921" width="12.7109375" style="25" customWidth="1"/>
    <col min="6922" max="6922" width="15.7109375" style="25" customWidth="1"/>
    <col min="6923" max="6923" width="40.7109375" style="25" customWidth="1"/>
    <col min="6924" max="6924" width="15.5703125" style="25" customWidth="1"/>
    <col min="6925" max="7168" width="9.140625" style="25"/>
    <col min="7169" max="7169" width="10.7109375" style="25" customWidth="1"/>
    <col min="7170" max="7170" width="50.7109375" style="25" customWidth="1"/>
    <col min="7171" max="7171" width="15.5703125" style="25" customWidth="1"/>
    <col min="7172" max="7175" width="10.7109375" style="25" customWidth="1"/>
    <col min="7176" max="7177" width="12.7109375" style="25" customWidth="1"/>
    <col min="7178" max="7178" width="15.7109375" style="25" customWidth="1"/>
    <col min="7179" max="7179" width="40.7109375" style="25" customWidth="1"/>
    <col min="7180" max="7180" width="15.5703125" style="25" customWidth="1"/>
    <col min="7181" max="7424" width="9.140625" style="25"/>
    <col min="7425" max="7425" width="10.7109375" style="25" customWidth="1"/>
    <col min="7426" max="7426" width="50.7109375" style="25" customWidth="1"/>
    <col min="7427" max="7427" width="15.5703125" style="25" customWidth="1"/>
    <col min="7428" max="7431" width="10.7109375" style="25" customWidth="1"/>
    <col min="7432" max="7433" width="12.7109375" style="25" customWidth="1"/>
    <col min="7434" max="7434" width="15.7109375" style="25" customWidth="1"/>
    <col min="7435" max="7435" width="40.7109375" style="25" customWidth="1"/>
    <col min="7436" max="7436" width="15.5703125" style="25" customWidth="1"/>
    <col min="7437" max="7680" width="9.140625" style="25"/>
    <col min="7681" max="7681" width="10.7109375" style="25" customWidth="1"/>
    <col min="7682" max="7682" width="50.7109375" style="25" customWidth="1"/>
    <col min="7683" max="7683" width="15.5703125" style="25" customWidth="1"/>
    <col min="7684" max="7687" width="10.7109375" style="25" customWidth="1"/>
    <col min="7688" max="7689" width="12.7109375" style="25" customWidth="1"/>
    <col min="7690" max="7690" width="15.7109375" style="25" customWidth="1"/>
    <col min="7691" max="7691" width="40.7109375" style="25" customWidth="1"/>
    <col min="7692" max="7692" width="15.5703125" style="25" customWidth="1"/>
    <col min="7693" max="7936" width="9.140625" style="25"/>
    <col min="7937" max="7937" width="10.7109375" style="25" customWidth="1"/>
    <col min="7938" max="7938" width="50.7109375" style="25" customWidth="1"/>
    <col min="7939" max="7939" width="15.5703125" style="25" customWidth="1"/>
    <col min="7940" max="7943" width="10.7109375" style="25" customWidth="1"/>
    <col min="7944" max="7945" width="12.7109375" style="25" customWidth="1"/>
    <col min="7946" max="7946" width="15.7109375" style="25" customWidth="1"/>
    <col min="7947" max="7947" width="40.7109375" style="25" customWidth="1"/>
    <col min="7948" max="7948" width="15.5703125" style="25" customWidth="1"/>
    <col min="7949" max="8192" width="9.140625" style="25"/>
    <col min="8193" max="8193" width="10.7109375" style="25" customWidth="1"/>
    <col min="8194" max="8194" width="50.7109375" style="25" customWidth="1"/>
    <col min="8195" max="8195" width="15.5703125" style="25" customWidth="1"/>
    <col min="8196" max="8199" width="10.7109375" style="25" customWidth="1"/>
    <col min="8200" max="8201" width="12.7109375" style="25" customWidth="1"/>
    <col min="8202" max="8202" width="15.7109375" style="25" customWidth="1"/>
    <col min="8203" max="8203" width="40.7109375" style="25" customWidth="1"/>
    <col min="8204" max="8204" width="15.5703125" style="25" customWidth="1"/>
    <col min="8205" max="8448" width="9.140625" style="25"/>
    <col min="8449" max="8449" width="10.7109375" style="25" customWidth="1"/>
    <col min="8450" max="8450" width="50.7109375" style="25" customWidth="1"/>
    <col min="8451" max="8451" width="15.5703125" style="25" customWidth="1"/>
    <col min="8452" max="8455" width="10.7109375" style="25" customWidth="1"/>
    <col min="8456" max="8457" width="12.7109375" style="25" customWidth="1"/>
    <col min="8458" max="8458" width="15.7109375" style="25" customWidth="1"/>
    <col min="8459" max="8459" width="40.7109375" style="25" customWidth="1"/>
    <col min="8460" max="8460" width="15.5703125" style="25" customWidth="1"/>
    <col min="8461" max="8704" width="9.140625" style="25"/>
    <col min="8705" max="8705" width="10.7109375" style="25" customWidth="1"/>
    <col min="8706" max="8706" width="50.7109375" style="25" customWidth="1"/>
    <col min="8707" max="8707" width="15.5703125" style="25" customWidth="1"/>
    <col min="8708" max="8711" width="10.7109375" style="25" customWidth="1"/>
    <col min="8712" max="8713" width="12.7109375" style="25" customWidth="1"/>
    <col min="8714" max="8714" width="15.7109375" style="25" customWidth="1"/>
    <col min="8715" max="8715" width="40.7109375" style="25" customWidth="1"/>
    <col min="8716" max="8716" width="15.5703125" style="25" customWidth="1"/>
    <col min="8717" max="8960" width="9.140625" style="25"/>
    <col min="8961" max="8961" width="10.7109375" style="25" customWidth="1"/>
    <col min="8962" max="8962" width="50.7109375" style="25" customWidth="1"/>
    <col min="8963" max="8963" width="15.5703125" style="25" customWidth="1"/>
    <col min="8964" max="8967" width="10.7109375" style="25" customWidth="1"/>
    <col min="8968" max="8969" width="12.7109375" style="25" customWidth="1"/>
    <col min="8970" max="8970" width="15.7109375" style="25" customWidth="1"/>
    <col min="8971" max="8971" width="40.7109375" style="25" customWidth="1"/>
    <col min="8972" max="8972" width="15.5703125" style="25" customWidth="1"/>
    <col min="8973" max="9216" width="9.140625" style="25"/>
    <col min="9217" max="9217" width="10.7109375" style="25" customWidth="1"/>
    <col min="9218" max="9218" width="50.7109375" style="25" customWidth="1"/>
    <col min="9219" max="9219" width="15.5703125" style="25" customWidth="1"/>
    <col min="9220" max="9223" width="10.7109375" style="25" customWidth="1"/>
    <col min="9224" max="9225" width="12.7109375" style="25" customWidth="1"/>
    <col min="9226" max="9226" width="15.7109375" style="25" customWidth="1"/>
    <col min="9227" max="9227" width="40.7109375" style="25" customWidth="1"/>
    <col min="9228" max="9228" width="15.5703125" style="25" customWidth="1"/>
    <col min="9229" max="9472" width="9.140625" style="25"/>
    <col min="9473" max="9473" width="10.7109375" style="25" customWidth="1"/>
    <col min="9474" max="9474" width="50.7109375" style="25" customWidth="1"/>
    <col min="9475" max="9475" width="15.5703125" style="25" customWidth="1"/>
    <col min="9476" max="9479" width="10.7109375" style="25" customWidth="1"/>
    <col min="9480" max="9481" width="12.7109375" style="25" customWidth="1"/>
    <col min="9482" max="9482" width="15.7109375" style="25" customWidth="1"/>
    <col min="9483" max="9483" width="40.7109375" style="25" customWidth="1"/>
    <col min="9484" max="9484" width="15.5703125" style="25" customWidth="1"/>
    <col min="9485" max="9728" width="9.140625" style="25"/>
    <col min="9729" max="9729" width="10.7109375" style="25" customWidth="1"/>
    <col min="9730" max="9730" width="50.7109375" style="25" customWidth="1"/>
    <col min="9731" max="9731" width="15.5703125" style="25" customWidth="1"/>
    <col min="9732" max="9735" width="10.7109375" style="25" customWidth="1"/>
    <col min="9736" max="9737" width="12.7109375" style="25" customWidth="1"/>
    <col min="9738" max="9738" width="15.7109375" style="25" customWidth="1"/>
    <col min="9739" max="9739" width="40.7109375" style="25" customWidth="1"/>
    <col min="9740" max="9740" width="15.5703125" style="25" customWidth="1"/>
    <col min="9741" max="9984" width="9.140625" style="25"/>
    <col min="9985" max="9985" width="10.7109375" style="25" customWidth="1"/>
    <col min="9986" max="9986" width="50.7109375" style="25" customWidth="1"/>
    <col min="9987" max="9987" width="15.5703125" style="25" customWidth="1"/>
    <col min="9988" max="9991" width="10.7109375" style="25" customWidth="1"/>
    <col min="9992" max="9993" width="12.7109375" style="25" customWidth="1"/>
    <col min="9994" max="9994" width="15.7109375" style="25" customWidth="1"/>
    <col min="9995" max="9995" width="40.7109375" style="25" customWidth="1"/>
    <col min="9996" max="9996" width="15.5703125" style="25" customWidth="1"/>
    <col min="9997" max="10240" width="9.140625" style="25"/>
    <col min="10241" max="10241" width="10.7109375" style="25" customWidth="1"/>
    <col min="10242" max="10242" width="50.7109375" style="25" customWidth="1"/>
    <col min="10243" max="10243" width="15.5703125" style="25" customWidth="1"/>
    <col min="10244" max="10247" width="10.7109375" style="25" customWidth="1"/>
    <col min="10248" max="10249" width="12.7109375" style="25" customWidth="1"/>
    <col min="10250" max="10250" width="15.7109375" style="25" customWidth="1"/>
    <col min="10251" max="10251" width="40.7109375" style="25" customWidth="1"/>
    <col min="10252" max="10252" width="15.5703125" style="25" customWidth="1"/>
    <col min="10253" max="10496" width="9.140625" style="25"/>
    <col min="10497" max="10497" width="10.7109375" style="25" customWidth="1"/>
    <col min="10498" max="10498" width="50.7109375" style="25" customWidth="1"/>
    <col min="10499" max="10499" width="15.5703125" style="25" customWidth="1"/>
    <col min="10500" max="10503" width="10.7109375" style="25" customWidth="1"/>
    <col min="10504" max="10505" width="12.7109375" style="25" customWidth="1"/>
    <col min="10506" max="10506" width="15.7109375" style="25" customWidth="1"/>
    <col min="10507" max="10507" width="40.7109375" style="25" customWidth="1"/>
    <col min="10508" max="10508" width="15.5703125" style="25" customWidth="1"/>
    <col min="10509" max="10752" width="9.140625" style="25"/>
    <col min="10753" max="10753" width="10.7109375" style="25" customWidth="1"/>
    <col min="10754" max="10754" width="50.7109375" style="25" customWidth="1"/>
    <col min="10755" max="10755" width="15.5703125" style="25" customWidth="1"/>
    <col min="10756" max="10759" width="10.7109375" style="25" customWidth="1"/>
    <col min="10760" max="10761" width="12.7109375" style="25" customWidth="1"/>
    <col min="10762" max="10762" width="15.7109375" style="25" customWidth="1"/>
    <col min="10763" max="10763" width="40.7109375" style="25" customWidth="1"/>
    <col min="10764" max="10764" width="15.5703125" style="25" customWidth="1"/>
    <col min="10765" max="11008" width="9.140625" style="25"/>
    <col min="11009" max="11009" width="10.7109375" style="25" customWidth="1"/>
    <col min="11010" max="11010" width="50.7109375" style="25" customWidth="1"/>
    <col min="11011" max="11011" width="15.5703125" style="25" customWidth="1"/>
    <col min="11012" max="11015" width="10.7109375" style="25" customWidth="1"/>
    <col min="11016" max="11017" width="12.7109375" style="25" customWidth="1"/>
    <col min="11018" max="11018" width="15.7109375" style="25" customWidth="1"/>
    <col min="11019" max="11019" width="40.7109375" style="25" customWidth="1"/>
    <col min="11020" max="11020" width="15.5703125" style="25" customWidth="1"/>
    <col min="11021" max="11264" width="9.140625" style="25"/>
    <col min="11265" max="11265" width="10.7109375" style="25" customWidth="1"/>
    <col min="11266" max="11266" width="50.7109375" style="25" customWidth="1"/>
    <col min="11267" max="11267" width="15.5703125" style="25" customWidth="1"/>
    <col min="11268" max="11271" width="10.7109375" style="25" customWidth="1"/>
    <col min="11272" max="11273" width="12.7109375" style="25" customWidth="1"/>
    <col min="11274" max="11274" width="15.7109375" style="25" customWidth="1"/>
    <col min="11275" max="11275" width="40.7109375" style="25" customWidth="1"/>
    <col min="11276" max="11276" width="15.5703125" style="25" customWidth="1"/>
    <col min="11277" max="11520" width="9.140625" style="25"/>
    <col min="11521" max="11521" width="10.7109375" style="25" customWidth="1"/>
    <col min="11522" max="11522" width="50.7109375" style="25" customWidth="1"/>
    <col min="11523" max="11523" width="15.5703125" style="25" customWidth="1"/>
    <col min="11524" max="11527" width="10.7109375" style="25" customWidth="1"/>
    <col min="11528" max="11529" width="12.7109375" style="25" customWidth="1"/>
    <col min="11530" max="11530" width="15.7109375" style="25" customWidth="1"/>
    <col min="11531" max="11531" width="40.7109375" style="25" customWidth="1"/>
    <col min="11532" max="11532" width="15.5703125" style="25" customWidth="1"/>
    <col min="11533" max="11776" width="9.140625" style="25"/>
    <col min="11777" max="11777" width="10.7109375" style="25" customWidth="1"/>
    <col min="11778" max="11778" width="50.7109375" style="25" customWidth="1"/>
    <col min="11779" max="11779" width="15.5703125" style="25" customWidth="1"/>
    <col min="11780" max="11783" width="10.7109375" style="25" customWidth="1"/>
    <col min="11784" max="11785" width="12.7109375" style="25" customWidth="1"/>
    <col min="11786" max="11786" width="15.7109375" style="25" customWidth="1"/>
    <col min="11787" max="11787" width="40.7109375" style="25" customWidth="1"/>
    <col min="11788" max="11788" width="15.5703125" style="25" customWidth="1"/>
    <col min="11789" max="12032" width="9.140625" style="25"/>
    <col min="12033" max="12033" width="10.7109375" style="25" customWidth="1"/>
    <col min="12034" max="12034" width="50.7109375" style="25" customWidth="1"/>
    <col min="12035" max="12035" width="15.5703125" style="25" customWidth="1"/>
    <col min="12036" max="12039" width="10.7109375" style="25" customWidth="1"/>
    <col min="12040" max="12041" width="12.7109375" style="25" customWidth="1"/>
    <col min="12042" max="12042" width="15.7109375" style="25" customWidth="1"/>
    <col min="12043" max="12043" width="40.7109375" style="25" customWidth="1"/>
    <col min="12044" max="12044" width="15.5703125" style="25" customWidth="1"/>
    <col min="12045" max="12288" width="9.140625" style="25"/>
    <col min="12289" max="12289" width="10.7109375" style="25" customWidth="1"/>
    <col min="12290" max="12290" width="50.7109375" style="25" customWidth="1"/>
    <col min="12291" max="12291" width="15.5703125" style="25" customWidth="1"/>
    <col min="12292" max="12295" width="10.7109375" style="25" customWidth="1"/>
    <col min="12296" max="12297" width="12.7109375" style="25" customWidth="1"/>
    <col min="12298" max="12298" width="15.7109375" style="25" customWidth="1"/>
    <col min="12299" max="12299" width="40.7109375" style="25" customWidth="1"/>
    <col min="12300" max="12300" width="15.5703125" style="25" customWidth="1"/>
    <col min="12301" max="12544" width="9.140625" style="25"/>
    <col min="12545" max="12545" width="10.7109375" style="25" customWidth="1"/>
    <col min="12546" max="12546" width="50.7109375" style="25" customWidth="1"/>
    <col min="12547" max="12547" width="15.5703125" style="25" customWidth="1"/>
    <col min="12548" max="12551" width="10.7109375" style="25" customWidth="1"/>
    <col min="12552" max="12553" width="12.7109375" style="25" customWidth="1"/>
    <col min="12554" max="12554" width="15.7109375" style="25" customWidth="1"/>
    <col min="12555" max="12555" width="40.7109375" style="25" customWidth="1"/>
    <col min="12556" max="12556" width="15.5703125" style="25" customWidth="1"/>
    <col min="12557" max="12800" width="9.140625" style="25"/>
    <col min="12801" max="12801" width="10.7109375" style="25" customWidth="1"/>
    <col min="12802" max="12802" width="50.7109375" style="25" customWidth="1"/>
    <col min="12803" max="12803" width="15.5703125" style="25" customWidth="1"/>
    <col min="12804" max="12807" width="10.7109375" style="25" customWidth="1"/>
    <col min="12808" max="12809" width="12.7109375" style="25" customWidth="1"/>
    <col min="12810" max="12810" width="15.7109375" style="25" customWidth="1"/>
    <col min="12811" max="12811" width="40.7109375" style="25" customWidth="1"/>
    <col min="12812" max="12812" width="15.5703125" style="25" customWidth="1"/>
    <col min="12813" max="13056" width="9.140625" style="25"/>
    <col min="13057" max="13057" width="10.7109375" style="25" customWidth="1"/>
    <col min="13058" max="13058" width="50.7109375" style="25" customWidth="1"/>
    <col min="13059" max="13059" width="15.5703125" style="25" customWidth="1"/>
    <col min="13060" max="13063" width="10.7109375" style="25" customWidth="1"/>
    <col min="13064" max="13065" width="12.7109375" style="25" customWidth="1"/>
    <col min="13066" max="13066" width="15.7109375" style="25" customWidth="1"/>
    <col min="13067" max="13067" width="40.7109375" style="25" customWidth="1"/>
    <col min="13068" max="13068" width="15.5703125" style="25" customWidth="1"/>
    <col min="13069" max="13312" width="9.140625" style="25"/>
    <col min="13313" max="13313" width="10.7109375" style="25" customWidth="1"/>
    <col min="13314" max="13314" width="50.7109375" style="25" customWidth="1"/>
    <col min="13315" max="13315" width="15.5703125" style="25" customWidth="1"/>
    <col min="13316" max="13319" width="10.7109375" style="25" customWidth="1"/>
    <col min="13320" max="13321" width="12.7109375" style="25" customWidth="1"/>
    <col min="13322" max="13322" width="15.7109375" style="25" customWidth="1"/>
    <col min="13323" max="13323" width="40.7109375" style="25" customWidth="1"/>
    <col min="13324" max="13324" width="15.5703125" style="25" customWidth="1"/>
    <col min="13325" max="13568" width="9.140625" style="25"/>
    <col min="13569" max="13569" width="10.7109375" style="25" customWidth="1"/>
    <col min="13570" max="13570" width="50.7109375" style="25" customWidth="1"/>
    <col min="13571" max="13571" width="15.5703125" style="25" customWidth="1"/>
    <col min="13572" max="13575" width="10.7109375" style="25" customWidth="1"/>
    <col min="13576" max="13577" width="12.7109375" style="25" customWidth="1"/>
    <col min="13578" max="13578" width="15.7109375" style="25" customWidth="1"/>
    <col min="13579" max="13579" width="40.7109375" style="25" customWidth="1"/>
    <col min="13580" max="13580" width="15.5703125" style="25" customWidth="1"/>
    <col min="13581" max="13824" width="9.140625" style="25"/>
    <col min="13825" max="13825" width="10.7109375" style="25" customWidth="1"/>
    <col min="13826" max="13826" width="50.7109375" style="25" customWidth="1"/>
    <col min="13827" max="13827" width="15.5703125" style="25" customWidth="1"/>
    <col min="13828" max="13831" width="10.7109375" style="25" customWidth="1"/>
    <col min="13832" max="13833" width="12.7109375" style="25" customWidth="1"/>
    <col min="13834" max="13834" width="15.7109375" style="25" customWidth="1"/>
    <col min="13835" max="13835" width="40.7109375" style="25" customWidth="1"/>
    <col min="13836" max="13836" width="15.5703125" style="25" customWidth="1"/>
    <col min="13837" max="14080" width="9.140625" style="25"/>
    <col min="14081" max="14081" width="10.7109375" style="25" customWidth="1"/>
    <col min="14082" max="14082" width="50.7109375" style="25" customWidth="1"/>
    <col min="14083" max="14083" width="15.5703125" style="25" customWidth="1"/>
    <col min="14084" max="14087" width="10.7109375" style="25" customWidth="1"/>
    <col min="14088" max="14089" width="12.7109375" style="25" customWidth="1"/>
    <col min="14090" max="14090" width="15.7109375" style="25" customWidth="1"/>
    <col min="14091" max="14091" width="40.7109375" style="25" customWidth="1"/>
    <col min="14092" max="14092" width="15.5703125" style="25" customWidth="1"/>
    <col min="14093" max="14336" width="9.140625" style="25"/>
    <col min="14337" max="14337" width="10.7109375" style="25" customWidth="1"/>
    <col min="14338" max="14338" width="50.7109375" style="25" customWidth="1"/>
    <col min="14339" max="14339" width="15.5703125" style="25" customWidth="1"/>
    <col min="14340" max="14343" width="10.7109375" style="25" customWidth="1"/>
    <col min="14344" max="14345" width="12.7109375" style="25" customWidth="1"/>
    <col min="14346" max="14346" width="15.7109375" style="25" customWidth="1"/>
    <col min="14347" max="14347" width="40.7109375" style="25" customWidth="1"/>
    <col min="14348" max="14348" width="15.5703125" style="25" customWidth="1"/>
    <col min="14349" max="14592" width="9.140625" style="25"/>
    <col min="14593" max="14593" width="10.7109375" style="25" customWidth="1"/>
    <col min="14594" max="14594" width="50.7109375" style="25" customWidth="1"/>
    <col min="14595" max="14595" width="15.5703125" style="25" customWidth="1"/>
    <col min="14596" max="14599" width="10.7109375" style="25" customWidth="1"/>
    <col min="14600" max="14601" width="12.7109375" style="25" customWidth="1"/>
    <col min="14602" max="14602" width="15.7109375" style="25" customWidth="1"/>
    <col min="14603" max="14603" width="40.7109375" style="25" customWidth="1"/>
    <col min="14604" max="14604" width="15.5703125" style="25" customWidth="1"/>
    <col min="14605" max="14848" width="9.140625" style="25"/>
    <col min="14849" max="14849" width="10.7109375" style="25" customWidth="1"/>
    <col min="14850" max="14850" width="50.7109375" style="25" customWidth="1"/>
    <col min="14851" max="14851" width="15.5703125" style="25" customWidth="1"/>
    <col min="14852" max="14855" width="10.7109375" style="25" customWidth="1"/>
    <col min="14856" max="14857" width="12.7109375" style="25" customWidth="1"/>
    <col min="14858" max="14858" width="15.7109375" style="25" customWidth="1"/>
    <col min="14859" max="14859" width="40.7109375" style="25" customWidth="1"/>
    <col min="14860" max="14860" width="15.5703125" style="25" customWidth="1"/>
    <col min="14861" max="15104" width="9.140625" style="25"/>
    <col min="15105" max="15105" width="10.7109375" style="25" customWidth="1"/>
    <col min="15106" max="15106" width="50.7109375" style="25" customWidth="1"/>
    <col min="15107" max="15107" width="15.5703125" style="25" customWidth="1"/>
    <col min="15108" max="15111" width="10.7109375" style="25" customWidth="1"/>
    <col min="15112" max="15113" width="12.7109375" style="25" customWidth="1"/>
    <col min="15114" max="15114" width="15.7109375" style="25" customWidth="1"/>
    <col min="15115" max="15115" width="40.7109375" style="25" customWidth="1"/>
    <col min="15116" max="15116" width="15.5703125" style="25" customWidth="1"/>
    <col min="15117" max="15360" width="9.140625" style="25"/>
    <col min="15361" max="15361" width="10.7109375" style="25" customWidth="1"/>
    <col min="15362" max="15362" width="50.7109375" style="25" customWidth="1"/>
    <col min="15363" max="15363" width="15.5703125" style="25" customWidth="1"/>
    <col min="15364" max="15367" width="10.7109375" style="25" customWidth="1"/>
    <col min="15368" max="15369" width="12.7109375" style="25" customWidth="1"/>
    <col min="15370" max="15370" width="15.7109375" style="25" customWidth="1"/>
    <col min="15371" max="15371" width="40.7109375" style="25" customWidth="1"/>
    <col min="15372" max="15372" width="15.5703125" style="25" customWidth="1"/>
    <col min="15373" max="15616" width="9.140625" style="25"/>
    <col min="15617" max="15617" width="10.7109375" style="25" customWidth="1"/>
    <col min="15618" max="15618" width="50.7109375" style="25" customWidth="1"/>
    <col min="15619" max="15619" width="15.5703125" style="25" customWidth="1"/>
    <col min="15620" max="15623" width="10.7109375" style="25" customWidth="1"/>
    <col min="15624" max="15625" width="12.7109375" style="25" customWidth="1"/>
    <col min="15626" max="15626" width="15.7109375" style="25" customWidth="1"/>
    <col min="15627" max="15627" width="40.7109375" style="25" customWidth="1"/>
    <col min="15628" max="15628" width="15.5703125" style="25" customWidth="1"/>
    <col min="15629" max="15872" width="9.140625" style="25"/>
    <col min="15873" max="15873" width="10.7109375" style="25" customWidth="1"/>
    <col min="15874" max="15874" width="50.7109375" style="25" customWidth="1"/>
    <col min="15875" max="15875" width="15.5703125" style="25" customWidth="1"/>
    <col min="15876" max="15879" width="10.7109375" style="25" customWidth="1"/>
    <col min="15880" max="15881" width="12.7109375" style="25" customWidth="1"/>
    <col min="15882" max="15882" width="15.7109375" style="25" customWidth="1"/>
    <col min="15883" max="15883" width="40.7109375" style="25" customWidth="1"/>
    <col min="15884" max="15884" width="15.5703125" style="25" customWidth="1"/>
    <col min="15885" max="16128" width="9.140625" style="25"/>
    <col min="16129" max="16129" width="10.7109375" style="25" customWidth="1"/>
    <col min="16130" max="16130" width="50.7109375" style="25" customWidth="1"/>
    <col min="16131" max="16131" width="15.5703125" style="25" customWidth="1"/>
    <col min="16132" max="16135" width="10.7109375" style="25" customWidth="1"/>
    <col min="16136" max="16137" width="12.7109375" style="25" customWidth="1"/>
    <col min="16138" max="16138" width="15.7109375" style="25" customWidth="1"/>
    <col min="16139" max="16139" width="40.7109375" style="25" customWidth="1"/>
    <col min="16140" max="16140" width="15.5703125" style="25" customWidth="1"/>
    <col min="16141" max="16384" width="9.140625" style="25"/>
  </cols>
  <sheetData>
    <row r="1" spans="1:49" ht="69.95" customHeight="1" thickBot="1" x14ac:dyDescent="0.25">
      <c r="A1" s="966" t="s">
        <v>1022</v>
      </c>
      <c r="B1" s="1002"/>
      <c r="C1" s="1002"/>
      <c r="D1" s="1002"/>
      <c r="E1" s="1002"/>
      <c r="F1" s="1002"/>
      <c r="G1" s="1002"/>
      <c r="H1" s="1002"/>
      <c r="I1" s="1002"/>
      <c r="J1" s="1002"/>
      <c r="K1" s="1003"/>
      <c r="L1" s="6"/>
    </row>
    <row r="2" spans="1:49" s="448" customFormat="1" ht="15.95" customHeight="1" thickTop="1" x14ac:dyDescent="0.25">
      <c r="A2" s="436" t="s">
        <v>1019</v>
      </c>
      <c r="B2" s="437">
        <f>Resources!C22</f>
        <v>0</v>
      </c>
      <c r="C2" s="438" t="s">
        <v>776</v>
      </c>
      <c r="D2" s="439">
        <f ca="1">COUNTIF($J$9:$J$141,"Deliverable Still In Progress")</f>
        <v>12</v>
      </c>
      <c r="E2" s="440"/>
      <c r="F2" s="441"/>
      <c r="G2" s="442"/>
      <c r="H2" s="443"/>
      <c r="I2" s="443"/>
      <c r="J2" s="444"/>
      <c r="K2" s="445"/>
      <c r="L2" s="446"/>
      <c r="M2" s="447"/>
      <c r="N2" s="447"/>
      <c r="O2" s="447"/>
      <c r="P2" s="447"/>
      <c r="Q2" s="447"/>
      <c r="R2" s="447"/>
      <c r="S2" s="447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447"/>
      <c r="AS2" s="447"/>
      <c r="AT2" s="447"/>
      <c r="AU2" s="447"/>
      <c r="AV2" s="447"/>
      <c r="AW2" s="447"/>
    </row>
    <row r="3" spans="1:49" s="448" customFormat="1" ht="15.95" customHeight="1" x14ac:dyDescent="0.25">
      <c r="A3" s="436" t="s">
        <v>1020</v>
      </c>
      <c r="B3" s="437">
        <f>Resources!E22</f>
        <v>0</v>
      </c>
      <c r="C3" s="438" t="s">
        <v>777</v>
      </c>
      <c r="D3" s="439">
        <f ca="1">COUNTIF($J$9:$J$141,"Deliverable Completed")</f>
        <v>0</v>
      </c>
      <c r="E3" s="449">
        <f ca="1">D3/D6</f>
        <v>0</v>
      </c>
      <c r="F3" s="441"/>
      <c r="G3" s="442"/>
      <c r="H3" s="443"/>
      <c r="I3" s="443"/>
      <c r="J3" s="444"/>
      <c r="K3" s="445"/>
      <c r="L3" s="446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  <c r="X3" s="447"/>
      <c r="Y3" s="447"/>
      <c r="Z3" s="447"/>
      <c r="AA3" s="447"/>
      <c r="AB3" s="447"/>
      <c r="AC3" s="447"/>
      <c r="AD3" s="447"/>
      <c r="AE3" s="447"/>
      <c r="AF3" s="447"/>
      <c r="AG3" s="447"/>
      <c r="AH3" s="447"/>
      <c r="AI3" s="447"/>
      <c r="AJ3" s="447"/>
      <c r="AK3" s="447"/>
      <c r="AL3" s="447"/>
      <c r="AM3" s="447"/>
      <c r="AN3" s="447"/>
      <c r="AO3" s="447"/>
      <c r="AP3" s="447"/>
      <c r="AQ3" s="447"/>
      <c r="AR3" s="447"/>
      <c r="AS3" s="447"/>
      <c r="AT3" s="447"/>
      <c r="AU3" s="447"/>
      <c r="AV3" s="447"/>
      <c r="AW3" s="447"/>
    </row>
    <row r="4" spans="1:49" s="448" customFormat="1" ht="15.95" customHeight="1" x14ac:dyDescent="0.25">
      <c r="A4" s="436" t="s">
        <v>1021</v>
      </c>
      <c r="B4" s="450"/>
      <c r="C4" s="438" t="s">
        <v>778</v>
      </c>
      <c r="D4" s="439">
        <f ca="1">D7-COUNTIF($J$9:$J$141,"completed")</f>
        <v>117</v>
      </c>
      <c r="E4" s="440"/>
      <c r="F4" s="441"/>
      <c r="G4" s="442"/>
      <c r="H4" s="443"/>
      <c r="I4" s="443"/>
      <c r="J4" s="444"/>
      <c r="K4" s="445"/>
      <c r="L4" s="446"/>
      <c r="M4" s="447"/>
      <c r="N4" s="447"/>
      <c r="O4" s="447"/>
      <c r="P4" s="447"/>
      <c r="Q4" s="447"/>
      <c r="R4" s="447"/>
      <c r="S4" s="447"/>
      <c r="T4" s="447"/>
      <c r="U4" s="447"/>
      <c r="V4" s="447"/>
      <c r="W4" s="447"/>
      <c r="X4" s="447"/>
      <c r="Y4" s="447"/>
      <c r="Z4" s="447"/>
      <c r="AA4" s="447"/>
      <c r="AB4" s="447"/>
      <c r="AC4" s="447"/>
      <c r="AD4" s="447"/>
      <c r="AE4" s="447"/>
      <c r="AF4" s="447"/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447"/>
      <c r="AS4" s="447"/>
      <c r="AT4" s="447"/>
      <c r="AU4" s="447"/>
      <c r="AV4" s="447"/>
      <c r="AW4" s="447"/>
    </row>
    <row r="5" spans="1:49" s="448" customFormat="1" ht="15.95" customHeight="1" x14ac:dyDescent="0.25">
      <c r="A5" s="451"/>
      <c r="B5" s="450"/>
      <c r="C5" s="452" t="s">
        <v>779</v>
      </c>
      <c r="D5" s="439">
        <f ca="1">D7-D4</f>
        <v>0</v>
      </c>
      <c r="E5" s="449">
        <f ca="1">D5/D7</f>
        <v>0</v>
      </c>
      <c r="F5" s="441"/>
      <c r="G5" s="442"/>
      <c r="H5" s="443"/>
      <c r="I5" s="443"/>
      <c r="J5" s="444"/>
      <c r="K5" s="445"/>
      <c r="L5" s="446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  <c r="AL5" s="447"/>
      <c r="AM5" s="447"/>
      <c r="AN5" s="447"/>
      <c r="AO5" s="447"/>
      <c r="AP5" s="447"/>
      <c r="AQ5" s="447"/>
      <c r="AR5" s="447"/>
      <c r="AS5" s="447"/>
      <c r="AT5" s="447"/>
      <c r="AU5" s="447"/>
      <c r="AV5" s="447"/>
      <c r="AW5" s="447"/>
    </row>
    <row r="6" spans="1:49" s="448" customFormat="1" ht="15.95" customHeight="1" thickBot="1" x14ac:dyDescent="0.3">
      <c r="A6" s="451"/>
      <c r="B6" s="453"/>
      <c r="C6" s="452" t="s">
        <v>780</v>
      </c>
      <c r="D6" s="439">
        <f ca="1">D2+D3</f>
        <v>12</v>
      </c>
      <c r="E6" s="449"/>
      <c r="F6" s="441"/>
      <c r="G6" s="442"/>
      <c r="H6" s="443"/>
      <c r="I6" s="443"/>
      <c r="J6" s="444"/>
      <c r="K6" s="445"/>
      <c r="L6" s="446"/>
      <c r="M6" s="447"/>
      <c r="N6" s="447"/>
      <c r="O6" s="447"/>
      <c r="P6" s="447"/>
      <c r="Q6" s="447"/>
      <c r="R6" s="447"/>
      <c r="S6" s="447"/>
      <c r="T6" s="447"/>
      <c r="U6" s="447"/>
      <c r="V6" s="447"/>
      <c r="W6" s="447"/>
      <c r="X6" s="447"/>
      <c r="Y6" s="447"/>
      <c r="Z6" s="447"/>
      <c r="AA6" s="447"/>
      <c r="AB6" s="447"/>
      <c r="AC6" s="447"/>
      <c r="AD6" s="447"/>
      <c r="AE6" s="447"/>
      <c r="AF6" s="447"/>
      <c r="AG6" s="447"/>
      <c r="AH6" s="447"/>
      <c r="AI6" s="447"/>
      <c r="AJ6" s="447"/>
      <c r="AK6" s="447"/>
      <c r="AL6" s="447"/>
      <c r="AM6" s="447"/>
      <c r="AN6" s="447"/>
      <c r="AO6" s="447"/>
      <c r="AP6" s="447"/>
      <c r="AQ6" s="447"/>
      <c r="AR6" s="447"/>
      <c r="AS6" s="447"/>
      <c r="AT6" s="447"/>
      <c r="AU6" s="447"/>
      <c r="AV6" s="447"/>
      <c r="AW6" s="447"/>
    </row>
    <row r="7" spans="1:49" s="448" customFormat="1" ht="15.95" customHeight="1" thickBot="1" x14ac:dyDescent="0.3">
      <c r="A7" s="451"/>
      <c r="B7" s="450"/>
      <c r="C7" s="452" t="s">
        <v>781</v>
      </c>
      <c r="D7" s="439">
        <f ca="1">COUNTA(B9:B141)-D6</f>
        <v>117</v>
      </c>
      <c r="E7" s="449"/>
      <c r="F7" s="544" t="s">
        <v>1017</v>
      </c>
      <c r="G7" s="442"/>
      <c r="H7" s="443"/>
      <c r="I7" s="443"/>
      <c r="J7" s="544" t="s">
        <v>1017</v>
      </c>
      <c r="K7" s="445"/>
      <c r="L7" s="446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  <c r="X7" s="447"/>
      <c r="Y7" s="447"/>
      <c r="Z7" s="447"/>
      <c r="AA7" s="447"/>
      <c r="AB7" s="447"/>
      <c r="AC7" s="447"/>
      <c r="AD7" s="447"/>
      <c r="AE7" s="447"/>
      <c r="AF7" s="447"/>
      <c r="AG7" s="447"/>
      <c r="AH7" s="447"/>
      <c r="AI7" s="447"/>
      <c r="AJ7" s="447"/>
      <c r="AK7" s="447"/>
      <c r="AL7" s="447"/>
      <c r="AM7" s="447"/>
      <c r="AN7" s="447"/>
      <c r="AO7" s="447"/>
      <c r="AP7" s="447"/>
      <c r="AQ7" s="447"/>
      <c r="AR7" s="447"/>
      <c r="AS7" s="447"/>
      <c r="AT7" s="447"/>
      <c r="AU7" s="447"/>
      <c r="AV7" s="447"/>
      <c r="AW7" s="447"/>
    </row>
    <row r="8" spans="1:49" s="433" customFormat="1" ht="47.25" x14ac:dyDescent="0.25">
      <c r="A8" s="428" t="s">
        <v>90</v>
      </c>
      <c r="B8" s="429" t="s">
        <v>91</v>
      </c>
      <c r="C8" s="430" t="s">
        <v>48</v>
      </c>
      <c r="D8" s="431" t="s">
        <v>1023</v>
      </c>
      <c r="E8" s="431" t="s">
        <v>782</v>
      </c>
      <c r="F8" s="431" t="s">
        <v>94</v>
      </c>
      <c r="G8" s="431" t="s">
        <v>53</v>
      </c>
      <c r="H8" s="431" t="s">
        <v>95</v>
      </c>
      <c r="I8" s="431" t="s">
        <v>54</v>
      </c>
      <c r="J8" s="429" t="s">
        <v>55</v>
      </c>
      <c r="K8" s="432" t="s">
        <v>56</v>
      </c>
      <c r="M8" s="434"/>
      <c r="N8" s="434"/>
      <c r="O8" s="434"/>
      <c r="P8" s="434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4"/>
      <c r="AE8" s="434"/>
      <c r="AF8" s="434"/>
      <c r="AG8" s="434"/>
      <c r="AH8" s="434"/>
      <c r="AI8" s="434"/>
      <c r="AJ8" s="434"/>
      <c r="AK8" s="434"/>
      <c r="AL8" s="434"/>
      <c r="AM8" s="434"/>
      <c r="AN8" s="434"/>
      <c r="AO8" s="434"/>
      <c r="AP8" s="434"/>
      <c r="AQ8" s="434"/>
      <c r="AR8" s="434"/>
      <c r="AS8" s="434"/>
      <c r="AT8" s="434"/>
      <c r="AU8" s="434"/>
      <c r="AV8" s="434"/>
      <c r="AW8" s="434"/>
    </row>
    <row r="9" spans="1:49" ht="16.5" customHeight="1" x14ac:dyDescent="0.25">
      <c r="A9" s="499"/>
      <c r="B9" s="435" t="s">
        <v>607</v>
      </c>
      <c r="C9" s="145"/>
      <c r="D9" s="408"/>
      <c r="E9" s="408"/>
      <c r="F9" s="142">
        <f t="shared" ref="F9:F72" ca="1" si="0">IF(ISBLANK(G9),IF(ISERROR(DAYS360(TODAY(),E9))," ",(DAYS360(TODAY(),E9))),E9-G9)</f>
        <v>-43388</v>
      </c>
      <c r="G9" s="143"/>
      <c r="H9" s="144"/>
      <c r="I9" s="145"/>
      <c r="J9" s="138" t="str">
        <f ca="1">IF(AND(J10="completed",J11="completed",J12="completed"),"Deliverable Completed","DELIVERABLE STILL IN PROGRESS")</f>
        <v>DELIVERABLE STILL IN PROGRESS</v>
      </c>
      <c r="K9" s="166"/>
      <c r="L9" s="20"/>
    </row>
    <row r="10" spans="1:49" s="20" customFormat="1" ht="12.6" customHeight="1" x14ac:dyDescent="0.2">
      <c r="A10" s="500"/>
      <c r="B10" s="146" t="s">
        <v>608</v>
      </c>
      <c r="C10" s="84"/>
      <c r="D10" s="187"/>
      <c r="E10" s="185"/>
      <c r="F10" s="94">
        <f t="shared" ca="1" si="0"/>
        <v>-43388</v>
      </c>
      <c r="G10" s="102"/>
      <c r="H10" s="84"/>
      <c r="I10" s="84"/>
      <c r="J10" s="40" t="str">
        <f ca="1">IF(G10&gt;0,"COMPLETED",(IF(I10&gt;0,"ISSUE IDENTIFIED",(IF(TODAY()&gt;E10,"OVERDUE","In Progress")))))</f>
        <v>OVERDUE</v>
      </c>
      <c r="K10" s="422"/>
    </row>
    <row r="11" spans="1:49" x14ac:dyDescent="0.2">
      <c r="A11" s="499"/>
      <c r="B11" s="146" t="s">
        <v>609</v>
      </c>
      <c r="C11" s="39"/>
      <c r="D11" s="187"/>
      <c r="E11" s="185"/>
      <c r="F11" s="94">
        <f t="shared" ca="1" si="0"/>
        <v>-43388</v>
      </c>
      <c r="G11" s="101"/>
      <c r="H11" s="39"/>
      <c r="I11" s="39"/>
      <c r="J11" s="40" t="str">
        <f ca="1">IF(G11&gt;0,"COMPLETED",(IF(I11&gt;0,"ISSUE IDENTIFIED",(IF(TODAY()&gt;E11,"OVERDUE","In Progress")))))</f>
        <v>OVERDUE</v>
      </c>
      <c r="K11" s="85"/>
      <c r="L11" s="20"/>
    </row>
    <row r="12" spans="1:49" x14ac:dyDescent="0.2">
      <c r="A12" s="499"/>
      <c r="B12" s="148" t="s">
        <v>610</v>
      </c>
      <c r="C12" s="152"/>
      <c r="D12" s="188"/>
      <c r="E12" s="186"/>
      <c r="F12" s="151">
        <f t="shared" ca="1" si="0"/>
        <v>-43388</v>
      </c>
      <c r="G12" s="149"/>
      <c r="H12" s="152"/>
      <c r="I12" s="152"/>
      <c r="J12" s="153" t="str">
        <f ca="1">IF(G12&gt;0,"COMPLETED",(IF(I12&gt;0,"ISSUE IDENTIFIED",(IF(TODAY()&gt;E12,"OVERDUE","In Progress")))))</f>
        <v>OVERDUE</v>
      </c>
      <c r="K12" s="167"/>
      <c r="L12" s="20"/>
    </row>
    <row r="13" spans="1:49" ht="16.5" customHeight="1" x14ac:dyDescent="0.25">
      <c r="A13" s="499"/>
      <c r="B13" s="435" t="s">
        <v>611</v>
      </c>
      <c r="C13" s="145"/>
      <c r="D13" s="408"/>
      <c r="E13" s="408"/>
      <c r="F13" s="142">
        <f t="shared" ca="1" si="0"/>
        <v>-43388</v>
      </c>
      <c r="G13" s="143"/>
      <c r="H13" s="144"/>
      <c r="I13" s="145"/>
      <c r="J13" s="138" t="str">
        <f ca="1">IF(AND(J14="completed",J15="completed",J16="completed"),"Deliverable Completed","DELIVERABLE STILL IN PROGRESS")</f>
        <v>DELIVERABLE STILL IN PROGRESS</v>
      </c>
      <c r="K13" s="166"/>
      <c r="L13" s="20"/>
    </row>
    <row r="14" spans="1:49" s="20" customFormat="1" ht="12.6" customHeight="1" x14ac:dyDescent="0.2">
      <c r="A14" s="500"/>
      <c r="B14" s="146" t="s">
        <v>612</v>
      </c>
      <c r="C14" s="84"/>
      <c r="D14" s="187"/>
      <c r="E14" s="185"/>
      <c r="F14" s="94">
        <f t="shared" ca="1" si="0"/>
        <v>-43388</v>
      </c>
      <c r="G14" s="102"/>
      <c r="H14" s="84"/>
      <c r="I14" s="84"/>
      <c r="J14" s="40" t="str">
        <f ca="1">IF(G14&gt;0,"COMPLETED",(IF(I14&gt;0,"ISSUE IDENTIFIED",(IF(TODAY()&gt;E14,"OVERDUE","In Progress")))))</f>
        <v>OVERDUE</v>
      </c>
      <c r="K14" s="422"/>
    </row>
    <row r="15" spans="1:49" x14ac:dyDescent="0.2">
      <c r="A15" s="499"/>
      <c r="B15" s="146" t="s">
        <v>613</v>
      </c>
      <c r="C15" s="39"/>
      <c r="D15" s="187"/>
      <c r="E15" s="185"/>
      <c r="F15" s="94">
        <f t="shared" ca="1" si="0"/>
        <v>-43388</v>
      </c>
      <c r="G15" s="101"/>
      <c r="H15" s="39"/>
      <c r="I15" s="39"/>
      <c r="J15" s="40" t="str">
        <f ca="1">IF(G15&gt;0,"COMPLETED",(IF(I15&gt;0,"ISSUE IDENTIFIED",(IF(TODAY()&gt;E15,"OVERDUE","In Progress")))))</f>
        <v>OVERDUE</v>
      </c>
      <c r="K15" s="85"/>
      <c r="L15" s="20"/>
    </row>
    <row r="16" spans="1:49" x14ac:dyDescent="0.2">
      <c r="A16" s="499"/>
      <c r="B16" s="148" t="s">
        <v>614</v>
      </c>
      <c r="C16" s="152"/>
      <c r="D16" s="188"/>
      <c r="E16" s="186"/>
      <c r="F16" s="151">
        <f t="shared" ca="1" si="0"/>
        <v>-43388</v>
      </c>
      <c r="G16" s="149"/>
      <c r="H16" s="152"/>
      <c r="I16" s="152"/>
      <c r="J16" s="153" t="str">
        <f ca="1">IF(G16&gt;0,"COMPLETED",(IF(I16&gt;0,"ISSUE IDENTIFIED",(IF(TODAY()&gt;E16,"OVERDUE","In Progress")))))</f>
        <v>OVERDUE</v>
      </c>
      <c r="K16" s="167"/>
      <c r="L16" s="20"/>
    </row>
    <row r="17" spans="1:12" ht="15" x14ac:dyDescent="0.25">
      <c r="A17" s="499"/>
      <c r="B17" s="435" t="s">
        <v>615</v>
      </c>
      <c r="C17" s="145"/>
      <c r="D17" s="408"/>
      <c r="E17" s="408"/>
      <c r="F17" s="270">
        <f t="shared" ca="1" si="0"/>
        <v>-43388</v>
      </c>
      <c r="G17" s="154"/>
      <c r="H17" s="145"/>
      <c r="I17" s="145"/>
      <c r="J17" s="138" t="str">
        <f ca="1">IF(AND(J18="completed",J19="completed",J20="completed",J21="completed",J22="completed",J23="completed",J24="completed",J25="completed",J26="completed",J27="completed",J28="completed"),"Deliverable Completed","DELIVERABLE STILL IN PROGRESS")</f>
        <v>DELIVERABLE STILL IN PROGRESS</v>
      </c>
      <c r="K17" s="168"/>
      <c r="L17" s="20"/>
    </row>
    <row r="18" spans="1:12" x14ac:dyDescent="0.2">
      <c r="A18" s="499"/>
      <c r="B18" s="146" t="s">
        <v>616</v>
      </c>
      <c r="C18" s="39"/>
      <c r="D18" s="187"/>
      <c r="E18" s="187"/>
      <c r="F18" s="94">
        <f t="shared" ca="1" si="0"/>
        <v>-43388</v>
      </c>
      <c r="G18" s="101"/>
      <c r="H18" s="39"/>
      <c r="I18" s="39"/>
      <c r="J18" s="40" t="str">
        <f t="shared" ref="J18:J28" ca="1" si="1">IF(G18&gt;0,"COMPLETED",(IF(I18&gt;0,"ISSUE IDENTIFIED",(IF(TODAY()&gt;E18,"OVERDUE","In Progress")))))</f>
        <v>OVERDUE</v>
      </c>
      <c r="K18" s="85"/>
      <c r="L18" s="20"/>
    </row>
    <row r="19" spans="1:12" x14ac:dyDescent="0.2">
      <c r="A19" s="499"/>
      <c r="B19" s="146" t="s">
        <v>617</v>
      </c>
      <c r="C19" s="39"/>
      <c r="D19" s="187"/>
      <c r="E19" s="187"/>
      <c r="F19" s="94">
        <f t="shared" ca="1" si="0"/>
        <v>-43388</v>
      </c>
      <c r="G19" s="101"/>
      <c r="H19" s="39"/>
      <c r="I19" s="39"/>
      <c r="J19" s="40" t="str">
        <f t="shared" ca="1" si="1"/>
        <v>OVERDUE</v>
      </c>
      <c r="K19" s="85"/>
      <c r="L19" s="20"/>
    </row>
    <row r="20" spans="1:12" x14ac:dyDescent="0.2">
      <c r="A20" s="499"/>
      <c r="B20" s="146" t="s">
        <v>618</v>
      </c>
      <c r="C20" s="39"/>
      <c r="D20" s="187"/>
      <c r="E20" s="187"/>
      <c r="F20" s="94">
        <f t="shared" ca="1" si="0"/>
        <v>-43388</v>
      </c>
      <c r="G20" s="101"/>
      <c r="H20" s="39"/>
      <c r="I20" s="39"/>
      <c r="J20" s="40" t="str">
        <f t="shared" ca="1" si="1"/>
        <v>OVERDUE</v>
      </c>
      <c r="K20" s="85"/>
      <c r="L20" s="20"/>
    </row>
    <row r="21" spans="1:12" x14ac:dyDescent="0.2">
      <c r="A21" s="499"/>
      <c r="B21" s="146" t="s">
        <v>619</v>
      </c>
      <c r="C21" s="39"/>
      <c r="D21" s="187"/>
      <c r="E21" s="187"/>
      <c r="F21" s="94">
        <f t="shared" ca="1" si="0"/>
        <v>-43388</v>
      </c>
      <c r="G21" s="101"/>
      <c r="H21" s="39"/>
      <c r="I21" s="39"/>
      <c r="J21" s="40" t="str">
        <f t="shared" ca="1" si="1"/>
        <v>OVERDUE</v>
      </c>
      <c r="K21" s="85"/>
      <c r="L21" s="20"/>
    </row>
    <row r="22" spans="1:12" x14ac:dyDescent="0.2">
      <c r="A22" s="499"/>
      <c r="B22" s="155" t="s">
        <v>620</v>
      </c>
      <c r="C22" s="39"/>
      <c r="D22" s="187"/>
      <c r="E22" s="187"/>
      <c r="F22" s="94">
        <f t="shared" ca="1" si="0"/>
        <v>-43388</v>
      </c>
      <c r="G22" s="101"/>
      <c r="H22" s="39"/>
      <c r="I22" s="39"/>
      <c r="J22" s="40" t="str">
        <f t="shared" ca="1" si="1"/>
        <v>OVERDUE</v>
      </c>
      <c r="K22" s="85"/>
      <c r="L22" s="20"/>
    </row>
    <row r="23" spans="1:12" x14ac:dyDescent="0.2">
      <c r="A23" s="499"/>
      <c r="B23" s="155" t="s">
        <v>621</v>
      </c>
      <c r="C23" s="39"/>
      <c r="D23" s="187"/>
      <c r="E23" s="187"/>
      <c r="F23" s="94">
        <f t="shared" ca="1" si="0"/>
        <v>-43388</v>
      </c>
      <c r="G23" s="101"/>
      <c r="H23" s="39"/>
      <c r="I23" s="39"/>
      <c r="J23" s="40" t="str">
        <f t="shared" ca="1" si="1"/>
        <v>OVERDUE</v>
      </c>
      <c r="K23" s="85"/>
      <c r="L23" s="20"/>
    </row>
    <row r="24" spans="1:12" x14ac:dyDescent="0.2">
      <c r="A24" s="499"/>
      <c r="B24" s="146" t="s">
        <v>622</v>
      </c>
      <c r="C24" s="39"/>
      <c r="D24" s="187"/>
      <c r="E24" s="187"/>
      <c r="F24" s="94">
        <f t="shared" ca="1" si="0"/>
        <v>-43388</v>
      </c>
      <c r="G24" s="101"/>
      <c r="H24" s="39"/>
      <c r="I24" s="39"/>
      <c r="J24" s="40" t="str">
        <f t="shared" ca="1" si="1"/>
        <v>OVERDUE</v>
      </c>
      <c r="K24" s="85"/>
      <c r="L24" s="20"/>
    </row>
    <row r="25" spans="1:12" x14ac:dyDescent="0.2">
      <c r="A25" s="499"/>
      <c r="B25" s="146" t="s">
        <v>623</v>
      </c>
      <c r="C25" s="39"/>
      <c r="D25" s="187"/>
      <c r="E25" s="187"/>
      <c r="F25" s="94">
        <f t="shared" ca="1" si="0"/>
        <v>-43388</v>
      </c>
      <c r="G25" s="101"/>
      <c r="H25" s="39"/>
      <c r="I25" s="39"/>
      <c r="J25" s="40" t="str">
        <f t="shared" ca="1" si="1"/>
        <v>OVERDUE</v>
      </c>
      <c r="K25" s="85"/>
      <c r="L25" s="20"/>
    </row>
    <row r="26" spans="1:12" x14ac:dyDescent="0.2">
      <c r="A26" s="499"/>
      <c r="B26" s="146" t="s">
        <v>624</v>
      </c>
      <c r="C26" s="39"/>
      <c r="D26" s="187"/>
      <c r="E26" s="187"/>
      <c r="F26" s="94">
        <f t="shared" ca="1" si="0"/>
        <v>-43388</v>
      </c>
      <c r="G26" s="101"/>
      <c r="H26" s="39"/>
      <c r="I26" s="39"/>
      <c r="J26" s="40" t="str">
        <f t="shared" ca="1" si="1"/>
        <v>OVERDUE</v>
      </c>
      <c r="K26" s="85"/>
      <c r="L26" s="20"/>
    </row>
    <row r="27" spans="1:12" x14ac:dyDescent="0.2">
      <c r="A27" s="499"/>
      <c r="B27" s="146" t="s">
        <v>625</v>
      </c>
      <c r="C27" s="39"/>
      <c r="D27" s="187"/>
      <c r="E27" s="187"/>
      <c r="F27" s="94">
        <f t="shared" ca="1" si="0"/>
        <v>-43388</v>
      </c>
      <c r="G27" s="101"/>
      <c r="H27" s="39"/>
      <c r="I27" s="39"/>
      <c r="J27" s="40" t="str">
        <f t="shared" ca="1" si="1"/>
        <v>OVERDUE</v>
      </c>
      <c r="K27" s="85"/>
      <c r="L27" s="20"/>
    </row>
    <row r="28" spans="1:12" x14ac:dyDescent="0.2">
      <c r="A28" s="499"/>
      <c r="B28" s="148" t="s">
        <v>626</v>
      </c>
      <c r="C28" s="152"/>
      <c r="D28" s="188"/>
      <c r="E28" s="188"/>
      <c r="F28" s="151">
        <f t="shared" ca="1" si="0"/>
        <v>-43388</v>
      </c>
      <c r="G28" s="149"/>
      <c r="H28" s="152"/>
      <c r="I28" s="152"/>
      <c r="J28" s="153" t="str">
        <f t="shared" ca="1" si="1"/>
        <v>OVERDUE</v>
      </c>
      <c r="K28" s="167"/>
      <c r="L28" s="20"/>
    </row>
    <row r="29" spans="1:12" ht="15" x14ac:dyDescent="0.25">
      <c r="A29" s="499"/>
      <c r="B29" s="435" t="s">
        <v>627</v>
      </c>
      <c r="C29" s="145"/>
      <c r="D29" s="408"/>
      <c r="E29" s="408"/>
      <c r="F29" s="270">
        <f t="shared" ca="1" si="0"/>
        <v>-43388</v>
      </c>
      <c r="G29" s="154"/>
      <c r="H29" s="145"/>
      <c r="I29" s="145"/>
      <c r="J29" s="138" t="str">
        <f ca="1">IF(AND(J30="completed",J31="completed",J32="completed",J33="completed",J34="completed",J35="completed",J36="completed",J37="completed",J38="completed",J39="completed",J40="completed",J41="completed",J42="completed",J43="completed",J44="completed"),"Deliverable Completed","DELIVERABLE STILL IN PROGRESS")</f>
        <v>DELIVERABLE STILL IN PROGRESS</v>
      </c>
      <c r="K29" s="168"/>
      <c r="L29" s="20"/>
    </row>
    <row r="30" spans="1:12" ht="14.25" customHeight="1" x14ac:dyDescent="0.2">
      <c r="A30" s="499"/>
      <c r="B30" s="146" t="s">
        <v>628</v>
      </c>
      <c r="C30" s="39"/>
      <c r="D30" s="187"/>
      <c r="E30" s="185"/>
      <c r="F30" s="94">
        <f t="shared" ca="1" si="0"/>
        <v>-43388</v>
      </c>
      <c r="G30" s="102"/>
      <c r="H30" s="39"/>
      <c r="I30" s="39"/>
      <c r="J30" s="40" t="str">
        <f t="shared" ref="J30:J44" ca="1" si="2">IF(G30&gt;0,"COMPLETED",(IF(I30&gt;0,"ISSUE IDENTIFIED",(IF(TODAY()&gt;E30,"OVERDUE","In Progress")))))</f>
        <v>OVERDUE</v>
      </c>
      <c r="K30" s="68"/>
      <c r="L30" s="20"/>
    </row>
    <row r="31" spans="1:12" ht="14.25" customHeight="1" x14ac:dyDescent="0.2">
      <c r="A31" s="499"/>
      <c r="B31" s="155" t="s">
        <v>629</v>
      </c>
      <c r="C31" s="39"/>
      <c r="D31" s="187"/>
      <c r="E31" s="185"/>
      <c r="F31" s="94">
        <f t="shared" ca="1" si="0"/>
        <v>-43388</v>
      </c>
      <c r="G31" s="102"/>
      <c r="H31" s="39"/>
      <c r="I31" s="39"/>
      <c r="J31" s="40" t="str">
        <f t="shared" ca="1" si="2"/>
        <v>OVERDUE</v>
      </c>
      <c r="K31" s="68"/>
      <c r="L31" s="20"/>
    </row>
    <row r="32" spans="1:12" ht="14.25" customHeight="1" x14ac:dyDescent="0.2">
      <c r="A32" s="499"/>
      <c r="B32" s="155" t="s">
        <v>630</v>
      </c>
      <c r="C32" s="39"/>
      <c r="D32" s="187"/>
      <c r="E32" s="185"/>
      <c r="F32" s="94">
        <f t="shared" ca="1" si="0"/>
        <v>-43388</v>
      </c>
      <c r="G32" s="102"/>
      <c r="H32" s="39"/>
      <c r="I32" s="39"/>
      <c r="J32" s="40" t="str">
        <f t="shared" ca="1" si="2"/>
        <v>OVERDUE</v>
      </c>
      <c r="K32" s="68"/>
      <c r="L32" s="20"/>
    </row>
    <row r="33" spans="1:49" x14ac:dyDescent="0.2">
      <c r="A33" s="499"/>
      <c r="B33" s="146" t="s">
        <v>631</v>
      </c>
      <c r="C33" s="39"/>
      <c r="D33" s="187"/>
      <c r="E33" s="185"/>
      <c r="F33" s="94">
        <f t="shared" ca="1" si="0"/>
        <v>-43388</v>
      </c>
      <c r="G33" s="101"/>
      <c r="H33" s="39"/>
      <c r="I33" s="39"/>
      <c r="J33" s="40" t="str">
        <f t="shared" ca="1" si="2"/>
        <v>OVERDUE</v>
      </c>
      <c r="K33" s="85"/>
      <c r="L33" s="20"/>
    </row>
    <row r="34" spans="1:49" x14ac:dyDescent="0.2">
      <c r="A34" s="499"/>
      <c r="B34" s="157" t="s">
        <v>632</v>
      </c>
      <c r="C34" s="39"/>
      <c r="D34" s="187"/>
      <c r="E34" s="185"/>
      <c r="F34" s="94">
        <f t="shared" ca="1" si="0"/>
        <v>-43388</v>
      </c>
      <c r="G34" s="101"/>
      <c r="H34" s="39"/>
      <c r="I34" s="39"/>
      <c r="J34" s="40" t="str">
        <f t="shared" ca="1" si="2"/>
        <v>OVERDUE</v>
      </c>
      <c r="K34" s="85"/>
      <c r="L34" s="20"/>
    </row>
    <row r="35" spans="1:49" x14ac:dyDescent="0.2">
      <c r="A35" s="499"/>
      <c r="B35" s="158" t="s">
        <v>633</v>
      </c>
      <c r="C35" s="39"/>
      <c r="D35" s="187"/>
      <c r="E35" s="187"/>
      <c r="F35" s="94">
        <f t="shared" ca="1" si="0"/>
        <v>-43388</v>
      </c>
      <c r="G35" s="101"/>
      <c r="H35" s="39"/>
      <c r="I35" s="39"/>
      <c r="J35" s="40" t="str">
        <f t="shared" ca="1" si="2"/>
        <v>OVERDUE</v>
      </c>
      <c r="K35" s="85"/>
      <c r="L35" s="20"/>
    </row>
    <row r="36" spans="1:49" ht="15.75" customHeight="1" x14ac:dyDescent="0.2">
      <c r="A36" s="499"/>
      <c r="B36" s="158" t="s">
        <v>634</v>
      </c>
      <c r="C36" s="39"/>
      <c r="D36" s="187"/>
      <c r="E36" s="187"/>
      <c r="F36" s="94">
        <f t="shared" ca="1" si="0"/>
        <v>-43388</v>
      </c>
      <c r="G36" s="101"/>
      <c r="H36" s="39"/>
      <c r="I36" s="39"/>
      <c r="J36" s="40" t="str">
        <f t="shared" ca="1" si="2"/>
        <v>OVERDUE</v>
      </c>
      <c r="K36" s="68"/>
      <c r="L36" s="20"/>
    </row>
    <row r="37" spans="1:49" x14ac:dyDescent="0.2">
      <c r="A37" s="499"/>
      <c r="B37" s="158" t="s">
        <v>635</v>
      </c>
      <c r="C37" s="39"/>
      <c r="D37" s="187"/>
      <c r="E37" s="185"/>
      <c r="F37" s="94">
        <f t="shared" ca="1" si="0"/>
        <v>-43388</v>
      </c>
      <c r="G37" s="101"/>
      <c r="H37" s="39"/>
      <c r="I37" s="39"/>
      <c r="J37" s="40" t="str">
        <f t="shared" ca="1" si="2"/>
        <v>OVERDUE</v>
      </c>
      <c r="K37" s="85"/>
      <c r="L37" s="20"/>
    </row>
    <row r="38" spans="1:49" x14ac:dyDescent="0.2">
      <c r="A38" s="499"/>
      <c r="B38" s="196" t="s">
        <v>636</v>
      </c>
      <c r="C38" s="39"/>
      <c r="D38" s="187"/>
      <c r="E38" s="185"/>
      <c r="F38" s="94">
        <f t="shared" ca="1" si="0"/>
        <v>-43388</v>
      </c>
      <c r="G38" s="101"/>
      <c r="H38" s="39"/>
      <c r="I38" s="39"/>
      <c r="J38" s="40" t="str">
        <f t="shared" ca="1" si="2"/>
        <v>OVERDUE</v>
      </c>
      <c r="K38" s="85"/>
      <c r="L38" s="20"/>
    </row>
    <row r="39" spans="1:49" x14ac:dyDescent="0.2">
      <c r="A39" s="499"/>
      <c r="B39" s="158" t="s">
        <v>637</v>
      </c>
      <c r="C39" s="39"/>
      <c r="D39" s="187"/>
      <c r="E39" s="185"/>
      <c r="F39" s="94">
        <f t="shared" ca="1" si="0"/>
        <v>-43388</v>
      </c>
      <c r="G39" s="101"/>
      <c r="H39" s="39"/>
      <c r="I39" s="39"/>
      <c r="J39" s="40" t="str">
        <f t="shared" ca="1" si="2"/>
        <v>OVERDUE</v>
      </c>
      <c r="K39" s="85"/>
      <c r="L39" s="20"/>
    </row>
    <row r="40" spans="1:49" x14ac:dyDescent="0.2">
      <c r="A40" s="499"/>
      <c r="B40" s="158" t="s">
        <v>638</v>
      </c>
      <c r="C40" s="39"/>
      <c r="D40" s="187"/>
      <c r="E40" s="185"/>
      <c r="F40" s="94">
        <f t="shared" ca="1" si="0"/>
        <v>-43388</v>
      </c>
      <c r="G40" s="101"/>
      <c r="H40" s="39"/>
      <c r="I40" s="39"/>
      <c r="J40" s="40" t="str">
        <f t="shared" ca="1" si="2"/>
        <v>OVERDUE</v>
      </c>
      <c r="K40" s="85"/>
      <c r="L40" s="20"/>
    </row>
    <row r="41" spans="1:49" x14ac:dyDescent="0.2">
      <c r="A41" s="499"/>
      <c r="B41" s="158" t="s">
        <v>639</v>
      </c>
      <c r="C41" s="39"/>
      <c r="D41" s="187"/>
      <c r="E41" s="185"/>
      <c r="F41" s="94">
        <f t="shared" ca="1" si="0"/>
        <v>-43388</v>
      </c>
      <c r="G41" s="101"/>
      <c r="H41" s="39"/>
      <c r="I41" s="39"/>
      <c r="J41" s="40" t="str">
        <f t="shared" ca="1" si="2"/>
        <v>OVERDUE</v>
      </c>
      <c r="K41" s="85"/>
      <c r="L41" s="20"/>
    </row>
    <row r="42" spans="1:49" x14ac:dyDescent="0.2">
      <c r="A42" s="499"/>
      <c r="B42" s="158" t="s">
        <v>640</v>
      </c>
      <c r="C42" s="39"/>
      <c r="D42" s="187"/>
      <c r="E42" s="185"/>
      <c r="F42" s="94">
        <f t="shared" ca="1" si="0"/>
        <v>-43388</v>
      </c>
      <c r="G42" s="101"/>
      <c r="H42" s="39"/>
      <c r="I42" s="39"/>
      <c r="J42" s="40" t="str">
        <f t="shared" ca="1" si="2"/>
        <v>OVERDUE</v>
      </c>
      <c r="K42" s="85"/>
      <c r="L42" s="20"/>
    </row>
    <row r="43" spans="1:49" x14ac:dyDescent="0.2">
      <c r="A43" s="499"/>
      <c r="B43" s="158" t="s">
        <v>641</v>
      </c>
      <c r="C43" s="39"/>
      <c r="D43" s="187"/>
      <c r="E43" s="185"/>
      <c r="F43" s="94">
        <f t="shared" ca="1" si="0"/>
        <v>-43388</v>
      </c>
      <c r="G43" s="101"/>
      <c r="H43" s="39"/>
      <c r="I43" s="39"/>
      <c r="J43" s="40" t="str">
        <f t="shared" ca="1" si="2"/>
        <v>OVERDUE</v>
      </c>
      <c r="K43" s="85"/>
      <c r="L43" s="20"/>
    </row>
    <row r="44" spans="1:49" s="99" customFormat="1" x14ac:dyDescent="0.2">
      <c r="A44" s="501"/>
      <c r="B44" s="423" t="s">
        <v>642</v>
      </c>
      <c r="C44" s="424"/>
      <c r="D44" s="187"/>
      <c r="E44" s="185"/>
      <c r="F44" s="151">
        <f t="shared" ca="1" si="0"/>
        <v>-43388</v>
      </c>
      <c r="G44" s="113"/>
      <c r="H44" s="96"/>
      <c r="I44" s="96"/>
      <c r="J44" s="100" t="str">
        <f t="shared" ca="1" si="2"/>
        <v>OVERDUE</v>
      </c>
      <c r="K44" s="97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</row>
    <row r="45" spans="1:49" ht="15" x14ac:dyDescent="0.25">
      <c r="A45" s="499"/>
      <c r="B45" s="435" t="s">
        <v>643</v>
      </c>
      <c r="C45" s="145"/>
      <c r="D45" s="408"/>
      <c r="E45" s="408"/>
      <c r="F45" s="270">
        <f t="shared" ca="1" si="0"/>
        <v>-43388</v>
      </c>
      <c r="G45" s="154"/>
      <c r="H45" s="145"/>
      <c r="I45" s="145"/>
      <c r="J45" s="138" t="str">
        <f ca="1">IF(AND(J46="completed",J47="completed",J48="completed",J49="completed",J50="completed",J51="completed",J52="completed",J53="completed",J54="completed",J55="completed",J56="completed",J57="completed",J58="completed",J59="completed",J60="completed",J61="completed",J62="completed",J63="completed",J64="completed"),"Deliverable Completed","DELIVERABLE STILL IN PROGRESS")</f>
        <v>DELIVERABLE STILL IN PROGRESS</v>
      </c>
      <c r="K45" s="168"/>
      <c r="L45" s="20"/>
    </row>
    <row r="46" spans="1:49" ht="25.5" x14ac:dyDescent="0.2">
      <c r="A46" s="499"/>
      <c r="B46" s="146" t="s">
        <v>644</v>
      </c>
      <c r="C46" s="39"/>
      <c r="D46" s="187"/>
      <c r="E46" s="185"/>
      <c r="F46" s="94">
        <f t="shared" ca="1" si="0"/>
        <v>-43388</v>
      </c>
      <c r="G46" s="101"/>
      <c r="H46" s="39"/>
      <c r="I46" s="39"/>
      <c r="J46" s="40" t="str">
        <f t="shared" ref="J46:J64" ca="1" si="3">IF(G46&gt;0,"COMPLETED",(IF(I46&gt;0,"ISSUE IDENTIFIED",(IF(TODAY()&gt;E46,"OVERDUE","In Progress")))))</f>
        <v>OVERDUE</v>
      </c>
      <c r="K46" s="85"/>
      <c r="L46" s="20"/>
    </row>
    <row r="47" spans="1:49" x14ac:dyDescent="0.2">
      <c r="A47" s="499"/>
      <c r="B47" s="146" t="s">
        <v>645</v>
      </c>
      <c r="C47" s="39"/>
      <c r="D47" s="187"/>
      <c r="E47" s="185"/>
      <c r="F47" s="94">
        <f t="shared" ca="1" si="0"/>
        <v>-43388</v>
      </c>
      <c r="G47" s="101"/>
      <c r="H47" s="39"/>
      <c r="I47" s="39"/>
      <c r="J47" s="40" t="str">
        <f t="shared" ca="1" si="3"/>
        <v>OVERDUE</v>
      </c>
      <c r="K47" s="85"/>
      <c r="L47" s="20"/>
    </row>
    <row r="48" spans="1:49" x14ac:dyDescent="0.2">
      <c r="A48" s="499"/>
      <c r="B48" s="155" t="s">
        <v>646</v>
      </c>
      <c r="C48" s="39"/>
      <c r="D48" s="187"/>
      <c r="E48" s="185"/>
      <c r="F48" s="94">
        <f t="shared" ca="1" si="0"/>
        <v>-43388</v>
      </c>
      <c r="G48" s="101"/>
      <c r="H48" s="39"/>
      <c r="I48" s="39"/>
      <c r="J48" s="40" t="str">
        <f t="shared" ca="1" si="3"/>
        <v>OVERDUE</v>
      </c>
      <c r="K48" s="85"/>
      <c r="L48" s="20"/>
    </row>
    <row r="49" spans="1:12" x14ac:dyDescent="0.2">
      <c r="A49" s="499"/>
      <c r="B49" s="146" t="s">
        <v>647</v>
      </c>
      <c r="C49" s="39"/>
      <c r="D49" s="187"/>
      <c r="E49" s="185"/>
      <c r="F49" s="94">
        <f t="shared" ca="1" si="0"/>
        <v>-43388</v>
      </c>
      <c r="G49" s="101"/>
      <c r="H49" s="39"/>
      <c r="I49" s="39"/>
      <c r="J49" s="40" t="str">
        <f t="shared" ca="1" si="3"/>
        <v>OVERDUE</v>
      </c>
      <c r="K49" s="85"/>
      <c r="L49" s="20"/>
    </row>
    <row r="50" spans="1:12" x14ac:dyDescent="0.2">
      <c r="A50" s="499"/>
      <c r="B50" s="146" t="s">
        <v>648</v>
      </c>
      <c r="C50" s="39"/>
      <c r="D50" s="187"/>
      <c r="E50" s="185"/>
      <c r="F50" s="94">
        <f t="shared" ca="1" si="0"/>
        <v>-43388</v>
      </c>
      <c r="G50" s="101"/>
      <c r="H50" s="39"/>
      <c r="I50" s="39"/>
      <c r="J50" s="40" t="str">
        <f t="shared" ca="1" si="3"/>
        <v>OVERDUE</v>
      </c>
      <c r="K50" s="85"/>
      <c r="L50" s="20"/>
    </row>
    <row r="51" spans="1:12" x14ac:dyDescent="0.2">
      <c r="A51" s="499"/>
      <c r="B51" s="146" t="s">
        <v>649</v>
      </c>
      <c r="C51" s="39"/>
      <c r="D51" s="187"/>
      <c r="E51" s="185"/>
      <c r="F51" s="94">
        <f t="shared" ca="1" si="0"/>
        <v>-43388</v>
      </c>
      <c r="G51" s="101"/>
      <c r="H51" s="39"/>
      <c r="I51" s="39"/>
      <c r="J51" s="40" t="str">
        <f t="shared" ca="1" si="3"/>
        <v>OVERDUE</v>
      </c>
      <c r="K51" s="85"/>
      <c r="L51" s="20"/>
    </row>
    <row r="52" spans="1:12" x14ac:dyDescent="0.2">
      <c r="A52" s="499"/>
      <c r="B52" s="146" t="s">
        <v>650</v>
      </c>
      <c r="C52" s="39"/>
      <c r="D52" s="187"/>
      <c r="E52" s="185"/>
      <c r="F52" s="94">
        <f t="shared" ca="1" si="0"/>
        <v>-43388</v>
      </c>
      <c r="G52" s="101"/>
      <c r="H52" s="39"/>
      <c r="I52" s="39"/>
      <c r="J52" s="40" t="str">
        <f t="shared" ca="1" si="3"/>
        <v>OVERDUE</v>
      </c>
      <c r="K52" s="85"/>
      <c r="L52" s="20"/>
    </row>
    <row r="53" spans="1:12" x14ac:dyDescent="0.2">
      <c r="A53" s="499"/>
      <c r="B53" s="146" t="s">
        <v>651</v>
      </c>
      <c r="C53" s="39"/>
      <c r="D53" s="187"/>
      <c r="E53" s="185"/>
      <c r="F53" s="94">
        <f t="shared" ca="1" si="0"/>
        <v>-43388</v>
      </c>
      <c r="G53" s="101"/>
      <c r="H53" s="39"/>
      <c r="I53" s="39"/>
      <c r="J53" s="40" t="str">
        <f t="shared" ca="1" si="3"/>
        <v>OVERDUE</v>
      </c>
      <c r="K53" s="85"/>
      <c r="L53" s="20"/>
    </row>
    <row r="54" spans="1:12" x14ac:dyDescent="0.2">
      <c r="A54" s="499"/>
      <c r="B54" s="146" t="s">
        <v>652</v>
      </c>
      <c r="C54" s="39"/>
      <c r="D54" s="187"/>
      <c r="E54" s="185"/>
      <c r="F54" s="94">
        <f t="shared" ca="1" si="0"/>
        <v>-43388</v>
      </c>
      <c r="G54" s="101"/>
      <c r="H54" s="39"/>
      <c r="I54" s="39"/>
      <c r="J54" s="40" t="str">
        <f t="shared" ca="1" si="3"/>
        <v>OVERDUE</v>
      </c>
      <c r="K54" s="85"/>
      <c r="L54" s="20"/>
    </row>
    <row r="55" spans="1:12" x14ac:dyDescent="0.2">
      <c r="A55" s="499"/>
      <c r="B55" s="146" t="s">
        <v>653</v>
      </c>
      <c r="C55" s="39"/>
      <c r="D55" s="187"/>
      <c r="E55" s="185"/>
      <c r="F55" s="94">
        <f t="shared" ca="1" si="0"/>
        <v>-43388</v>
      </c>
      <c r="G55" s="101"/>
      <c r="H55" s="39"/>
      <c r="I55" s="39"/>
      <c r="J55" s="40" t="str">
        <f t="shared" ca="1" si="3"/>
        <v>OVERDUE</v>
      </c>
      <c r="K55" s="85"/>
      <c r="L55" s="20"/>
    </row>
    <row r="56" spans="1:12" x14ac:dyDescent="0.2">
      <c r="A56" s="499"/>
      <c r="B56" s="146" t="s">
        <v>654</v>
      </c>
      <c r="C56" s="39"/>
      <c r="D56" s="187"/>
      <c r="E56" s="189"/>
      <c r="F56" s="94">
        <f t="shared" ca="1" si="0"/>
        <v>-43388</v>
      </c>
      <c r="G56" s="101"/>
      <c r="H56" s="39"/>
      <c r="I56" s="39"/>
      <c r="J56" s="40" t="str">
        <f t="shared" ca="1" si="3"/>
        <v>OVERDUE</v>
      </c>
      <c r="K56" s="85"/>
      <c r="L56" s="20"/>
    </row>
    <row r="57" spans="1:12" x14ac:dyDescent="0.2">
      <c r="A57" s="499"/>
      <c r="B57" s="146" t="s">
        <v>655</v>
      </c>
      <c r="C57" s="39"/>
      <c r="D57" s="187"/>
      <c r="E57" s="189"/>
      <c r="F57" s="94">
        <f t="shared" ca="1" si="0"/>
        <v>-43388</v>
      </c>
      <c r="G57" s="101"/>
      <c r="H57" s="39"/>
      <c r="I57" s="39"/>
      <c r="J57" s="40" t="str">
        <f t="shared" ca="1" si="3"/>
        <v>OVERDUE</v>
      </c>
      <c r="K57" s="85"/>
      <c r="L57" s="20"/>
    </row>
    <row r="58" spans="1:12" x14ac:dyDescent="0.2">
      <c r="A58" s="499"/>
      <c r="B58" s="146" t="s">
        <v>656</v>
      </c>
      <c r="C58" s="39"/>
      <c r="D58" s="187"/>
      <c r="E58" s="189"/>
      <c r="F58" s="94">
        <f t="shared" ca="1" si="0"/>
        <v>-43388</v>
      </c>
      <c r="G58" s="101"/>
      <c r="H58" s="39"/>
      <c r="I58" s="39"/>
      <c r="J58" s="40" t="str">
        <f t="shared" ca="1" si="3"/>
        <v>OVERDUE</v>
      </c>
      <c r="K58" s="85"/>
      <c r="L58" s="20"/>
    </row>
    <row r="59" spans="1:12" x14ac:dyDescent="0.2">
      <c r="A59" s="499"/>
      <c r="B59" s="146" t="s">
        <v>657</v>
      </c>
      <c r="C59" s="39"/>
      <c r="D59" s="187"/>
      <c r="E59" s="189"/>
      <c r="F59" s="94">
        <f t="shared" ca="1" si="0"/>
        <v>-43388</v>
      </c>
      <c r="G59" s="101"/>
      <c r="H59" s="39"/>
      <c r="I59" s="39"/>
      <c r="J59" s="40" t="str">
        <f t="shared" ca="1" si="3"/>
        <v>OVERDUE</v>
      </c>
      <c r="K59" s="85"/>
      <c r="L59" s="20"/>
    </row>
    <row r="60" spans="1:12" x14ac:dyDescent="0.2">
      <c r="A60" s="499"/>
      <c r="B60" s="146" t="s">
        <v>658</v>
      </c>
      <c r="C60" s="39"/>
      <c r="D60" s="187"/>
      <c r="E60" s="189"/>
      <c r="F60" s="94">
        <f t="shared" ca="1" si="0"/>
        <v>-43388</v>
      </c>
      <c r="G60" s="101"/>
      <c r="H60" s="39"/>
      <c r="I60" s="39"/>
      <c r="J60" s="40" t="str">
        <f t="shared" ca="1" si="3"/>
        <v>OVERDUE</v>
      </c>
      <c r="K60" s="85"/>
      <c r="L60" s="20"/>
    </row>
    <row r="61" spans="1:12" x14ac:dyDescent="0.2">
      <c r="A61" s="499"/>
      <c r="B61" s="146" t="s">
        <v>659</v>
      </c>
      <c r="C61" s="39"/>
      <c r="D61" s="187"/>
      <c r="E61" s="185"/>
      <c r="F61" s="94">
        <f t="shared" ca="1" si="0"/>
        <v>-43388</v>
      </c>
      <c r="G61" s="101"/>
      <c r="H61" s="39"/>
      <c r="I61" s="39"/>
      <c r="J61" s="40" t="str">
        <f t="shared" ca="1" si="3"/>
        <v>OVERDUE</v>
      </c>
      <c r="K61" s="85"/>
      <c r="L61" s="20"/>
    </row>
    <row r="62" spans="1:12" x14ac:dyDescent="0.2">
      <c r="A62" s="499"/>
      <c r="B62" s="157" t="s">
        <v>660</v>
      </c>
      <c r="C62" s="39"/>
      <c r="D62" s="187"/>
      <c r="E62" s="185"/>
      <c r="F62" s="94">
        <f t="shared" ca="1" si="0"/>
        <v>-43388</v>
      </c>
      <c r="G62" s="101"/>
      <c r="H62" s="39"/>
      <c r="I62" s="39"/>
      <c r="J62" s="40" t="str">
        <f t="shared" ca="1" si="3"/>
        <v>OVERDUE</v>
      </c>
      <c r="K62" s="85"/>
      <c r="L62" s="20"/>
    </row>
    <row r="63" spans="1:12" x14ac:dyDescent="0.2">
      <c r="A63" s="499"/>
      <c r="B63" s="146" t="s">
        <v>661</v>
      </c>
      <c r="C63" s="39"/>
      <c r="D63" s="187"/>
      <c r="E63" s="189"/>
      <c r="F63" s="94">
        <f t="shared" ca="1" si="0"/>
        <v>-43388</v>
      </c>
      <c r="G63" s="101"/>
      <c r="H63" s="39"/>
      <c r="I63" s="39"/>
      <c r="J63" s="40" t="str">
        <f t="shared" ca="1" si="3"/>
        <v>OVERDUE</v>
      </c>
      <c r="K63" s="85"/>
      <c r="L63" s="20"/>
    </row>
    <row r="64" spans="1:12" x14ac:dyDescent="0.2">
      <c r="A64" s="499"/>
      <c r="B64" s="160" t="s">
        <v>662</v>
      </c>
      <c r="C64" s="152"/>
      <c r="D64" s="188"/>
      <c r="E64" s="190"/>
      <c r="F64" s="151">
        <f t="shared" ca="1" si="0"/>
        <v>-43388</v>
      </c>
      <c r="G64" s="149"/>
      <c r="H64" s="152"/>
      <c r="I64" s="152"/>
      <c r="J64" s="153" t="str">
        <f t="shared" ca="1" si="3"/>
        <v>OVERDUE</v>
      </c>
      <c r="K64" s="167"/>
      <c r="L64" s="20"/>
    </row>
    <row r="65" spans="1:12" ht="21" customHeight="1" x14ac:dyDescent="0.25">
      <c r="A65" s="499"/>
      <c r="B65" s="435" t="s">
        <v>663</v>
      </c>
      <c r="C65" s="145"/>
      <c r="D65" s="408"/>
      <c r="E65" s="408"/>
      <c r="F65" s="270">
        <f t="shared" ca="1" si="0"/>
        <v>-43388</v>
      </c>
      <c r="G65" s="154"/>
      <c r="H65" s="145"/>
      <c r="I65" s="145"/>
      <c r="J65" s="138" t="str">
        <f ca="1">IF(AND(J66="completed",J67="completed",J68="completed",J69="completed",J70="completed",J71="completed",J72="completed",J73="completed"),"Deliverable Completed","DELIVERABLE STILL IN PROGRESS")</f>
        <v>DELIVERABLE STILL IN PROGRESS</v>
      </c>
      <c r="K65" s="168"/>
      <c r="L65" s="20"/>
    </row>
    <row r="66" spans="1:12" ht="13.5" customHeight="1" x14ac:dyDescent="0.2">
      <c r="A66" s="499"/>
      <c r="B66" s="146" t="s">
        <v>664</v>
      </c>
      <c r="C66" s="39"/>
      <c r="D66" s="187"/>
      <c r="E66" s="185"/>
      <c r="F66" s="94">
        <f t="shared" ca="1" si="0"/>
        <v>-43388</v>
      </c>
      <c r="G66" s="101"/>
      <c r="H66" s="39"/>
      <c r="I66" s="39"/>
      <c r="J66" s="40" t="str">
        <f t="shared" ref="J66:J73" ca="1" si="4">IF(G66&gt;0,"COMPLETED",(IF(I66&gt;0,"ISSUE IDENTIFIED",(IF(TODAY()&gt;E66,"OVERDUE","In Progress")))))</f>
        <v>OVERDUE</v>
      </c>
      <c r="K66" s="85"/>
      <c r="L66" s="20"/>
    </row>
    <row r="67" spans="1:12" ht="13.5" customHeight="1" x14ac:dyDescent="0.2">
      <c r="A67" s="499"/>
      <c r="B67" s="146" t="s">
        <v>665</v>
      </c>
      <c r="C67" s="39"/>
      <c r="D67" s="187"/>
      <c r="E67" s="185"/>
      <c r="F67" s="94">
        <f t="shared" ca="1" si="0"/>
        <v>-43388</v>
      </c>
      <c r="G67" s="101"/>
      <c r="H67" s="39"/>
      <c r="I67" s="39"/>
      <c r="J67" s="40" t="str">
        <f t="shared" ca="1" si="4"/>
        <v>OVERDUE</v>
      </c>
      <c r="K67" s="85"/>
      <c r="L67" s="20"/>
    </row>
    <row r="68" spans="1:12" ht="13.5" customHeight="1" x14ac:dyDescent="0.2">
      <c r="A68" s="499"/>
      <c r="B68" s="146" t="s">
        <v>666</v>
      </c>
      <c r="C68" s="39"/>
      <c r="D68" s="187"/>
      <c r="E68" s="185"/>
      <c r="F68" s="94">
        <f t="shared" ca="1" si="0"/>
        <v>-43388</v>
      </c>
      <c r="G68" s="101"/>
      <c r="H68" s="39"/>
      <c r="I68" s="39"/>
      <c r="J68" s="40" t="str">
        <f t="shared" ca="1" si="4"/>
        <v>OVERDUE</v>
      </c>
      <c r="K68" s="85"/>
      <c r="L68" s="20"/>
    </row>
    <row r="69" spans="1:12" ht="13.5" customHeight="1" x14ac:dyDescent="0.2">
      <c r="A69" s="499"/>
      <c r="B69" s="146" t="s">
        <v>667</v>
      </c>
      <c r="C69" s="39"/>
      <c r="D69" s="187"/>
      <c r="E69" s="185"/>
      <c r="F69" s="94">
        <f t="shared" ca="1" si="0"/>
        <v>-43388</v>
      </c>
      <c r="G69" s="101"/>
      <c r="H69" s="39"/>
      <c r="I69" s="39"/>
      <c r="J69" s="40" t="str">
        <f t="shared" ca="1" si="4"/>
        <v>OVERDUE</v>
      </c>
      <c r="K69" s="85"/>
      <c r="L69" s="20"/>
    </row>
    <row r="70" spans="1:12" ht="13.5" customHeight="1" x14ac:dyDescent="0.2">
      <c r="A70" s="499"/>
      <c r="B70" s="146" t="s">
        <v>668</v>
      </c>
      <c r="C70" s="39"/>
      <c r="D70" s="187"/>
      <c r="E70" s="185"/>
      <c r="F70" s="94">
        <f t="shared" ca="1" si="0"/>
        <v>-43388</v>
      </c>
      <c r="G70" s="101"/>
      <c r="H70" s="39"/>
      <c r="I70" s="39"/>
      <c r="J70" s="40" t="str">
        <f t="shared" ca="1" si="4"/>
        <v>OVERDUE</v>
      </c>
      <c r="K70" s="85"/>
      <c r="L70" s="20"/>
    </row>
    <row r="71" spans="1:12" ht="13.5" customHeight="1" x14ac:dyDescent="0.2">
      <c r="A71" s="499"/>
      <c r="B71" s="146" t="s">
        <v>669</v>
      </c>
      <c r="C71" s="39"/>
      <c r="D71" s="187"/>
      <c r="E71" s="185"/>
      <c r="F71" s="94">
        <f t="shared" ca="1" si="0"/>
        <v>-43388</v>
      </c>
      <c r="G71" s="101"/>
      <c r="H71" s="39"/>
      <c r="I71" s="39"/>
      <c r="J71" s="40" t="str">
        <f t="shared" ca="1" si="4"/>
        <v>OVERDUE</v>
      </c>
      <c r="K71" s="85"/>
      <c r="L71" s="20"/>
    </row>
    <row r="72" spans="1:12" ht="13.5" customHeight="1" x14ac:dyDescent="0.2">
      <c r="A72" s="499"/>
      <c r="B72" s="161" t="s">
        <v>670</v>
      </c>
      <c r="C72" s="39"/>
      <c r="D72" s="187"/>
      <c r="E72" s="185"/>
      <c r="F72" s="94">
        <f t="shared" ca="1" si="0"/>
        <v>-43388</v>
      </c>
      <c r="G72" s="101"/>
      <c r="H72" s="39"/>
      <c r="I72" s="39"/>
      <c r="J72" s="40" t="str">
        <f t="shared" ca="1" si="4"/>
        <v>OVERDUE</v>
      </c>
      <c r="K72" s="85"/>
      <c r="L72" s="20"/>
    </row>
    <row r="73" spans="1:12" ht="13.5" customHeight="1" x14ac:dyDescent="0.2">
      <c r="A73" s="499"/>
      <c r="B73" s="162" t="s">
        <v>671</v>
      </c>
      <c r="C73" s="152"/>
      <c r="D73" s="188"/>
      <c r="E73" s="186"/>
      <c r="F73" s="151">
        <f t="shared" ref="F73:F136" ca="1" si="5">IF(ISBLANK(G73),IF(ISERROR(DAYS360(TODAY(),E73))," ",(DAYS360(TODAY(),E73))),E73-G73)</f>
        <v>-43388</v>
      </c>
      <c r="G73" s="149"/>
      <c r="H73" s="152"/>
      <c r="I73" s="152"/>
      <c r="J73" s="153" t="str">
        <f t="shared" ca="1" si="4"/>
        <v>OVERDUE</v>
      </c>
      <c r="K73" s="167"/>
      <c r="L73" s="20"/>
    </row>
    <row r="74" spans="1:12" ht="15" x14ac:dyDescent="0.25">
      <c r="A74" s="499"/>
      <c r="B74" s="435" t="s">
        <v>672</v>
      </c>
      <c r="C74" s="145"/>
      <c r="D74" s="408"/>
      <c r="E74" s="408"/>
      <c r="F74" s="270">
        <f t="shared" ca="1" si="5"/>
        <v>-43388</v>
      </c>
      <c r="G74" s="154"/>
      <c r="H74" s="145"/>
      <c r="I74" s="145"/>
      <c r="J74" s="138" t="str">
        <f ca="1">IF(AND(J75="completed",J76="completed",J77="completed",J78="completed",J79="completed",J80="completed",J81="completed",J82="completed",J83="completed",J84="completed"),"Deliverable Completed","DELIVERABLE STILL IN PROGRESS")</f>
        <v>DELIVERABLE STILL IN PROGRESS</v>
      </c>
      <c r="K74" s="169"/>
    </row>
    <row r="75" spans="1:12" ht="13.5" customHeight="1" x14ac:dyDescent="0.2">
      <c r="A75" s="499"/>
      <c r="B75" s="146" t="s">
        <v>673</v>
      </c>
      <c r="C75" s="81"/>
      <c r="D75" s="187"/>
      <c r="E75" s="185"/>
      <c r="F75" s="94">
        <f t="shared" ca="1" si="5"/>
        <v>-43388</v>
      </c>
      <c r="G75" s="103"/>
      <c r="H75" s="81"/>
      <c r="I75" s="81"/>
      <c r="J75" s="40" t="str">
        <f t="shared" ref="J75:J84" ca="1" si="6">IF(G75&gt;0,"COMPLETED",(IF(I75&gt;0,"ISSUE IDENTIFIED",(IF(TODAY()&gt;E75,"OVERDUE","In Progress")))))</f>
        <v>OVERDUE</v>
      </c>
      <c r="K75" s="82"/>
    </row>
    <row r="76" spans="1:12" x14ac:dyDescent="0.2">
      <c r="A76" s="499"/>
      <c r="B76" s="157" t="s">
        <v>674</v>
      </c>
      <c r="C76" s="39"/>
      <c r="D76" s="187"/>
      <c r="E76" s="185"/>
      <c r="F76" s="94">
        <f t="shared" ca="1" si="5"/>
        <v>-43388</v>
      </c>
      <c r="G76" s="101"/>
      <c r="H76" s="39"/>
      <c r="I76" s="39"/>
      <c r="J76" s="40" t="str">
        <f t="shared" ca="1" si="6"/>
        <v>OVERDUE</v>
      </c>
      <c r="K76" s="68"/>
    </row>
    <row r="77" spans="1:12" x14ac:dyDescent="0.2">
      <c r="A77" s="499"/>
      <c r="B77" s="157" t="s">
        <v>675</v>
      </c>
      <c r="C77" s="81"/>
      <c r="D77" s="187"/>
      <c r="E77" s="185"/>
      <c r="F77" s="94">
        <f t="shared" ca="1" si="5"/>
        <v>-43388</v>
      </c>
      <c r="G77" s="101"/>
      <c r="H77" s="39"/>
      <c r="I77" s="39"/>
      <c r="J77" s="40" t="str">
        <f t="shared" ca="1" si="6"/>
        <v>OVERDUE</v>
      </c>
      <c r="K77" s="68"/>
    </row>
    <row r="78" spans="1:12" x14ac:dyDescent="0.2">
      <c r="A78" s="499"/>
      <c r="B78" s="157" t="s">
        <v>676</v>
      </c>
      <c r="C78" s="81"/>
      <c r="D78" s="187"/>
      <c r="E78" s="189"/>
      <c r="F78" s="94">
        <f t="shared" ca="1" si="5"/>
        <v>-43388</v>
      </c>
      <c r="G78" s="101"/>
      <c r="H78" s="39"/>
      <c r="I78" s="39"/>
      <c r="J78" s="40" t="str">
        <f t="shared" ca="1" si="6"/>
        <v>OVERDUE</v>
      </c>
      <c r="K78" s="68"/>
    </row>
    <row r="79" spans="1:12" ht="14.25" customHeight="1" x14ac:dyDescent="0.2">
      <c r="A79" s="499"/>
      <c r="B79" s="157" t="s">
        <v>677</v>
      </c>
      <c r="C79" s="39"/>
      <c r="D79" s="187"/>
      <c r="E79" s="189"/>
      <c r="F79" s="94">
        <f t="shared" ca="1" si="5"/>
        <v>-43388</v>
      </c>
      <c r="G79" s="101"/>
      <c r="H79" s="39"/>
      <c r="I79" s="39"/>
      <c r="J79" s="40" t="str">
        <f t="shared" ca="1" si="6"/>
        <v>OVERDUE</v>
      </c>
      <c r="K79" s="68"/>
    </row>
    <row r="80" spans="1:12" ht="25.5" x14ac:dyDescent="0.2">
      <c r="A80" s="499"/>
      <c r="B80" s="157" t="s">
        <v>678</v>
      </c>
      <c r="C80" s="39"/>
      <c r="D80" s="187"/>
      <c r="E80" s="191"/>
      <c r="F80" s="94">
        <f t="shared" ca="1" si="5"/>
        <v>-43388</v>
      </c>
      <c r="G80" s="101"/>
      <c r="H80" s="39"/>
      <c r="I80" s="39"/>
      <c r="J80" s="40" t="str">
        <f t="shared" ca="1" si="6"/>
        <v>OVERDUE</v>
      </c>
      <c r="K80" s="68"/>
    </row>
    <row r="81" spans="1:11" x14ac:dyDescent="0.2">
      <c r="A81" s="499"/>
      <c r="B81" s="146" t="s">
        <v>679</v>
      </c>
      <c r="C81" s="39"/>
      <c r="D81" s="187"/>
      <c r="E81" s="191"/>
      <c r="F81" s="94">
        <f t="shared" ca="1" si="5"/>
        <v>-43388</v>
      </c>
      <c r="G81" s="101"/>
      <c r="H81" s="39"/>
      <c r="I81" s="39"/>
      <c r="J81" s="40" t="str">
        <f t="shared" ca="1" si="6"/>
        <v>OVERDUE</v>
      </c>
      <c r="K81" s="68"/>
    </row>
    <row r="82" spans="1:11" x14ac:dyDescent="0.2">
      <c r="A82" s="499"/>
      <c r="B82" s="146" t="s">
        <v>680</v>
      </c>
      <c r="C82" s="39"/>
      <c r="D82" s="187"/>
      <c r="E82" s="191"/>
      <c r="F82" s="94">
        <f t="shared" ca="1" si="5"/>
        <v>-43388</v>
      </c>
      <c r="G82" s="101"/>
      <c r="H82" s="39"/>
      <c r="I82" s="39"/>
      <c r="J82" s="40" t="str">
        <f t="shared" ca="1" si="6"/>
        <v>OVERDUE</v>
      </c>
      <c r="K82" s="68"/>
    </row>
    <row r="83" spans="1:11" x14ac:dyDescent="0.2">
      <c r="A83" s="499"/>
      <c r="B83" s="146" t="s">
        <v>681</v>
      </c>
      <c r="C83" s="39"/>
      <c r="D83" s="187"/>
      <c r="E83" s="191"/>
      <c r="F83" s="94">
        <f t="shared" ca="1" si="5"/>
        <v>-43388</v>
      </c>
      <c r="G83" s="101"/>
      <c r="H83" s="39"/>
      <c r="I83" s="39"/>
      <c r="J83" s="40" t="str">
        <f t="shared" ca="1" si="6"/>
        <v>OVERDUE</v>
      </c>
      <c r="K83" s="68"/>
    </row>
    <row r="84" spans="1:11" x14ac:dyDescent="0.2">
      <c r="A84" s="499"/>
      <c r="B84" s="148" t="s">
        <v>682</v>
      </c>
      <c r="C84" s="152"/>
      <c r="D84" s="188"/>
      <c r="E84" s="188"/>
      <c r="F84" s="151">
        <f t="shared" ca="1" si="5"/>
        <v>-43388</v>
      </c>
      <c r="G84" s="149"/>
      <c r="H84" s="152"/>
      <c r="I84" s="152"/>
      <c r="J84" s="153" t="str">
        <f t="shared" ca="1" si="6"/>
        <v>OVERDUE</v>
      </c>
      <c r="K84" s="170"/>
    </row>
    <row r="85" spans="1:11" ht="15" x14ac:dyDescent="0.25">
      <c r="A85" s="499"/>
      <c r="B85" s="435" t="s">
        <v>683</v>
      </c>
      <c r="C85" s="145"/>
      <c r="D85" s="408"/>
      <c r="E85" s="408"/>
      <c r="F85" s="270">
        <f t="shared" ca="1" si="5"/>
        <v>-43388</v>
      </c>
      <c r="G85" s="154"/>
      <c r="H85" s="145"/>
      <c r="I85" s="145"/>
      <c r="J85" s="138" t="str">
        <f ca="1">IF(AND(J86="completed",J87="completed",J88="completed",J89="completed",J90="completed",J91="completed"),"Deliverable Completed","DELIVERABLE STILL IN PROGRESS")</f>
        <v>DELIVERABLE STILL IN PROGRESS</v>
      </c>
      <c r="K85" s="169"/>
    </row>
    <row r="86" spans="1:11" x14ac:dyDescent="0.2">
      <c r="A86" s="499"/>
      <c r="B86" s="157" t="s">
        <v>684</v>
      </c>
      <c r="C86" s="39"/>
      <c r="D86" s="187"/>
      <c r="E86" s="185"/>
      <c r="F86" s="94">
        <f t="shared" ca="1" si="5"/>
        <v>-43388</v>
      </c>
      <c r="G86" s="101"/>
      <c r="H86" s="39"/>
      <c r="I86" s="39"/>
      <c r="J86" s="40" t="str">
        <f t="shared" ref="J86:J91" ca="1" si="7">IF(G86&gt;0,"COMPLETED",(IF(I86&gt;0,"ISSUE IDENTIFIED",(IF(TODAY()&gt;E86,"OVERDUE","In Progress")))))</f>
        <v>OVERDUE</v>
      </c>
      <c r="K86" s="68"/>
    </row>
    <row r="87" spans="1:11" x14ac:dyDescent="0.2">
      <c r="A87" s="499"/>
      <c r="B87" s="146" t="s">
        <v>685</v>
      </c>
      <c r="C87" s="39"/>
      <c r="D87" s="187"/>
      <c r="E87" s="187"/>
      <c r="F87" s="94">
        <f t="shared" ca="1" si="5"/>
        <v>-43388</v>
      </c>
      <c r="G87" s="101"/>
      <c r="H87" s="39"/>
      <c r="I87" s="39"/>
      <c r="J87" s="40" t="str">
        <f t="shared" ca="1" si="7"/>
        <v>OVERDUE</v>
      </c>
      <c r="K87" s="68"/>
    </row>
    <row r="88" spans="1:11" ht="15" customHeight="1" x14ac:dyDescent="0.2">
      <c r="A88" s="499"/>
      <c r="B88" s="146" t="s">
        <v>686</v>
      </c>
      <c r="C88" s="39"/>
      <c r="D88" s="187"/>
      <c r="E88" s="187"/>
      <c r="F88" s="94">
        <f t="shared" ca="1" si="5"/>
        <v>-43388</v>
      </c>
      <c r="G88" s="101"/>
      <c r="H88" s="39"/>
      <c r="I88" s="39"/>
      <c r="J88" s="40" t="str">
        <f t="shared" ca="1" si="7"/>
        <v>OVERDUE</v>
      </c>
      <c r="K88" s="68"/>
    </row>
    <row r="89" spans="1:11" ht="15" customHeight="1" x14ac:dyDescent="0.2">
      <c r="A89" s="499"/>
      <c r="B89" s="146" t="s">
        <v>687</v>
      </c>
      <c r="C89" s="39"/>
      <c r="D89" s="187"/>
      <c r="E89" s="187"/>
      <c r="F89" s="94">
        <f t="shared" ca="1" si="5"/>
        <v>-43388</v>
      </c>
      <c r="G89" s="101"/>
      <c r="H89" s="39"/>
      <c r="I89" s="39"/>
      <c r="J89" s="40" t="str">
        <f t="shared" ca="1" si="7"/>
        <v>OVERDUE</v>
      </c>
      <c r="K89" s="68"/>
    </row>
    <row r="90" spans="1:11" ht="15" customHeight="1" x14ac:dyDescent="0.2">
      <c r="A90" s="499"/>
      <c r="B90" s="146" t="s">
        <v>688</v>
      </c>
      <c r="C90" s="39"/>
      <c r="D90" s="187"/>
      <c r="E90" s="187"/>
      <c r="F90" s="94">
        <f t="shared" ca="1" si="5"/>
        <v>-43388</v>
      </c>
      <c r="G90" s="101"/>
      <c r="H90" s="39"/>
      <c r="I90" s="39"/>
      <c r="J90" s="40" t="str">
        <f t="shared" ca="1" si="7"/>
        <v>OVERDUE</v>
      </c>
      <c r="K90" s="68"/>
    </row>
    <row r="91" spans="1:11" s="20" customFormat="1" x14ac:dyDescent="0.2">
      <c r="A91" s="500"/>
      <c r="B91" s="148" t="s">
        <v>689</v>
      </c>
      <c r="C91" s="152"/>
      <c r="D91" s="188"/>
      <c r="E91" s="186"/>
      <c r="F91" s="151">
        <f t="shared" ca="1" si="5"/>
        <v>-43388</v>
      </c>
      <c r="G91" s="150"/>
      <c r="H91" s="163"/>
      <c r="I91" s="163"/>
      <c r="J91" s="153" t="str">
        <f t="shared" ca="1" si="7"/>
        <v>OVERDUE</v>
      </c>
      <c r="K91" s="167"/>
    </row>
    <row r="92" spans="1:11" ht="15" x14ac:dyDescent="0.25">
      <c r="A92" s="499"/>
      <c r="B92" s="435" t="s">
        <v>690</v>
      </c>
      <c r="C92" s="145"/>
      <c r="D92" s="408"/>
      <c r="E92" s="408"/>
      <c r="F92" s="270">
        <f t="shared" ca="1" si="5"/>
        <v>-43388</v>
      </c>
      <c r="G92" s="154"/>
      <c r="H92" s="145"/>
      <c r="I92" s="145"/>
      <c r="J92" s="138" t="str">
        <f ca="1">IF(AND(J93="completed",J94="completed",J95="completed",J96="completed",J97="completed",J98="completed",J99="completed"),"Deliverable Completed","DELIVERABLE STILL IN PROGRESS")</f>
        <v>DELIVERABLE STILL IN PROGRESS</v>
      </c>
      <c r="K92" s="169"/>
    </row>
    <row r="93" spans="1:11" ht="12.75" customHeight="1" x14ac:dyDescent="0.2">
      <c r="A93" s="499"/>
      <c r="B93" s="146" t="s">
        <v>691</v>
      </c>
      <c r="C93" s="39"/>
      <c r="D93" s="187"/>
      <c r="E93" s="187"/>
      <c r="F93" s="94">
        <f t="shared" ca="1" si="5"/>
        <v>-43388</v>
      </c>
      <c r="G93" s="101"/>
      <c r="H93" s="39"/>
      <c r="I93" s="39"/>
      <c r="J93" s="40" t="str">
        <f t="shared" ref="J93:J99" ca="1" si="8">IF(G93&gt;0,"COMPLETED",(IF(I93&gt;0,"ISSUE IDENTIFIED",(IF(TODAY()&gt;E93,"OVERDUE","In Progress")))))</f>
        <v>OVERDUE</v>
      </c>
      <c r="K93" s="68"/>
    </row>
    <row r="94" spans="1:11" x14ac:dyDescent="0.2">
      <c r="A94" s="499"/>
      <c r="B94" s="146" t="s">
        <v>692</v>
      </c>
      <c r="C94" s="39"/>
      <c r="D94" s="187"/>
      <c r="E94" s="187"/>
      <c r="F94" s="94">
        <f t="shared" ca="1" si="5"/>
        <v>-43388</v>
      </c>
      <c r="G94" s="101"/>
      <c r="H94" s="39"/>
      <c r="I94" s="39"/>
      <c r="J94" s="40" t="str">
        <f t="shared" ca="1" si="8"/>
        <v>OVERDUE</v>
      </c>
      <c r="K94" s="68"/>
    </row>
    <row r="95" spans="1:11" x14ac:dyDescent="0.2">
      <c r="A95" s="499"/>
      <c r="B95" s="146" t="s">
        <v>693</v>
      </c>
      <c r="C95" s="39"/>
      <c r="D95" s="187"/>
      <c r="E95" s="187"/>
      <c r="F95" s="94">
        <f t="shared" ca="1" si="5"/>
        <v>-43388</v>
      </c>
      <c r="G95" s="101"/>
      <c r="H95" s="39"/>
      <c r="I95" s="39"/>
      <c r="J95" s="40" t="str">
        <f t="shared" ca="1" si="8"/>
        <v>OVERDUE</v>
      </c>
      <c r="K95" s="68"/>
    </row>
    <row r="96" spans="1:11" x14ac:dyDescent="0.2">
      <c r="A96" s="499"/>
      <c r="B96" s="146" t="s">
        <v>694</v>
      </c>
      <c r="C96" s="39"/>
      <c r="D96" s="187"/>
      <c r="E96" s="187"/>
      <c r="F96" s="94">
        <f t="shared" ca="1" si="5"/>
        <v>-43388</v>
      </c>
      <c r="G96" s="101"/>
      <c r="H96" s="39"/>
      <c r="I96" s="39"/>
      <c r="J96" s="40" t="str">
        <f t="shared" ca="1" si="8"/>
        <v>OVERDUE</v>
      </c>
      <c r="K96" s="68"/>
    </row>
    <row r="97" spans="1:263" x14ac:dyDescent="0.2">
      <c r="A97" s="499"/>
      <c r="B97" s="146" t="s">
        <v>695</v>
      </c>
      <c r="C97" s="39"/>
      <c r="D97" s="187"/>
      <c r="E97" s="187"/>
      <c r="F97" s="94">
        <f t="shared" ca="1" si="5"/>
        <v>-43388</v>
      </c>
      <c r="G97" s="101"/>
      <c r="H97" s="39"/>
      <c r="I97" s="39"/>
      <c r="J97" s="40" t="str">
        <f t="shared" ca="1" si="8"/>
        <v>OVERDUE</v>
      </c>
      <c r="K97" s="68"/>
    </row>
    <row r="98" spans="1:263" x14ac:dyDescent="0.2">
      <c r="A98" s="499"/>
      <c r="B98" s="146" t="s">
        <v>696</v>
      </c>
      <c r="C98" s="39"/>
      <c r="D98" s="187"/>
      <c r="E98" s="187"/>
      <c r="F98" s="94">
        <f t="shared" ca="1" si="5"/>
        <v>-43388</v>
      </c>
      <c r="G98" s="101"/>
      <c r="H98" s="39"/>
      <c r="I98" s="39"/>
      <c r="J98" s="40" t="str">
        <f t="shared" ca="1" si="8"/>
        <v>OVERDUE</v>
      </c>
      <c r="K98" s="68"/>
    </row>
    <row r="99" spans="1:263" x14ac:dyDescent="0.2">
      <c r="A99" s="499"/>
      <c r="B99" s="148" t="s">
        <v>697</v>
      </c>
      <c r="C99" s="152"/>
      <c r="D99" s="188"/>
      <c r="E99" s="188"/>
      <c r="F99" s="151">
        <f t="shared" ca="1" si="5"/>
        <v>-43388</v>
      </c>
      <c r="G99" s="149"/>
      <c r="H99" s="152"/>
      <c r="I99" s="152"/>
      <c r="J99" s="153" t="str">
        <f t="shared" ca="1" si="8"/>
        <v>OVERDUE</v>
      </c>
      <c r="K99" s="170"/>
    </row>
    <row r="100" spans="1:263" ht="15" x14ac:dyDescent="0.25">
      <c r="A100" s="499"/>
      <c r="B100" s="435" t="s">
        <v>698</v>
      </c>
      <c r="C100" s="145"/>
      <c r="D100" s="408"/>
      <c r="E100" s="408"/>
      <c r="F100" s="270">
        <f t="shared" ca="1" si="5"/>
        <v>-43388</v>
      </c>
      <c r="G100" s="154"/>
      <c r="H100" s="145"/>
      <c r="I100" s="145"/>
      <c r="J100" s="138" t="str">
        <f ca="1">IF(AND(J101="completed",J102="completed",J103="completed",J104="completed",J105="completed",J106="completed",J107="completed"),"Deliverable Completed","DELIVERABLE STILL IN PROGRESS")</f>
        <v>DELIVERABLE STILL IN PROGRESS</v>
      </c>
      <c r="K100" s="168"/>
      <c r="L100" s="20"/>
    </row>
    <row r="101" spans="1:263" x14ac:dyDescent="0.2">
      <c r="A101" s="499"/>
      <c r="B101" s="146" t="s">
        <v>699</v>
      </c>
      <c r="C101" s="37"/>
      <c r="D101" s="187"/>
      <c r="E101" s="43"/>
      <c r="F101" s="94">
        <f t="shared" ca="1" si="5"/>
        <v>-43388</v>
      </c>
      <c r="G101" s="43"/>
      <c r="H101" s="37"/>
      <c r="I101" s="37"/>
      <c r="J101" s="40" t="str">
        <f t="shared" ref="J101:J107" ca="1" si="9">IF(G101&gt;0,"COMPLETED",(IF(I101&gt;0,"ISSUE IDENTIFIED",(IF(TODAY()&gt;E101,"OVERDUE","In Progress")))))</f>
        <v>OVERDUE</v>
      </c>
      <c r="K101" s="65"/>
    </row>
    <row r="102" spans="1:263" x14ac:dyDescent="0.2">
      <c r="A102" s="499"/>
      <c r="B102" s="146" t="s">
        <v>700</v>
      </c>
      <c r="C102" s="39"/>
      <c r="D102" s="187"/>
      <c r="E102" s="187"/>
      <c r="F102" s="94">
        <f t="shared" ca="1" si="5"/>
        <v>-43388</v>
      </c>
      <c r="G102" s="101"/>
      <c r="H102" s="39"/>
      <c r="I102" s="39"/>
      <c r="J102" s="40" t="str">
        <f t="shared" ca="1" si="9"/>
        <v>OVERDUE</v>
      </c>
      <c r="K102" s="85"/>
      <c r="L102" s="20"/>
    </row>
    <row r="103" spans="1:263" x14ac:dyDescent="0.2">
      <c r="A103" s="499"/>
      <c r="B103" s="146" t="s">
        <v>701</v>
      </c>
      <c r="C103" s="39"/>
      <c r="D103" s="187"/>
      <c r="E103" s="187"/>
      <c r="F103" s="94">
        <f t="shared" ca="1" si="5"/>
        <v>-43388</v>
      </c>
      <c r="G103" s="101"/>
      <c r="H103" s="39"/>
      <c r="I103" s="39"/>
      <c r="J103" s="40" t="str">
        <f t="shared" ca="1" si="9"/>
        <v>OVERDUE</v>
      </c>
      <c r="K103" s="85"/>
      <c r="L103" s="20"/>
    </row>
    <row r="104" spans="1:263" x14ac:dyDescent="0.2">
      <c r="A104" s="499"/>
      <c r="B104" s="146" t="s">
        <v>702</v>
      </c>
      <c r="C104" s="39"/>
      <c r="D104" s="187"/>
      <c r="E104" s="187"/>
      <c r="F104" s="94">
        <f t="shared" ca="1" si="5"/>
        <v>-43388</v>
      </c>
      <c r="G104" s="101"/>
      <c r="H104" s="39"/>
      <c r="I104" s="39"/>
      <c r="J104" s="40" t="str">
        <f t="shared" ca="1" si="9"/>
        <v>OVERDUE</v>
      </c>
      <c r="K104" s="85"/>
      <c r="L104" s="20"/>
    </row>
    <row r="105" spans="1:263" x14ac:dyDescent="0.2">
      <c r="A105" s="499"/>
      <c r="B105" s="146" t="s">
        <v>703</v>
      </c>
      <c r="C105" s="39"/>
      <c r="D105" s="187"/>
      <c r="E105" s="187"/>
      <c r="F105" s="94">
        <f t="shared" ca="1" si="5"/>
        <v>-43388</v>
      </c>
      <c r="G105" s="101"/>
      <c r="H105" s="39"/>
      <c r="I105" s="39"/>
      <c r="J105" s="40" t="str">
        <f t="shared" ca="1" si="9"/>
        <v>OVERDUE</v>
      </c>
      <c r="K105" s="85"/>
      <c r="L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  <c r="HW105" s="20"/>
      <c r="HX105" s="20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20"/>
      <c r="IY105" s="20"/>
      <c r="IZ105" s="20"/>
      <c r="JA105" s="20"/>
      <c r="JB105" s="20"/>
      <c r="JC105" s="20"/>
    </row>
    <row r="106" spans="1:263" x14ac:dyDescent="0.2">
      <c r="A106" s="499"/>
      <c r="B106" s="146" t="s">
        <v>704</v>
      </c>
      <c r="C106" s="39"/>
      <c r="D106" s="187"/>
      <c r="E106" s="187"/>
      <c r="F106" s="94">
        <f t="shared" ca="1" si="5"/>
        <v>-43388</v>
      </c>
      <c r="G106" s="101"/>
      <c r="H106" s="39"/>
      <c r="I106" s="39"/>
      <c r="J106" s="40" t="str">
        <f t="shared" ca="1" si="9"/>
        <v>OVERDUE</v>
      </c>
      <c r="K106" s="85"/>
      <c r="L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  <c r="HW106" s="20"/>
      <c r="HX106" s="20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20"/>
      <c r="IY106" s="20"/>
      <c r="IZ106" s="20"/>
      <c r="JA106" s="20"/>
      <c r="JB106" s="20"/>
      <c r="JC106" s="20"/>
    </row>
    <row r="107" spans="1:263" x14ac:dyDescent="0.2">
      <c r="A107" s="499"/>
      <c r="B107" s="148" t="s">
        <v>705</v>
      </c>
      <c r="C107" s="164"/>
      <c r="D107" s="188"/>
      <c r="E107" s="188"/>
      <c r="F107" s="151">
        <f t="shared" ca="1" si="5"/>
        <v>-43388</v>
      </c>
      <c r="G107" s="149"/>
      <c r="H107" s="152"/>
      <c r="I107" s="152"/>
      <c r="J107" s="153" t="str">
        <f t="shared" ca="1" si="9"/>
        <v>OVERDUE</v>
      </c>
      <c r="K107" s="167"/>
      <c r="L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</row>
    <row r="108" spans="1:263" ht="15" x14ac:dyDescent="0.25">
      <c r="A108" s="499"/>
      <c r="B108" s="435" t="s">
        <v>706</v>
      </c>
      <c r="C108" s="145"/>
      <c r="D108" s="408"/>
      <c r="E108" s="408"/>
      <c r="F108" s="270">
        <f t="shared" ca="1" si="5"/>
        <v>-43388</v>
      </c>
      <c r="G108" s="154"/>
      <c r="H108" s="145"/>
      <c r="I108" s="145"/>
      <c r="J108" s="138" t="str">
        <f ca="1">IF(AND(J109="completed",J110="completed",J111="completed",J112="completed",J113="completed",J114="completed"),"Deliverable Completed","DELIVERABLE STILL IN PROGRESS")</f>
        <v>DELIVERABLE STILL IN PROGRESS</v>
      </c>
      <c r="K108" s="168"/>
      <c r="L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  <c r="HW108" s="20"/>
      <c r="HX108" s="20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20"/>
      <c r="IY108" s="20"/>
      <c r="IZ108" s="20"/>
      <c r="JA108" s="20"/>
      <c r="JB108" s="20"/>
      <c r="JC108" s="20"/>
    </row>
    <row r="109" spans="1:263" x14ac:dyDescent="0.2">
      <c r="A109" s="499"/>
      <c r="B109" s="146" t="s">
        <v>707</v>
      </c>
      <c r="C109" s="39"/>
      <c r="D109" s="187"/>
      <c r="E109" s="187"/>
      <c r="F109" s="94">
        <f t="shared" ca="1" si="5"/>
        <v>-43388</v>
      </c>
      <c r="G109" s="101"/>
      <c r="H109" s="39"/>
      <c r="I109" s="39"/>
      <c r="J109" s="40" t="str">
        <f t="shared" ref="J109:J114" ca="1" si="10">IF(G109&gt;0,"COMPLETED",(IF(I109&gt;0,"ISSUE IDENTIFIED",(IF(TODAY()&gt;E109,"OVERDUE","In Progress")))))</f>
        <v>OVERDUE</v>
      </c>
      <c r="K109" s="85"/>
      <c r="L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  <c r="HW109" s="20"/>
      <c r="HX109" s="20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20"/>
      <c r="IY109" s="20"/>
      <c r="IZ109" s="20"/>
      <c r="JA109" s="20"/>
      <c r="JB109" s="20"/>
      <c r="JC109" s="20"/>
    </row>
    <row r="110" spans="1:263" x14ac:dyDescent="0.2">
      <c r="A110" s="499"/>
      <c r="B110" s="146" t="s">
        <v>708</v>
      </c>
      <c r="C110" s="39"/>
      <c r="D110" s="187"/>
      <c r="E110" s="187"/>
      <c r="F110" s="94">
        <f t="shared" ca="1" si="5"/>
        <v>-43388</v>
      </c>
      <c r="G110" s="101"/>
      <c r="H110" s="39"/>
      <c r="I110" s="39"/>
      <c r="J110" s="40" t="str">
        <f t="shared" ca="1" si="10"/>
        <v>OVERDUE</v>
      </c>
      <c r="K110" s="85"/>
      <c r="L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  <c r="HW110" s="20"/>
      <c r="HX110" s="20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20"/>
      <c r="IY110" s="20"/>
      <c r="IZ110" s="20"/>
      <c r="JA110" s="20"/>
      <c r="JB110" s="20"/>
      <c r="JC110" s="20"/>
    </row>
    <row r="111" spans="1:263" x14ac:dyDescent="0.2">
      <c r="A111" s="499"/>
      <c r="B111" s="146" t="s">
        <v>709</v>
      </c>
      <c r="C111" s="39"/>
      <c r="D111" s="187"/>
      <c r="E111" s="187"/>
      <c r="F111" s="94">
        <f t="shared" ca="1" si="5"/>
        <v>-43388</v>
      </c>
      <c r="G111" s="283"/>
      <c r="H111" s="39"/>
      <c r="I111" s="39"/>
      <c r="J111" s="40" t="str">
        <f t="shared" ca="1" si="10"/>
        <v>OVERDUE</v>
      </c>
      <c r="K111" s="85"/>
      <c r="L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  <c r="HW111" s="20"/>
      <c r="HX111" s="20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20"/>
      <c r="IY111" s="20"/>
      <c r="IZ111" s="20"/>
      <c r="JA111" s="20"/>
      <c r="JB111" s="20"/>
      <c r="JC111" s="20"/>
    </row>
    <row r="112" spans="1:263" x14ac:dyDescent="0.2">
      <c r="A112" s="499"/>
      <c r="B112" s="146" t="s">
        <v>710</v>
      </c>
      <c r="C112" s="39"/>
      <c r="D112" s="187"/>
      <c r="E112" s="187"/>
      <c r="F112" s="94">
        <f t="shared" ca="1" si="5"/>
        <v>-43388</v>
      </c>
      <c r="G112" s="101"/>
      <c r="H112" s="39"/>
      <c r="I112" s="39"/>
      <c r="J112" s="40" t="str">
        <f t="shared" ca="1" si="10"/>
        <v>OVERDUE</v>
      </c>
      <c r="K112" s="85"/>
      <c r="L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  <c r="HW112" s="20"/>
      <c r="HX112" s="20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20"/>
      <c r="IY112" s="20"/>
      <c r="IZ112" s="20"/>
      <c r="JA112" s="20"/>
      <c r="JB112" s="20"/>
      <c r="JC112" s="20"/>
    </row>
    <row r="113" spans="1:263" x14ac:dyDescent="0.2">
      <c r="A113" s="499"/>
      <c r="B113" s="146" t="s">
        <v>711</v>
      </c>
      <c r="C113" s="39"/>
      <c r="D113" s="187"/>
      <c r="E113" s="187"/>
      <c r="F113" s="94">
        <f t="shared" ca="1" si="5"/>
        <v>-43388</v>
      </c>
      <c r="G113" s="101"/>
      <c r="H113" s="39"/>
      <c r="I113" s="39"/>
      <c r="J113" s="40" t="str">
        <f t="shared" ca="1" si="10"/>
        <v>OVERDUE</v>
      </c>
      <c r="K113" s="85"/>
      <c r="L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  <c r="HW113" s="20"/>
      <c r="HX113" s="20"/>
      <c r="HY113" s="20"/>
      <c r="HZ113" s="20"/>
      <c r="IA113" s="20"/>
      <c r="IB113" s="20"/>
      <c r="IC113" s="20"/>
      <c r="ID113" s="20"/>
      <c r="IE113" s="20"/>
      <c r="IF113" s="20"/>
      <c r="IG113" s="20"/>
      <c r="IH113" s="20"/>
      <c r="II113" s="20"/>
      <c r="IJ113" s="20"/>
      <c r="IK113" s="20"/>
      <c r="IL113" s="20"/>
      <c r="IM113" s="20"/>
      <c r="IN113" s="20"/>
      <c r="IO113" s="20"/>
      <c r="IP113" s="20"/>
      <c r="IQ113" s="20"/>
      <c r="IR113" s="20"/>
      <c r="IS113" s="20"/>
      <c r="IT113" s="20"/>
      <c r="IU113" s="20"/>
      <c r="IV113" s="20"/>
      <c r="IW113" s="20"/>
      <c r="IX113" s="20"/>
      <c r="IY113" s="20"/>
      <c r="IZ113" s="20"/>
      <c r="JA113" s="20"/>
      <c r="JB113" s="20"/>
      <c r="JC113" s="20"/>
    </row>
    <row r="114" spans="1:263" x14ac:dyDescent="0.2">
      <c r="A114" s="499"/>
      <c r="B114" s="148" t="s">
        <v>712</v>
      </c>
      <c r="C114" s="152"/>
      <c r="D114" s="188"/>
      <c r="E114" s="188"/>
      <c r="F114" s="151">
        <f t="shared" ca="1" si="5"/>
        <v>-43388</v>
      </c>
      <c r="G114" s="149"/>
      <c r="H114" s="152"/>
      <c r="I114" s="152"/>
      <c r="J114" s="153" t="str">
        <f t="shared" ca="1" si="10"/>
        <v>OVERDUE</v>
      </c>
      <c r="K114" s="167"/>
      <c r="L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  <c r="HW114" s="20"/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/>
      <c r="IN114" s="20"/>
      <c r="IO114" s="20"/>
      <c r="IP114" s="20"/>
      <c r="IQ114" s="20"/>
      <c r="IR114" s="20"/>
      <c r="IS114" s="20"/>
      <c r="IT114" s="20"/>
      <c r="IU114" s="20"/>
      <c r="IV114" s="20"/>
      <c r="IW114" s="20"/>
      <c r="IX114" s="20"/>
      <c r="IY114" s="20"/>
      <c r="IZ114" s="20"/>
      <c r="JA114" s="20"/>
      <c r="JB114" s="20"/>
      <c r="JC114" s="20"/>
    </row>
    <row r="115" spans="1:263" ht="15" x14ac:dyDescent="0.25">
      <c r="A115" s="499"/>
      <c r="B115" s="435" t="s">
        <v>713</v>
      </c>
      <c r="C115" s="145"/>
      <c r="D115" s="408"/>
      <c r="E115" s="408"/>
      <c r="F115" s="270">
        <f t="shared" ca="1" si="5"/>
        <v>-43388</v>
      </c>
      <c r="G115" s="154"/>
      <c r="H115" s="145"/>
      <c r="I115" s="145"/>
      <c r="J115" s="138" t="str">
        <f ca="1">IF(AND(J116="completed",J117="completed",J118="completed",J119="completed",J120="completed",J121="completed",J122="completed",J123="completed",J124="completed",J125="completed",J126="completed",J127="completed",J128="completed",J129="completed",J130="completed",J131="completed",J132="completed",J133="completed",J134="completed",J135="completed",J136="completed",J137="completed"),"Deliverable Completed","DELIVERABLE STILL IN PROGRESS")</f>
        <v>DELIVERABLE STILL IN PROGRESS</v>
      </c>
      <c r="K115" s="168"/>
      <c r="L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  <c r="IW115" s="20"/>
      <c r="IX115" s="20"/>
      <c r="IY115" s="20"/>
      <c r="IZ115" s="20"/>
      <c r="JA115" s="20"/>
      <c r="JB115" s="20"/>
      <c r="JC115" s="20"/>
    </row>
    <row r="116" spans="1:263" x14ac:dyDescent="0.2">
      <c r="A116" s="499"/>
      <c r="B116" s="192" t="s">
        <v>714</v>
      </c>
      <c r="C116" s="81"/>
      <c r="D116" s="199"/>
      <c r="E116" s="199"/>
      <c r="F116" s="94">
        <f t="shared" ca="1" si="5"/>
        <v>-43388</v>
      </c>
      <c r="G116" s="103"/>
      <c r="H116" s="81"/>
      <c r="I116" s="81"/>
      <c r="J116" s="40" t="str">
        <f t="shared" ref="J116:J137" ca="1" si="11">IF(G116&gt;0,"COMPLETED",(IF(I116&gt;0,"ISSUE IDENTIFIED",(IF(TODAY()&gt;E116,"OVERDUE","In Progress")))))</f>
        <v>OVERDUE</v>
      </c>
      <c r="K116" s="198"/>
      <c r="L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  <c r="HW116" s="20"/>
      <c r="HX116" s="20"/>
      <c r="HY116" s="20"/>
      <c r="HZ116" s="20"/>
      <c r="IA116" s="20"/>
      <c r="IB116" s="20"/>
      <c r="IC116" s="20"/>
      <c r="ID116" s="20"/>
      <c r="IE116" s="20"/>
      <c r="IF116" s="20"/>
      <c r="IG116" s="20"/>
      <c r="IH116" s="20"/>
      <c r="II116" s="20"/>
      <c r="IJ116" s="20"/>
      <c r="IK116" s="20"/>
      <c r="IL116" s="20"/>
      <c r="IM116" s="20"/>
      <c r="IN116" s="20"/>
      <c r="IO116" s="20"/>
      <c r="IP116" s="20"/>
      <c r="IQ116" s="20"/>
      <c r="IR116" s="20"/>
      <c r="IS116" s="20"/>
      <c r="IT116" s="20"/>
      <c r="IU116" s="20"/>
      <c r="IV116" s="20"/>
      <c r="IW116" s="20"/>
      <c r="IX116" s="20"/>
      <c r="IY116" s="20"/>
      <c r="IZ116" s="20"/>
      <c r="JA116" s="20"/>
      <c r="JB116" s="20"/>
      <c r="JC116" s="20"/>
    </row>
    <row r="117" spans="1:263" x14ac:dyDescent="0.2">
      <c r="A117" s="499"/>
      <c r="B117" s="271" t="s">
        <v>715</v>
      </c>
      <c r="C117" s="39"/>
      <c r="D117" s="187"/>
      <c r="E117" s="185"/>
      <c r="F117" s="94">
        <f t="shared" ca="1" si="5"/>
        <v>-43388</v>
      </c>
      <c r="G117" s="101"/>
      <c r="H117" s="39"/>
      <c r="I117" s="39"/>
      <c r="J117" s="40" t="str">
        <f t="shared" ca="1" si="11"/>
        <v>OVERDUE</v>
      </c>
      <c r="K117" s="85"/>
      <c r="L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  <c r="HW117" s="20"/>
      <c r="HX117" s="20"/>
      <c r="HY117" s="20"/>
      <c r="HZ117" s="20"/>
      <c r="IA117" s="20"/>
      <c r="IB117" s="20"/>
      <c r="IC117" s="20"/>
      <c r="ID117" s="20"/>
      <c r="IE117" s="20"/>
      <c r="IF117" s="20"/>
      <c r="IG117" s="20"/>
      <c r="IH117" s="20"/>
      <c r="II117" s="20"/>
      <c r="IJ117" s="20"/>
      <c r="IK117" s="20"/>
      <c r="IL117" s="20"/>
      <c r="IM117" s="20"/>
      <c r="IN117" s="20"/>
      <c r="IO117" s="20"/>
      <c r="IP117" s="20"/>
      <c r="IQ117" s="20"/>
      <c r="IR117" s="20"/>
      <c r="IS117" s="20"/>
      <c r="IT117" s="20"/>
      <c r="IU117" s="20"/>
      <c r="IV117" s="20"/>
      <c r="IW117" s="20"/>
      <c r="IX117" s="20"/>
      <c r="IY117" s="20"/>
      <c r="IZ117" s="20"/>
      <c r="JA117" s="20"/>
      <c r="JB117" s="20"/>
      <c r="JC117" s="20"/>
    </row>
    <row r="118" spans="1:263" ht="13.9" customHeight="1" x14ac:dyDescent="0.2">
      <c r="A118" s="499"/>
      <c r="B118" s="195" t="s">
        <v>716</v>
      </c>
      <c r="C118" s="39"/>
      <c r="D118" s="187"/>
      <c r="E118" s="185"/>
      <c r="F118" s="94">
        <f t="shared" ca="1" si="5"/>
        <v>-43388</v>
      </c>
      <c r="G118" s="101"/>
      <c r="H118" s="39"/>
      <c r="I118" s="39"/>
      <c r="J118" s="40" t="str">
        <f t="shared" ca="1" si="11"/>
        <v>OVERDUE</v>
      </c>
      <c r="K118" s="85"/>
      <c r="L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  <c r="IW118" s="20"/>
      <c r="IX118" s="20"/>
      <c r="IY118" s="20"/>
      <c r="IZ118" s="20"/>
      <c r="JA118" s="20"/>
      <c r="JB118" s="20"/>
      <c r="JC118" s="20"/>
    </row>
    <row r="119" spans="1:263" ht="13.9" customHeight="1" x14ac:dyDescent="0.2">
      <c r="A119" s="499"/>
      <c r="B119" s="195" t="s">
        <v>717</v>
      </c>
      <c r="C119" s="39"/>
      <c r="D119" s="187"/>
      <c r="E119" s="185"/>
      <c r="F119" s="94">
        <f t="shared" ca="1" si="5"/>
        <v>-43388</v>
      </c>
      <c r="G119" s="101"/>
      <c r="H119" s="39"/>
      <c r="I119" s="39"/>
      <c r="J119" s="40" t="str">
        <f t="shared" ca="1" si="11"/>
        <v>OVERDUE</v>
      </c>
      <c r="K119" s="85"/>
      <c r="L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  <c r="HW119" s="20"/>
      <c r="HX119" s="20"/>
      <c r="HY119" s="20"/>
      <c r="HZ119" s="20"/>
      <c r="IA119" s="20"/>
      <c r="IB119" s="20"/>
      <c r="IC119" s="20"/>
      <c r="ID119" s="20"/>
      <c r="IE119" s="20"/>
      <c r="IF119" s="20"/>
      <c r="IG119" s="20"/>
      <c r="IH119" s="20"/>
      <c r="II119" s="20"/>
      <c r="IJ119" s="20"/>
      <c r="IK119" s="20"/>
      <c r="IL119" s="20"/>
      <c r="IM119" s="20"/>
      <c r="IN119" s="20"/>
      <c r="IO119" s="20"/>
      <c r="IP119" s="20"/>
      <c r="IQ119" s="20"/>
      <c r="IR119" s="20"/>
      <c r="IS119" s="20"/>
      <c r="IT119" s="20"/>
      <c r="IU119" s="20"/>
      <c r="IV119" s="20"/>
      <c r="IW119" s="20"/>
      <c r="IX119" s="20"/>
      <c r="IY119" s="20"/>
      <c r="IZ119" s="20"/>
      <c r="JA119" s="20"/>
      <c r="JB119" s="20"/>
      <c r="JC119" s="20"/>
    </row>
    <row r="120" spans="1:263" ht="13.9" customHeight="1" x14ac:dyDescent="0.2">
      <c r="A120" s="499"/>
      <c r="B120" s="146" t="s">
        <v>718</v>
      </c>
      <c r="C120" s="39"/>
      <c r="D120" s="187"/>
      <c r="E120" s="185"/>
      <c r="F120" s="94">
        <f t="shared" ca="1" si="5"/>
        <v>-43388</v>
      </c>
      <c r="G120" s="101"/>
      <c r="H120" s="39"/>
      <c r="I120" s="39"/>
      <c r="J120" s="40" t="str">
        <f t="shared" ca="1" si="11"/>
        <v>OVERDUE</v>
      </c>
      <c r="K120" s="85"/>
      <c r="L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  <c r="HW120" s="20"/>
      <c r="HX120" s="20"/>
      <c r="HY120" s="20"/>
      <c r="HZ120" s="20"/>
      <c r="IA120" s="20"/>
      <c r="IB120" s="20"/>
      <c r="IC120" s="20"/>
      <c r="ID120" s="20"/>
      <c r="IE120" s="20"/>
      <c r="IF120" s="20"/>
      <c r="IG120" s="20"/>
      <c r="IH120" s="20"/>
      <c r="II120" s="20"/>
      <c r="IJ120" s="20"/>
      <c r="IK120" s="20"/>
      <c r="IL120" s="20"/>
      <c r="IM120" s="20"/>
      <c r="IN120" s="20"/>
      <c r="IO120" s="20"/>
      <c r="IP120" s="20"/>
      <c r="IQ120" s="20"/>
      <c r="IR120" s="20"/>
      <c r="IS120" s="20"/>
      <c r="IT120" s="20"/>
      <c r="IU120" s="20"/>
      <c r="IV120" s="20"/>
      <c r="IW120" s="20"/>
      <c r="IX120" s="20"/>
      <c r="IY120" s="20"/>
      <c r="IZ120" s="20"/>
      <c r="JA120" s="20"/>
      <c r="JB120" s="20"/>
      <c r="JC120" s="20"/>
    </row>
    <row r="121" spans="1:263" ht="13.9" customHeight="1" x14ac:dyDescent="0.2">
      <c r="A121" s="499"/>
      <c r="B121" s="146" t="s">
        <v>719</v>
      </c>
      <c r="C121" s="39"/>
      <c r="D121" s="187"/>
      <c r="E121" s="185"/>
      <c r="F121" s="94">
        <f t="shared" ca="1" si="5"/>
        <v>-43388</v>
      </c>
      <c r="G121" s="101"/>
      <c r="H121" s="39"/>
      <c r="I121" s="39"/>
      <c r="J121" s="40" t="str">
        <f t="shared" ca="1" si="11"/>
        <v>OVERDUE</v>
      </c>
      <c r="K121" s="85"/>
      <c r="L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  <c r="HW121" s="20"/>
      <c r="HX121" s="20"/>
      <c r="HY121" s="20"/>
      <c r="HZ121" s="20"/>
      <c r="IA121" s="20"/>
      <c r="IB121" s="20"/>
      <c r="IC121" s="20"/>
      <c r="ID121" s="20"/>
      <c r="IE121" s="20"/>
      <c r="IF121" s="20"/>
      <c r="IG121" s="20"/>
      <c r="IH121" s="20"/>
      <c r="II121" s="20"/>
      <c r="IJ121" s="20"/>
      <c r="IK121" s="20"/>
      <c r="IL121" s="20"/>
      <c r="IM121" s="20"/>
      <c r="IN121" s="20"/>
      <c r="IO121" s="20"/>
      <c r="IP121" s="20"/>
      <c r="IQ121" s="20"/>
      <c r="IR121" s="20"/>
      <c r="IS121" s="20"/>
      <c r="IT121" s="20"/>
      <c r="IU121" s="20"/>
      <c r="IV121" s="20"/>
      <c r="IW121" s="20"/>
      <c r="IX121" s="20"/>
      <c r="IY121" s="20"/>
      <c r="IZ121" s="20"/>
      <c r="JA121" s="20"/>
      <c r="JB121" s="20"/>
      <c r="JC121" s="20"/>
    </row>
    <row r="122" spans="1:263" ht="13.9" customHeight="1" x14ac:dyDescent="0.2">
      <c r="A122" s="499"/>
      <c r="B122" s="146" t="s">
        <v>720</v>
      </c>
      <c r="C122" s="39"/>
      <c r="D122" s="187"/>
      <c r="E122" s="185"/>
      <c r="F122" s="94">
        <f t="shared" ca="1" si="5"/>
        <v>-43388</v>
      </c>
      <c r="G122" s="101"/>
      <c r="H122" s="39"/>
      <c r="I122" s="39"/>
      <c r="J122" s="40" t="str">
        <f t="shared" ca="1" si="11"/>
        <v>OVERDUE</v>
      </c>
      <c r="K122" s="85"/>
      <c r="L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  <c r="HW122" s="20"/>
      <c r="HX122" s="20"/>
      <c r="HY122" s="20"/>
      <c r="HZ122" s="20"/>
      <c r="IA122" s="20"/>
      <c r="IB122" s="20"/>
      <c r="IC122" s="20"/>
      <c r="ID122" s="20"/>
      <c r="IE122" s="20"/>
      <c r="IF122" s="20"/>
      <c r="IG122" s="20"/>
      <c r="IH122" s="20"/>
      <c r="II122" s="20"/>
      <c r="IJ122" s="20"/>
      <c r="IK122" s="20"/>
      <c r="IL122" s="20"/>
      <c r="IM122" s="20"/>
      <c r="IN122" s="20"/>
      <c r="IO122" s="20"/>
      <c r="IP122" s="20"/>
      <c r="IQ122" s="20"/>
      <c r="IR122" s="20"/>
      <c r="IS122" s="20"/>
      <c r="IT122" s="20"/>
      <c r="IU122" s="20"/>
      <c r="IV122" s="20"/>
      <c r="IW122" s="20"/>
      <c r="IX122" s="20"/>
      <c r="IY122" s="20"/>
      <c r="IZ122" s="20"/>
      <c r="JA122" s="20"/>
      <c r="JB122" s="20"/>
      <c r="JC122" s="20"/>
    </row>
    <row r="123" spans="1:263" ht="13.9" customHeight="1" x14ac:dyDescent="0.2">
      <c r="A123" s="499"/>
      <c r="B123" s="146" t="s">
        <v>721</v>
      </c>
      <c r="C123" s="39"/>
      <c r="D123" s="187"/>
      <c r="E123" s="185"/>
      <c r="F123" s="94">
        <f t="shared" ca="1" si="5"/>
        <v>-43388</v>
      </c>
      <c r="G123" s="101"/>
      <c r="H123" s="39"/>
      <c r="I123" s="39"/>
      <c r="J123" s="40" t="str">
        <f t="shared" ca="1" si="11"/>
        <v>OVERDUE</v>
      </c>
      <c r="K123" s="85"/>
      <c r="L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  <c r="HW123" s="20"/>
      <c r="HX123" s="20"/>
      <c r="HY123" s="20"/>
      <c r="HZ123" s="20"/>
      <c r="IA123" s="20"/>
      <c r="IB123" s="20"/>
      <c r="IC123" s="20"/>
      <c r="ID123" s="20"/>
      <c r="IE123" s="20"/>
      <c r="IF123" s="20"/>
      <c r="IG123" s="20"/>
      <c r="IH123" s="20"/>
      <c r="II123" s="20"/>
      <c r="IJ123" s="20"/>
      <c r="IK123" s="20"/>
      <c r="IL123" s="20"/>
      <c r="IM123" s="20"/>
      <c r="IN123" s="20"/>
      <c r="IO123" s="20"/>
      <c r="IP123" s="20"/>
      <c r="IQ123" s="20"/>
      <c r="IR123" s="20"/>
      <c r="IS123" s="20"/>
      <c r="IT123" s="20"/>
      <c r="IU123" s="20"/>
      <c r="IV123" s="20"/>
      <c r="IW123" s="20"/>
      <c r="IX123" s="20"/>
      <c r="IY123" s="20"/>
      <c r="IZ123" s="20"/>
      <c r="JA123" s="20"/>
      <c r="JB123" s="20"/>
      <c r="JC123" s="20"/>
    </row>
    <row r="124" spans="1:263" ht="13.9" customHeight="1" x14ac:dyDescent="0.2">
      <c r="A124" s="499"/>
      <c r="B124" s="146" t="s">
        <v>722</v>
      </c>
      <c r="C124" s="39"/>
      <c r="D124" s="187"/>
      <c r="E124" s="185"/>
      <c r="F124" s="94">
        <f t="shared" ca="1" si="5"/>
        <v>-43388</v>
      </c>
      <c r="G124" s="101"/>
      <c r="H124" s="39"/>
      <c r="I124" s="39"/>
      <c r="J124" s="40" t="str">
        <f t="shared" ca="1" si="11"/>
        <v>OVERDUE</v>
      </c>
      <c r="K124" s="85"/>
      <c r="L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  <c r="HW124" s="20"/>
      <c r="HX124" s="20"/>
      <c r="HY124" s="20"/>
      <c r="HZ124" s="20"/>
      <c r="IA124" s="20"/>
      <c r="IB124" s="20"/>
      <c r="IC124" s="20"/>
      <c r="ID124" s="20"/>
      <c r="IE124" s="20"/>
      <c r="IF124" s="20"/>
      <c r="IG124" s="20"/>
      <c r="IH124" s="20"/>
      <c r="II124" s="20"/>
      <c r="IJ124" s="20"/>
      <c r="IK124" s="20"/>
      <c r="IL124" s="20"/>
      <c r="IM124" s="20"/>
      <c r="IN124" s="20"/>
      <c r="IO124" s="20"/>
      <c r="IP124" s="20"/>
      <c r="IQ124" s="20"/>
      <c r="IR124" s="20"/>
      <c r="IS124" s="20"/>
      <c r="IT124" s="20"/>
      <c r="IU124" s="20"/>
      <c r="IV124" s="20"/>
      <c r="IW124" s="20"/>
      <c r="IX124" s="20"/>
      <c r="IY124" s="20"/>
      <c r="IZ124" s="20"/>
      <c r="JA124" s="20"/>
      <c r="JB124" s="20"/>
      <c r="JC124" s="20"/>
    </row>
    <row r="125" spans="1:263" ht="13.9" customHeight="1" x14ac:dyDescent="0.2">
      <c r="A125" s="499"/>
      <c r="B125" s="155" t="s">
        <v>723</v>
      </c>
      <c r="C125" s="39"/>
      <c r="D125" s="187"/>
      <c r="E125" s="185"/>
      <c r="F125" s="94">
        <f t="shared" ca="1" si="5"/>
        <v>-43388</v>
      </c>
      <c r="G125" s="101"/>
      <c r="H125" s="39"/>
      <c r="I125" s="39"/>
      <c r="J125" s="40" t="str">
        <f t="shared" ca="1" si="11"/>
        <v>OVERDUE</v>
      </c>
      <c r="K125" s="85"/>
      <c r="L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  <c r="HW125" s="20"/>
      <c r="HX125" s="20"/>
      <c r="HY125" s="20"/>
      <c r="HZ125" s="20"/>
      <c r="IA125" s="20"/>
      <c r="IB125" s="20"/>
      <c r="IC125" s="20"/>
      <c r="ID125" s="20"/>
      <c r="IE125" s="20"/>
      <c r="IF125" s="20"/>
      <c r="IG125" s="20"/>
      <c r="IH125" s="20"/>
      <c r="II125" s="20"/>
      <c r="IJ125" s="20"/>
      <c r="IK125" s="20"/>
      <c r="IL125" s="20"/>
      <c r="IM125" s="20"/>
      <c r="IN125" s="20"/>
      <c r="IO125" s="20"/>
      <c r="IP125" s="20"/>
      <c r="IQ125" s="20"/>
      <c r="IR125" s="20"/>
      <c r="IS125" s="20"/>
      <c r="IT125" s="20"/>
      <c r="IU125" s="20"/>
      <c r="IV125" s="20"/>
      <c r="IW125" s="20"/>
      <c r="IX125" s="20"/>
      <c r="IY125" s="20"/>
      <c r="IZ125" s="20"/>
      <c r="JA125" s="20"/>
      <c r="JB125" s="20"/>
      <c r="JC125" s="20"/>
    </row>
    <row r="126" spans="1:263" ht="13.9" customHeight="1" x14ac:dyDescent="0.2">
      <c r="A126" s="499"/>
      <c r="B126" s="155" t="s">
        <v>724</v>
      </c>
      <c r="C126" s="39"/>
      <c r="D126" s="187"/>
      <c r="E126" s="185"/>
      <c r="F126" s="94">
        <f t="shared" ca="1" si="5"/>
        <v>-43388</v>
      </c>
      <c r="G126" s="101"/>
      <c r="H126" s="39"/>
      <c r="I126" s="39"/>
      <c r="J126" s="40" t="str">
        <f t="shared" ca="1" si="11"/>
        <v>OVERDUE</v>
      </c>
      <c r="K126" s="85"/>
      <c r="L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  <c r="HW126" s="20"/>
      <c r="HX126" s="20"/>
      <c r="HY126" s="20"/>
      <c r="HZ126" s="20"/>
      <c r="IA126" s="20"/>
      <c r="IB126" s="20"/>
      <c r="IC126" s="20"/>
      <c r="ID126" s="20"/>
      <c r="IE126" s="20"/>
      <c r="IF126" s="20"/>
      <c r="IG126" s="20"/>
      <c r="IH126" s="20"/>
      <c r="II126" s="20"/>
      <c r="IJ126" s="20"/>
      <c r="IK126" s="20"/>
      <c r="IL126" s="20"/>
      <c r="IM126" s="20"/>
      <c r="IN126" s="20"/>
      <c r="IO126" s="20"/>
      <c r="IP126" s="20"/>
      <c r="IQ126" s="20"/>
      <c r="IR126" s="20"/>
      <c r="IS126" s="20"/>
      <c r="IT126" s="20"/>
      <c r="IU126" s="20"/>
      <c r="IV126" s="20"/>
      <c r="IW126" s="20"/>
      <c r="IX126" s="20"/>
      <c r="IY126" s="20"/>
      <c r="IZ126" s="20"/>
      <c r="JA126" s="20"/>
      <c r="JB126" s="20"/>
      <c r="JC126" s="20"/>
    </row>
    <row r="127" spans="1:263" ht="13.9" customHeight="1" x14ac:dyDescent="0.2">
      <c r="A127" s="499"/>
      <c r="B127" s="155" t="s">
        <v>725</v>
      </c>
      <c r="C127" s="39"/>
      <c r="D127" s="187"/>
      <c r="E127" s="185"/>
      <c r="F127" s="94">
        <f t="shared" ca="1" si="5"/>
        <v>-43388</v>
      </c>
      <c r="G127" s="101"/>
      <c r="H127" s="39"/>
      <c r="I127" s="39"/>
      <c r="J127" s="40" t="str">
        <f t="shared" ca="1" si="11"/>
        <v>OVERDUE</v>
      </c>
      <c r="K127" s="85"/>
      <c r="L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  <c r="HW127" s="20"/>
      <c r="HX127" s="20"/>
      <c r="HY127" s="20"/>
      <c r="HZ127" s="20"/>
      <c r="IA127" s="20"/>
      <c r="IB127" s="20"/>
      <c r="IC127" s="20"/>
      <c r="ID127" s="20"/>
      <c r="IE127" s="20"/>
      <c r="IF127" s="20"/>
      <c r="IG127" s="20"/>
      <c r="IH127" s="20"/>
      <c r="II127" s="20"/>
      <c r="IJ127" s="20"/>
      <c r="IK127" s="20"/>
      <c r="IL127" s="20"/>
      <c r="IM127" s="20"/>
      <c r="IN127" s="20"/>
      <c r="IO127" s="20"/>
      <c r="IP127" s="20"/>
      <c r="IQ127" s="20"/>
      <c r="IR127" s="20"/>
      <c r="IS127" s="20"/>
      <c r="IT127" s="20"/>
      <c r="IU127" s="20"/>
      <c r="IV127" s="20"/>
      <c r="IW127" s="20"/>
      <c r="IX127" s="20"/>
      <c r="IY127" s="20"/>
      <c r="IZ127" s="20"/>
      <c r="JA127" s="20"/>
      <c r="JB127" s="20"/>
      <c r="JC127" s="20"/>
    </row>
    <row r="128" spans="1:263" ht="13.9" customHeight="1" x14ac:dyDescent="0.2">
      <c r="A128" s="499"/>
      <c r="B128" s="146" t="s">
        <v>726</v>
      </c>
      <c r="C128" s="39"/>
      <c r="D128" s="187"/>
      <c r="E128" s="185"/>
      <c r="F128" s="94">
        <f t="shared" ca="1" si="5"/>
        <v>-43388</v>
      </c>
      <c r="G128" s="101"/>
      <c r="H128" s="39"/>
      <c r="I128" s="39"/>
      <c r="J128" s="40" t="str">
        <f t="shared" ca="1" si="11"/>
        <v>OVERDUE</v>
      </c>
      <c r="K128" s="85"/>
      <c r="L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  <c r="HW128" s="20"/>
      <c r="HX128" s="20"/>
      <c r="HY128" s="20"/>
      <c r="HZ128" s="20"/>
      <c r="IA128" s="20"/>
      <c r="IB128" s="20"/>
      <c r="IC128" s="20"/>
      <c r="ID128" s="20"/>
      <c r="IE128" s="20"/>
      <c r="IF128" s="20"/>
      <c r="IG128" s="20"/>
      <c r="IH128" s="20"/>
      <c r="II128" s="20"/>
      <c r="IJ128" s="20"/>
      <c r="IK128" s="20"/>
      <c r="IL128" s="20"/>
      <c r="IM128" s="20"/>
      <c r="IN128" s="20"/>
      <c r="IO128" s="20"/>
      <c r="IP128" s="20"/>
      <c r="IQ128" s="20"/>
      <c r="IR128" s="20"/>
      <c r="IS128" s="20"/>
      <c r="IT128" s="20"/>
      <c r="IU128" s="20"/>
      <c r="IV128" s="20"/>
      <c r="IW128" s="20"/>
      <c r="IX128" s="20"/>
      <c r="IY128" s="20"/>
      <c r="IZ128" s="20"/>
      <c r="JA128" s="20"/>
      <c r="JB128" s="20"/>
      <c r="JC128" s="20"/>
    </row>
    <row r="129" spans="1:263" ht="13.9" customHeight="1" x14ac:dyDescent="0.2">
      <c r="A129" s="499"/>
      <c r="B129" s="146" t="s">
        <v>727</v>
      </c>
      <c r="C129" s="39"/>
      <c r="D129" s="187"/>
      <c r="E129" s="185"/>
      <c r="F129" s="94">
        <f t="shared" ca="1" si="5"/>
        <v>-43388</v>
      </c>
      <c r="G129" s="101"/>
      <c r="H129" s="39"/>
      <c r="I129" s="39"/>
      <c r="J129" s="40" t="str">
        <f t="shared" ca="1" si="11"/>
        <v>OVERDUE</v>
      </c>
      <c r="K129" s="85"/>
      <c r="L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  <c r="HW129" s="20"/>
      <c r="HX129" s="20"/>
      <c r="HY129" s="20"/>
      <c r="HZ129" s="20"/>
      <c r="IA129" s="20"/>
      <c r="IB129" s="20"/>
      <c r="IC129" s="20"/>
      <c r="ID129" s="20"/>
      <c r="IE129" s="20"/>
      <c r="IF129" s="20"/>
      <c r="IG129" s="20"/>
      <c r="IH129" s="20"/>
      <c r="II129" s="20"/>
      <c r="IJ129" s="20"/>
      <c r="IK129" s="20"/>
      <c r="IL129" s="20"/>
      <c r="IM129" s="20"/>
      <c r="IN129" s="20"/>
      <c r="IO129" s="20"/>
      <c r="IP129" s="20"/>
      <c r="IQ129" s="20"/>
      <c r="IR129" s="20"/>
      <c r="IS129" s="20"/>
      <c r="IT129" s="20"/>
      <c r="IU129" s="20"/>
      <c r="IV129" s="20"/>
      <c r="IW129" s="20"/>
      <c r="IX129" s="20"/>
      <c r="IY129" s="20"/>
      <c r="IZ129" s="20"/>
      <c r="JA129" s="20"/>
      <c r="JB129" s="20"/>
      <c r="JC129" s="20"/>
    </row>
    <row r="130" spans="1:263" ht="13.9" customHeight="1" x14ac:dyDescent="0.2">
      <c r="A130" s="499"/>
      <c r="B130" s="146" t="s">
        <v>728</v>
      </c>
      <c r="C130" s="39"/>
      <c r="D130" s="187"/>
      <c r="E130" s="185"/>
      <c r="F130" s="94">
        <f t="shared" ca="1" si="5"/>
        <v>-43388</v>
      </c>
      <c r="G130" s="101"/>
      <c r="H130" s="39"/>
      <c r="I130" s="39"/>
      <c r="J130" s="40" t="str">
        <f t="shared" ca="1" si="11"/>
        <v>OVERDUE</v>
      </c>
      <c r="K130" s="85"/>
      <c r="L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  <c r="HW130" s="20"/>
      <c r="HX130" s="20"/>
      <c r="HY130" s="20"/>
      <c r="HZ130" s="20"/>
      <c r="IA130" s="20"/>
      <c r="IB130" s="20"/>
      <c r="IC130" s="20"/>
      <c r="ID130" s="20"/>
      <c r="IE130" s="20"/>
      <c r="IF130" s="20"/>
      <c r="IG130" s="20"/>
      <c r="IH130" s="20"/>
      <c r="II130" s="20"/>
      <c r="IJ130" s="20"/>
      <c r="IK130" s="20"/>
      <c r="IL130" s="20"/>
      <c r="IM130" s="20"/>
      <c r="IN130" s="20"/>
      <c r="IO130" s="20"/>
      <c r="IP130" s="20"/>
      <c r="IQ130" s="20"/>
      <c r="IR130" s="20"/>
      <c r="IS130" s="20"/>
      <c r="IT130" s="20"/>
      <c r="IU130" s="20"/>
      <c r="IV130" s="20"/>
      <c r="IW130" s="20"/>
      <c r="IX130" s="20"/>
      <c r="IY130" s="20"/>
      <c r="IZ130" s="20"/>
      <c r="JA130" s="20"/>
      <c r="JB130" s="20"/>
      <c r="JC130" s="20"/>
    </row>
    <row r="131" spans="1:263" ht="13.9" customHeight="1" x14ac:dyDescent="0.2">
      <c r="A131" s="499"/>
      <c r="B131" s="146" t="s">
        <v>729</v>
      </c>
      <c r="C131" s="39"/>
      <c r="D131" s="187"/>
      <c r="E131" s="185"/>
      <c r="F131" s="94">
        <f t="shared" ca="1" si="5"/>
        <v>-43388</v>
      </c>
      <c r="G131" s="101"/>
      <c r="H131" s="39"/>
      <c r="I131" s="39"/>
      <c r="J131" s="40" t="str">
        <f t="shared" ca="1" si="11"/>
        <v>OVERDUE</v>
      </c>
      <c r="K131" s="85"/>
      <c r="L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  <c r="HW131" s="20"/>
      <c r="HX131" s="20"/>
      <c r="HY131" s="20"/>
      <c r="HZ131" s="20"/>
      <c r="IA131" s="20"/>
      <c r="IB131" s="20"/>
      <c r="IC131" s="20"/>
      <c r="ID131" s="20"/>
      <c r="IE131" s="20"/>
      <c r="IF131" s="20"/>
      <c r="IG131" s="20"/>
      <c r="IH131" s="20"/>
      <c r="II131" s="20"/>
      <c r="IJ131" s="20"/>
      <c r="IK131" s="20"/>
      <c r="IL131" s="20"/>
      <c r="IM131" s="20"/>
      <c r="IN131" s="20"/>
      <c r="IO131" s="20"/>
      <c r="IP131" s="20"/>
      <c r="IQ131" s="20"/>
      <c r="IR131" s="20"/>
      <c r="IS131" s="20"/>
      <c r="IT131" s="20"/>
      <c r="IU131" s="20"/>
      <c r="IV131" s="20"/>
      <c r="IW131" s="20"/>
      <c r="IX131" s="20"/>
      <c r="IY131" s="20"/>
      <c r="IZ131" s="20"/>
      <c r="JA131" s="20"/>
      <c r="JB131" s="20"/>
      <c r="JC131" s="20"/>
    </row>
    <row r="132" spans="1:263" x14ac:dyDescent="0.2">
      <c r="A132" s="499"/>
      <c r="B132" s="146" t="s">
        <v>730</v>
      </c>
      <c r="C132" s="39"/>
      <c r="D132" s="187"/>
      <c r="E132" s="185"/>
      <c r="F132" s="94">
        <f t="shared" ca="1" si="5"/>
        <v>-43388</v>
      </c>
      <c r="G132" s="101"/>
      <c r="H132" s="39"/>
      <c r="I132" s="39"/>
      <c r="J132" s="40" t="str">
        <f t="shared" ca="1" si="11"/>
        <v>OVERDUE</v>
      </c>
      <c r="K132" s="85"/>
      <c r="L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  <c r="HW132" s="20"/>
      <c r="HX132" s="20"/>
      <c r="HY132" s="20"/>
      <c r="HZ132" s="20"/>
      <c r="IA132" s="20"/>
      <c r="IB132" s="20"/>
      <c r="IC132" s="20"/>
      <c r="ID132" s="20"/>
      <c r="IE132" s="20"/>
      <c r="IF132" s="20"/>
      <c r="IG132" s="20"/>
      <c r="IH132" s="20"/>
      <c r="II132" s="20"/>
      <c r="IJ132" s="20"/>
      <c r="IK132" s="20"/>
      <c r="IL132" s="20"/>
      <c r="IM132" s="20"/>
      <c r="IN132" s="20"/>
      <c r="IO132" s="20"/>
      <c r="IP132" s="20"/>
      <c r="IQ132" s="20"/>
      <c r="IR132" s="20"/>
      <c r="IS132" s="20"/>
      <c r="IT132" s="20"/>
      <c r="IU132" s="20"/>
      <c r="IV132" s="20"/>
      <c r="IW132" s="20"/>
      <c r="IX132" s="20"/>
      <c r="IY132" s="20"/>
      <c r="IZ132" s="20"/>
      <c r="JA132" s="20"/>
      <c r="JB132" s="20"/>
      <c r="JC132" s="20"/>
    </row>
    <row r="133" spans="1:263" x14ac:dyDescent="0.2">
      <c r="A133" s="499"/>
      <c r="B133" s="146" t="s">
        <v>731</v>
      </c>
      <c r="C133" s="39"/>
      <c r="D133" s="187"/>
      <c r="E133" s="185"/>
      <c r="F133" s="94">
        <f t="shared" ca="1" si="5"/>
        <v>-43388</v>
      </c>
      <c r="G133" s="101"/>
      <c r="H133" s="39"/>
      <c r="I133" s="39"/>
      <c r="J133" s="40" t="str">
        <f t="shared" ca="1" si="11"/>
        <v>OVERDUE</v>
      </c>
      <c r="K133" s="85"/>
      <c r="L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  <c r="HW133" s="20"/>
      <c r="HX133" s="20"/>
      <c r="HY133" s="20"/>
      <c r="HZ133" s="20"/>
      <c r="IA133" s="20"/>
      <c r="IB133" s="20"/>
      <c r="IC133" s="20"/>
      <c r="ID133" s="20"/>
      <c r="IE133" s="20"/>
      <c r="IF133" s="20"/>
      <c r="IG133" s="20"/>
      <c r="IH133" s="20"/>
      <c r="II133" s="20"/>
      <c r="IJ133" s="20"/>
      <c r="IK133" s="20"/>
      <c r="IL133" s="20"/>
      <c r="IM133" s="20"/>
      <c r="IN133" s="20"/>
      <c r="IO133" s="20"/>
      <c r="IP133" s="20"/>
      <c r="IQ133" s="20"/>
      <c r="IR133" s="20"/>
      <c r="IS133" s="20"/>
      <c r="IT133" s="20"/>
      <c r="IU133" s="20"/>
      <c r="IV133" s="20"/>
      <c r="IW133" s="20"/>
      <c r="IX133" s="20"/>
      <c r="IY133" s="20"/>
      <c r="IZ133" s="20"/>
      <c r="JA133" s="20"/>
      <c r="JB133" s="20"/>
      <c r="JC133" s="20"/>
    </row>
    <row r="134" spans="1:263" x14ac:dyDescent="0.2">
      <c r="A134" s="499"/>
      <c r="B134" s="157" t="s">
        <v>732</v>
      </c>
      <c r="C134" s="39"/>
      <c r="D134" s="187"/>
      <c r="E134" s="185"/>
      <c r="F134" s="94">
        <f t="shared" ca="1" si="5"/>
        <v>-43388</v>
      </c>
      <c r="G134" s="101"/>
      <c r="H134" s="39"/>
      <c r="I134" s="39"/>
      <c r="J134" s="40" t="str">
        <f t="shared" ca="1" si="11"/>
        <v>OVERDUE</v>
      </c>
      <c r="K134" s="85"/>
      <c r="L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  <c r="HW134" s="20"/>
      <c r="HX134" s="20"/>
      <c r="HY134" s="20"/>
      <c r="HZ134" s="20"/>
      <c r="IA134" s="20"/>
      <c r="IB134" s="20"/>
      <c r="IC134" s="20"/>
      <c r="ID134" s="20"/>
      <c r="IE134" s="20"/>
      <c r="IF134" s="20"/>
      <c r="IG134" s="20"/>
      <c r="IH134" s="20"/>
      <c r="II134" s="20"/>
      <c r="IJ134" s="20"/>
      <c r="IK134" s="20"/>
      <c r="IL134" s="20"/>
      <c r="IM134" s="20"/>
      <c r="IN134" s="20"/>
      <c r="IO134" s="20"/>
      <c r="IP134" s="20"/>
      <c r="IQ134" s="20"/>
      <c r="IR134" s="20"/>
      <c r="IS134" s="20"/>
      <c r="IT134" s="20"/>
      <c r="IU134" s="20"/>
      <c r="IV134" s="20"/>
      <c r="IW134" s="20"/>
      <c r="IX134" s="20"/>
      <c r="IY134" s="20"/>
      <c r="IZ134" s="20"/>
      <c r="JA134" s="20"/>
      <c r="JB134" s="20"/>
      <c r="JC134" s="20"/>
    </row>
    <row r="135" spans="1:263" x14ac:dyDescent="0.2">
      <c r="A135" s="499"/>
      <c r="B135" s="157" t="s">
        <v>733</v>
      </c>
      <c r="C135" s="39"/>
      <c r="D135" s="187"/>
      <c r="E135" s="185"/>
      <c r="F135" s="94">
        <f t="shared" ca="1" si="5"/>
        <v>-43388</v>
      </c>
      <c r="G135" s="101"/>
      <c r="H135" s="39"/>
      <c r="I135" s="39"/>
      <c r="J135" s="40" t="str">
        <f t="shared" ca="1" si="11"/>
        <v>OVERDUE</v>
      </c>
      <c r="K135" s="85"/>
      <c r="L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  <c r="HW135" s="20"/>
      <c r="HX135" s="20"/>
      <c r="HY135" s="20"/>
      <c r="HZ135" s="20"/>
      <c r="IA135" s="20"/>
      <c r="IB135" s="20"/>
      <c r="IC135" s="20"/>
      <c r="ID135" s="20"/>
      <c r="IE135" s="20"/>
      <c r="IF135" s="20"/>
      <c r="IG135" s="20"/>
      <c r="IH135" s="20"/>
      <c r="II135" s="20"/>
      <c r="IJ135" s="20"/>
      <c r="IK135" s="20"/>
      <c r="IL135" s="20"/>
      <c r="IM135" s="20"/>
      <c r="IN135" s="20"/>
      <c r="IO135" s="20"/>
      <c r="IP135" s="20"/>
      <c r="IQ135" s="20"/>
      <c r="IR135" s="20"/>
      <c r="IS135" s="20"/>
      <c r="IT135" s="20"/>
      <c r="IU135" s="20"/>
      <c r="IV135" s="20"/>
      <c r="IW135" s="20"/>
      <c r="IX135" s="20"/>
      <c r="IY135" s="20"/>
      <c r="IZ135" s="20"/>
      <c r="JA135" s="20"/>
      <c r="JB135" s="20"/>
      <c r="JC135" s="20"/>
    </row>
    <row r="136" spans="1:263" x14ac:dyDescent="0.2">
      <c r="A136" s="499"/>
      <c r="B136" s="146" t="s">
        <v>734</v>
      </c>
      <c r="C136" s="39"/>
      <c r="D136" s="187"/>
      <c r="E136" s="187"/>
      <c r="F136" s="94">
        <f t="shared" ca="1" si="5"/>
        <v>-43388</v>
      </c>
      <c r="G136" s="101"/>
      <c r="H136" s="39"/>
      <c r="I136" s="39"/>
      <c r="J136" s="40" t="str">
        <f t="shared" ca="1" si="11"/>
        <v>OVERDUE</v>
      </c>
      <c r="K136" s="85"/>
      <c r="L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  <c r="HW136" s="20"/>
      <c r="HX136" s="20"/>
      <c r="HY136" s="20"/>
      <c r="HZ136" s="20"/>
      <c r="IA136" s="20"/>
      <c r="IB136" s="20"/>
      <c r="IC136" s="20"/>
      <c r="ID136" s="20"/>
      <c r="IE136" s="20"/>
      <c r="IF136" s="20"/>
      <c r="IG136" s="20"/>
      <c r="IH136" s="20"/>
      <c r="II136" s="20"/>
      <c r="IJ136" s="20"/>
      <c r="IK136" s="20"/>
      <c r="IL136" s="20"/>
      <c r="IM136" s="20"/>
      <c r="IN136" s="20"/>
      <c r="IO136" s="20"/>
      <c r="IP136" s="20"/>
      <c r="IQ136" s="20"/>
      <c r="IR136" s="20"/>
      <c r="IS136" s="20"/>
      <c r="IT136" s="20"/>
      <c r="IU136" s="20"/>
      <c r="IV136" s="20"/>
      <c r="IW136" s="20"/>
      <c r="IX136" s="20"/>
      <c r="IY136" s="20"/>
      <c r="IZ136" s="20"/>
      <c r="JA136" s="20"/>
      <c r="JB136" s="20"/>
      <c r="JC136" s="20"/>
    </row>
    <row r="137" spans="1:263" s="22" customFormat="1" ht="13.5" thickBot="1" x14ac:dyDescent="0.25">
      <c r="A137" s="502"/>
      <c r="B137" s="284" t="s">
        <v>735</v>
      </c>
      <c r="C137" s="213"/>
      <c r="D137" s="210"/>
      <c r="E137" s="272"/>
      <c r="F137" s="95">
        <f t="shared" ref="F137" ca="1" si="12">IF(ISBLANK(G137),IF(ISERROR(DAYS360(TODAY(),E137))," ",(DAYS360(TODAY(),E137))),E137-G137)</f>
        <v>-43388</v>
      </c>
      <c r="G137" s="285"/>
      <c r="H137" s="286"/>
      <c r="I137" s="286"/>
      <c r="J137" s="74" t="str">
        <f t="shared" ca="1" si="11"/>
        <v>OVERDUE</v>
      </c>
      <c r="K137" s="287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  <c r="HW137" s="20"/>
      <c r="HX137" s="20"/>
      <c r="HY137" s="20"/>
      <c r="HZ137" s="20"/>
      <c r="IA137" s="20"/>
      <c r="IB137" s="20"/>
      <c r="IC137" s="20"/>
      <c r="ID137" s="20"/>
      <c r="IE137" s="20"/>
      <c r="IF137" s="20"/>
      <c r="IG137" s="20"/>
      <c r="IH137" s="20"/>
      <c r="II137" s="20"/>
      <c r="IJ137" s="20"/>
      <c r="IK137" s="20"/>
      <c r="IL137" s="20"/>
      <c r="IM137" s="20"/>
      <c r="IN137" s="20"/>
      <c r="IO137" s="20"/>
      <c r="IP137" s="20"/>
      <c r="IQ137" s="20"/>
      <c r="IR137" s="20"/>
      <c r="IS137" s="20"/>
      <c r="IT137" s="20"/>
      <c r="IU137" s="20"/>
      <c r="IV137" s="20"/>
      <c r="IW137" s="20"/>
      <c r="IX137" s="20"/>
      <c r="IY137" s="20"/>
      <c r="IZ137" s="20"/>
      <c r="JA137" s="20"/>
      <c r="JB137" s="20"/>
      <c r="JC137" s="20"/>
    </row>
    <row r="138" spans="1:263" x14ac:dyDescent="0.2">
      <c r="B138" s="140"/>
      <c r="C138" s="24"/>
      <c r="D138" s="133"/>
      <c r="E138" s="133"/>
      <c r="F138" s="413"/>
      <c r="G138" s="132"/>
      <c r="H138" s="24"/>
      <c r="I138" s="140"/>
      <c r="J138" s="54"/>
      <c r="K138" s="26"/>
      <c r="L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  <c r="HW138" s="20"/>
      <c r="HX138" s="20"/>
      <c r="HY138" s="20"/>
      <c r="HZ138" s="20"/>
      <c r="IA138" s="20"/>
      <c r="IB138" s="20"/>
      <c r="IC138" s="20"/>
      <c r="ID138" s="20"/>
      <c r="IE138" s="20"/>
      <c r="IF138" s="20"/>
      <c r="IG138" s="20"/>
      <c r="IH138" s="20"/>
      <c r="II138" s="20"/>
      <c r="IJ138" s="20"/>
      <c r="IK138" s="20"/>
      <c r="IL138" s="20"/>
      <c r="IM138" s="20"/>
      <c r="IN138" s="20"/>
      <c r="IO138" s="20"/>
      <c r="IP138" s="20"/>
      <c r="IQ138" s="20"/>
      <c r="IR138" s="20"/>
      <c r="IS138" s="20"/>
      <c r="IT138" s="20"/>
      <c r="IU138" s="20"/>
      <c r="IV138" s="20"/>
      <c r="IW138" s="20"/>
      <c r="IX138" s="20"/>
      <c r="IY138" s="20"/>
      <c r="IZ138" s="20"/>
      <c r="JA138" s="20"/>
      <c r="JB138" s="20"/>
      <c r="JC138" s="20"/>
    </row>
    <row r="139" spans="1:263" x14ac:dyDescent="0.2">
      <c r="B139" s="140"/>
      <c r="C139" s="24"/>
      <c r="D139" s="133"/>
      <c r="E139" s="133"/>
      <c r="F139" s="413"/>
      <c r="G139" s="132"/>
      <c r="H139" s="24"/>
      <c r="I139" s="140"/>
      <c r="J139" s="54"/>
      <c r="K139" s="26"/>
      <c r="L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  <c r="HW139" s="20"/>
      <c r="HX139" s="20"/>
      <c r="HY139" s="20"/>
      <c r="HZ139" s="20"/>
      <c r="IA139" s="20"/>
      <c r="IB139" s="20"/>
      <c r="IC139" s="20"/>
      <c r="ID139" s="20"/>
      <c r="IE139" s="20"/>
      <c r="IF139" s="20"/>
      <c r="IG139" s="20"/>
      <c r="IH139" s="20"/>
      <c r="II139" s="20"/>
      <c r="IJ139" s="20"/>
      <c r="IK139" s="20"/>
      <c r="IL139" s="20"/>
      <c r="IM139" s="20"/>
      <c r="IN139" s="20"/>
      <c r="IO139" s="20"/>
      <c r="IP139" s="20"/>
      <c r="IQ139" s="20"/>
      <c r="IR139" s="20"/>
      <c r="IS139" s="20"/>
      <c r="IT139" s="20"/>
      <c r="IU139" s="20"/>
      <c r="IV139" s="20"/>
      <c r="IW139" s="20"/>
      <c r="IX139" s="20"/>
      <c r="IY139" s="20"/>
      <c r="IZ139" s="20"/>
      <c r="JA139" s="20"/>
      <c r="JB139" s="20"/>
      <c r="JC139" s="20"/>
    </row>
    <row r="140" spans="1:263" x14ac:dyDescent="0.2">
      <c r="B140" s="140"/>
      <c r="C140" s="24"/>
      <c r="D140" s="133"/>
      <c r="E140" s="133"/>
      <c r="F140" s="413"/>
      <c r="G140" s="132"/>
      <c r="H140" s="24"/>
      <c r="I140" s="24"/>
      <c r="J140" s="54"/>
      <c r="K140" s="202"/>
      <c r="L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  <c r="HW140" s="20"/>
      <c r="HX140" s="20"/>
      <c r="HY140" s="20"/>
      <c r="HZ140" s="20"/>
      <c r="IA140" s="20"/>
      <c r="IB140" s="20"/>
      <c r="IC140" s="20"/>
      <c r="ID140" s="20"/>
      <c r="IE140" s="20"/>
      <c r="IF140" s="20"/>
      <c r="IG140" s="20"/>
      <c r="IH140" s="20"/>
      <c r="II140" s="20"/>
      <c r="IJ140" s="20"/>
      <c r="IK140" s="20"/>
      <c r="IL140" s="20"/>
      <c r="IM140" s="20"/>
      <c r="IN140" s="20"/>
      <c r="IO140" s="20"/>
      <c r="IP140" s="20"/>
      <c r="IQ140" s="20"/>
      <c r="IR140" s="20"/>
      <c r="IS140" s="20"/>
      <c r="IT140" s="20"/>
      <c r="IU140" s="20"/>
      <c r="IV140" s="20"/>
      <c r="IW140" s="20"/>
      <c r="IX140" s="20"/>
      <c r="IY140" s="20"/>
      <c r="IZ140" s="20"/>
      <c r="JA140" s="20"/>
      <c r="JB140" s="20"/>
      <c r="JC140" s="20"/>
    </row>
    <row r="141" spans="1:263" x14ac:dyDescent="0.2">
      <c r="B141" s="140"/>
      <c r="C141" s="24"/>
      <c r="D141" s="133"/>
      <c r="E141" s="133"/>
      <c r="F141" s="413"/>
      <c r="G141" s="132"/>
      <c r="H141" s="24"/>
      <c r="I141" s="24"/>
      <c r="J141" s="54"/>
      <c r="K141" s="202"/>
      <c r="L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  <c r="HW141" s="20"/>
      <c r="HX141" s="20"/>
      <c r="HY141" s="20"/>
      <c r="HZ141" s="20"/>
      <c r="IA141" s="20"/>
      <c r="IB141" s="20"/>
      <c r="IC141" s="20"/>
      <c r="ID141" s="20"/>
      <c r="IE141" s="20"/>
      <c r="IF141" s="20"/>
      <c r="IG141" s="20"/>
      <c r="IH141" s="20"/>
      <c r="II141" s="20"/>
      <c r="IJ141" s="20"/>
      <c r="IK141" s="20"/>
      <c r="IL141" s="20"/>
      <c r="IM141" s="20"/>
      <c r="IN141" s="20"/>
      <c r="IO141" s="20"/>
      <c r="IP141" s="20"/>
      <c r="IQ141" s="20"/>
      <c r="IR141" s="20"/>
      <c r="IS141" s="20"/>
      <c r="IT141" s="20"/>
      <c r="IU141" s="20"/>
      <c r="IV141" s="20"/>
      <c r="IW141" s="20"/>
      <c r="IX141" s="20"/>
      <c r="IY141" s="20"/>
      <c r="IZ141" s="20"/>
      <c r="JA141" s="20"/>
      <c r="JB141" s="20"/>
      <c r="JC141" s="20"/>
    </row>
    <row r="142" spans="1:263" x14ac:dyDescent="0.2">
      <c r="B142" s="140"/>
      <c r="C142" s="24"/>
      <c r="D142" s="133"/>
      <c r="E142" s="133"/>
      <c r="F142" s="413"/>
      <c r="G142" s="132"/>
      <c r="H142" s="24"/>
      <c r="I142" s="24"/>
      <c r="J142" s="54"/>
      <c r="K142" s="26"/>
      <c r="L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  <c r="HW142" s="20"/>
      <c r="HX142" s="20"/>
      <c r="HY142" s="20"/>
      <c r="HZ142" s="20"/>
      <c r="IA142" s="20"/>
      <c r="IB142" s="20"/>
      <c r="IC142" s="20"/>
      <c r="ID142" s="20"/>
      <c r="IE142" s="20"/>
      <c r="IF142" s="20"/>
      <c r="IG142" s="20"/>
      <c r="IH142" s="20"/>
      <c r="II142" s="20"/>
      <c r="IJ142" s="20"/>
      <c r="IK142" s="20"/>
      <c r="IL142" s="20"/>
      <c r="IM142" s="20"/>
      <c r="IN142" s="20"/>
      <c r="IO142" s="20"/>
      <c r="IP142" s="20"/>
      <c r="IQ142" s="20"/>
      <c r="IR142" s="20"/>
      <c r="IS142" s="20"/>
      <c r="IT142" s="20"/>
      <c r="IU142" s="20"/>
      <c r="IV142" s="20"/>
      <c r="IW142" s="20"/>
      <c r="IX142" s="20"/>
      <c r="IY142" s="20"/>
      <c r="IZ142" s="20"/>
      <c r="JA142" s="20"/>
      <c r="JB142" s="20"/>
      <c r="JC142" s="20"/>
    </row>
    <row r="143" spans="1:263" x14ac:dyDescent="0.2">
      <c r="B143" s="140"/>
      <c r="C143" s="24"/>
      <c r="D143" s="133"/>
      <c r="E143" s="133"/>
      <c r="F143" s="413"/>
      <c r="G143" s="203"/>
      <c r="H143" s="24"/>
      <c r="I143" s="24"/>
      <c r="J143" s="54"/>
      <c r="K143" s="26"/>
      <c r="L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  <c r="HW143" s="20"/>
      <c r="HX143" s="20"/>
      <c r="HY143" s="20"/>
      <c r="HZ143" s="20"/>
      <c r="IA143" s="20"/>
      <c r="IB143" s="20"/>
      <c r="IC143" s="20"/>
      <c r="ID143" s="20"/>
      <c r="IE143" s="20"/>
      <c r="IF143" s="20"/>
      <c r="IG143" s="20"/>
      <c r="IH143" s="20"/>
      <c r="II143" s="20"/>
      <c r="IJ143" s="20"/>
      <c r="IK143" s="20"/>
      <c r="IL143" s="20"/>
      <c r="IM143" s="20"/>
      <c r="IN143" s="20"/>
      <c r="IO143" s="20"/>
      <c r="IP143" s="20"/>
      <c r="IQ143" s="20"/>
      <c r="IR143" s="20"/>
      <c r="IS143" s="20"/>
      <c r="IT143" s="20"/>
      <c r="IU143" s="20"/>
      <c r="IV143" s="20"/>
      <c r="IW143" s="20"/>
      <c r="IX143" s="20"/>
      <c r="IY143" s="20"/>
      <c r="IZ143" s="20"/>
      <c r="JA143" s="20"/>
      <c r="JB143" s="20"/>
      <c r="JC143" s="20"/>
    </row>
    <row r="144" spans="1:263" x14ac:dyDescent="0.2">
      <c r="B144" s="140"/>
      <c r="C144" s="24"/>
      <c r="D144" s="133"/>
      <c r="E144" s="133"/>
      <c r="F144" s="413"/>
      <c r="G144" s="132"/>
      <c r="H144" s="24"/>
      <c r="I144" s="24"/>
      <c r="J144" s="54"/>
      <c r="K144" s="26"/>
      <c r="L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  <c r="HW144" s="20"/>
      <c r="HX144" s="20"/>
      <c r="HY144" s="20"/>
      <c r="HZ144" s="20"/>
      <c r="IA144" s="20"/>
      <c r="IB144" s="20"/>
      <c r="IC144" s="20"/>
      <c r="ID144" s="20"/>
      <c r="IE144" s="20"/>
      <c r="IF144" s="20"/>
      <c r="IG144" s="20"/>
      <c r="IH144" s="20"/>
      <c r="II144" s="20"/>
      <c r="IJ144" s="20"/>
      <c r="IK144" s="20"/>
      <c r="IL144" s="20"/>
      <c r="IM144" s="20"/>
      <c r="IN144" s="20"/>
      <c r="IO144" s="20"/>
      <c r="IP144" s="20"/>
      <c r="IQ144" s="20"/>
      <c r="IR144" s="20"/>
      <c r="IS144" s="20"/>
      <c r="IT144" s="20"/>
      <c r="IU144" s="20"/>
      <c r="IV144" s="20"/>
      <c r="IW144" s="20"/>
      <c r="IX144" s="20"/>
      <c r="IY144" s="20"/>
      <c r="IZ144" s="20"/>
      <c r="JA144" s="20"/>
      <c r="JB144" s="20"/>
      <c r="JC144" s="20"/>
    </row>
    <row r="145" spans="2:263" x14ac:dyDescent="0.2">
      <c r="B145" s="140"/>
      <c r="C145" s="24"/>
      <c r="D145" s="133"/>
      <c r="E145" s="133"/>
      <c r="F145" s="413"/>
      <c r="G145" s="132"/>
      <c r="H145" s="24"/>
      <c r="I145" s="24"/>
      <c r="J145" s="54"/>
      <c r="K145" s="26"/>
      <c r="L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  <c r="HW145" s="20"/>
      <c r="HX145" s="20"/>
      <c r="HY145" s="20"/>
      <c r="HZ145" s="20"/>
      <c r="IA145" s="20"/>
      <c r="IB145" s="20"/>
      <c r="IC145" s="20"/>
      <c r="ID145" s="20"/>
      <c r="IE145" s="20"/>
      <c r="IF145" s="20"/>
      <c r="IG145" s="20"/>
      <c r="IH145" s="20"/>
      <c r="II145" s="20"/>
      <c r="IJ145" s="20"/>
      <c r="IK145" s="20"/>
      <c r="IL145" s="20"/>
      <c r="IM145" s="20"/>
      <c r="IN145" s="20"/>
      <c r="IO145" s="20"/>
      <c r="IP145" s="20"/>
      <c r="IQ145" s="20"/>
      <c r="IR145" s="20"/>
      <c r="IS145" s="20"/>
      <c r="IT145" s="20"/>
      <c r="IU145" s="20"/>
      <c r="IV145" s="20"/>
      <c r="IW145" s="20"/>
      <c r="IX145" s="20"/>
      <c r="IY145" s="20"/>
      <c r="IZ145" s="20"/>
      <c r="JA145" s="20"/>
      <c r="JB145" s="20"/>
      <c r="JC145" s="20"/>
    </row>
    <row r="146" spans="2:263" x14ac:dyDescent="0.2">
      <c r="B146" s="140"/>
      <c r="C146" s="24"/>
      <c r="D146" s="133"/>
      <c r="E146" s="133"/>
      <c r="F146" s="413"/>
      <c r="G146" s="132"/>
      <c r="H146" s="24"/>
      <c r="I146" s="24"/>
      <c r="J146" s="54"/>
      <c r="K146" s="26"/>
      <c r="L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  <c r="HW146" s="20"/>
      <c r="HX146" s="20"/>
      <c r="HY146" s="20"/>
      <c r="HZ146" s="20"/>
      <c r="IA146" s="20"/>
      <c r="IB146" s="20"/>
      <c r="IC146" s="20"/>
      <c r="ID146" s="20"/>
      <c r="IE146" s="20"/>
      <c r="IF146" s="20"/>
      <c r="IG146" s="20"/>
      <c r="IH146" s="20"/>
      <c r="II146" s="20"/>
      <c r="IJ146" s="20"/>
      <c r="IK146" s="20"/>
      <c r="IL146" s="20"/>
      <c r="IM146" s="20"/>
      <c r="IN146" s="20"/>
      <c r="IO146" s="20"/>
      <c r="IP146" s="20"/>
      <c r="IQ146" s="20"/>
      <c r="IR146" s="20"/>
      <c r="IS146" s="20"/>
      <c r="IT146" s="20"/>
      <c r="IU146" s="20"/>
      <c r="IV146" s="20"/>
      <c r="IW146" s="20"/>
      <c r="IX146" s="20"/>
      <c r="IY146" s="20"/>
      <c r="IZ146" s="20"/>
      <c r="JA146" s="20"/>
      <c r="JB146" s="20"/>
      <c r="JC146" s="20"/>
    </row>
    <row r="147" spans="2:263" x14ac:dyDescent="0.2">
      <c r="B147" s="140"/>
      <c r="C147" s="24"/>
      <c r="D147" s="133"/>
      <c r="E147" s="133"/>
      <c r="F147" s="413"/>
      <c r="G147" s="132"/>
      <c r="H147" s="24"/>
      <c r="I147" s="24"/>
      <c r="J147" s="54"/>
      <c r="K147" s="26"/>
      <c r="L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  <c r="HW147" s="20"/>
      <c r="HX147" s="20"/>
      <c r="HY147" s="20"/>
      <c r="HZ147" s="20"/>
      <c r="IA147" s="20"/>
      <c r="IB147" s="20"/>
      <c r="IC147" s="20"/>
      <c r="ID147" s="20"/>
      <c r="IE147" s="20"/>
      <c r="IF147" s="20"/>
      <c r="IG147" s="20"/>
      <c r="IH147" s="20"/>
      <c r="II147" s="20"/>
      <c r="IJ147" s="20"/>
      <c r="IK147" s="20"/>
      <c r="IL147" s="20"/>
      <c r="IM147" s="20"/>
      <c r="IN147" s="20"/>
      <c r="IO147" s="20"/>
      <c r="IP147" s="20"/>
      <c r="IQ147" s="20"/>
      <c r="IR147" s="20"/>
      <c r="IS147" s="20"/>
      <c r="IT147" s="20"/>
      <c r="IU147" s="20"/>
      <c r="IV147" s="20"/>
      <c r="IW147" s="20"/>
      <c r="IX147" s="20"/>
      <c r="IY147" s="20"/>
      <c r="IZ147" s="20"/>
      <c r="JA147" s="20"/>
      <c r="JB147" s="20"/>
      <c r="JC147" s="20"/>
    </row>
    <row r="148" spans="2:263" x14ac:dyDescent="0.2">
      <c r="B148" s="140"/>
      <c r="C148" s="24"/>
      <c r="D148" s="133"/>
      <c r="E148" s="133"/>
      <c r="F148" s="413"/>
      <c r="G148" s="132"/>
      <c r="H148" s="24"/>
      <c r="I148" s="24"/>
      <c r="J148" s="54"/>
      <c r="K148" s="26"/>
      <c r="L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  <c r="HW148" s="20"/>
      <c r="HX148" s="20"/>
      <c r="HY148" s="20"/>
      <c r="HZ148" s="20"/>
      <c r="IA148" s="20"/>
      <c r="IB148" s="20"/>
      <c r="IC148" s="20"/>
      <c r="ID148" s="20"/>
      <c r="IE148" s="20"/>
      <c r="IF148" s="20"/>
      <c r="IG148" s="20"/>
      <c r="IH148" s="20"/>
      <c r="II148" s="20"/>
      <c r="IJ148" s="20"/>
      <c r="IK148" s="20"/>
      <c r="IL148" s="20"/>
      <c r="IM148" s="20"/>
      <c r="IN148" s="20"/>
      <c r="IO148" s="20"/>
      <c r="IP148" s="20"/>
      <c r="IQ148" s="20"/>
      <c r="IR148" s="20"/>
      <c r="IS148" s="20"/>
      <c r="IT148" s="20"/>
      <c r="IU148" s="20"/>
      <c r="IV148" s="20"/>
      <c r="IW148" s="20"/>
      <c r="IX148" s="20"/>
      <c r="IY148" s="20"/>
      <c r="IZ148" s="20"/>
      <c r="JA148" s="20"/>
      <c r="JB148" s="20"/>
      <c r="JC148" s="20"/>
    </row>
    <row r="149" spans="2:263" x14ac:dyDescent="0.2">
      <c r="B149" s="140"/>
      <c r="C149" s="24"/>
      <c r="D149" s="133"/>
      <c r="E149" s="133"/>
      <c r="F149" s="413"/>
      <c r="G149" s="132"/>
      <c r="H149" s="24"/>
      <c r="I149" s="24"/>
      <c r="J149" s="54"/>
      <c r="K149" s="26"/>
      <c r="L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  <c r="HW149" s="20"/>
      <c r="HX149" s="20"/>
      <c r="HY149" s="20"/>
      <c r="HZ149" s="20"/>
      <c r="IA149" s="20"/>
      <c r="IB149" s="20"/>
      <c r="IC149" s="20"/>
      <c r="ID149" s="20"/>
      <c r="IE149" s="20"/>
      <c r="IF149" s="20"/>
      <c r="IG149" s="20"/>
      <c r="IH149" s="20"/>
      <c r="II149" s="20"/>
      <c r="IJ149" s="20"/>
      <c r="IK149" s="20"/>
      <c r="IL149" s="20"/>
      <c r="IM149" s="20"/>
      <c r="IN149" s="20"/>
      <c r="IO149" s="20"/>
      <c r="IP149" s="20"/>
      <c r="IQ149" s="20"/>
      <c r="IR149" s="20"/>
      <c r="IS149" s="20"/>
      <c r="IT149" s="20"/>
      <c r="IU149" s="20"/>
      <c r="IV149" s="20"/>
      <c r="IW149" s="20"/>
      <c r="IX149" s="20"/>
      <c r="IY149" s="20"/>
      <c r="IZ149" s="20"/>
      <c r="JA149" s="20"/>
      <c r="JB149" s="20"/>
      <c r="JC149" s="20"/>
    </row>
    <row r="150" spans="2:263" x14ac:dyDescent="0.2">
      <c r="B150" s="140"/>
      <c r="C150" s="24"/>
      <c r="D150" s="133"/>
      <c r="E150" s="133"/>
      <c r="F150" s="413"/>
      <c r="G150" s="132"/>
      <c r="H150" s="24"/>
      <c r="I150" s="24"/>
      <c r="J150" s="54"/>
      <c r="K150" s="26"/>
      <c r="L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  <c r="HW150" s="20"/>
      <c r="HX150" s="20"/>
      <c r="HY150" s="20"/>
      <c r="HZ150" s="20"/>
      <c r="IA150" s="20"/>
      <c r="IB150" s="20"/>
      <c r="IC150" s="20"/>
      <c r="ID150" s="20"/>
      <c r="IE150" s="20"/>
      <c r="IF150" s="20"/>
      <c r="IG150" s="20"/>
      <c r="IH150" s="20"/>
      <c r="II150" s="20"/>
      <c r="IJ150" s="20"/>
      <c r="IK150" s="20"/>
      <c r="IL150" s="20"/>
      <c r="IM150" s="20"/>
      <c r="IN150" s="20"/>
      <c r="IO150" s="20"/>
      <c r="IP150" s="20"/>
      <c r="IQ150" s="20"/>
      <c r="IR150" s="20"/>
      <c r="IS150" s="20"/>
      <c r="IT150" s="20"/>
      <c r="IU150" s="20"/>
      <c r="IV150" s="20"/>
      <c r="IW150" s="20"/>
      <c r="IX150" s="20"/>
      <c r="IY150" s="20"/>
      <c r="IZ150" s="20"/>
      <c r="JA150" s="20"/>
      <c r="JB150" s="20"/>
      <c r="JC150" s="20"/>
    </row>
    <row r="151" spans="2:263" x14ac:dyDescent="0.2">
      <c r="B151" s="140"/>
      <c r="C151" s="24"/>
      <c r="D151" s="133"/>
      <c r="E151" s="133"/>
      <c r="F151" s="413"/>
      <c r="G151" s="132"/>
      <c r="H151" s="24"/>
      <c r="I151" s="24"/>
      <c r="J151" s="54"/>
      <c r="K151" s="26"/>
      <c r="L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  <c r="HW151" s="20"/>
      <c r="HX151" s="20"/>
      <c r="HY151" s="20"/>
      <c r="HZ151" s="20"/>
      <c r="IA151" s="20"/>
      <c r="IB151" s="20"/>
      <c r="IC151" s="20"/>
      <c r="ID151" s="20"/>
      <c r="IE151" s="20"/>
      <c r="IF151" s="20"/>
      <c r="IG151" s="20"/>
      <c r="IH151" s="20"/>
      <c r="II151" s="20"/>
      <c r="IJ151" s="20"/>
      <c r="IK151" s="20"/>
      <c r="IL151" s="20"/>
      <c r="IM151" s="20"/>
      <c r="IN151" s="20"/>
      <c r="IO151" s="20"/>
      <c r="IP151" s="20"/>
      <c r="IQ151" s="20"/>
      <c r="IR151" s="20"/>
      <c r="IS151" s="20"/>
      <c r="IT151" s="20"/>
      <c r="IU151" s="20"/>
      <c r="IV151" s="20"/>
      <c r="IW151" s="20"/>
      <c r="IX151" s="20"/>
      <c r="IY151" s="20"/>
      <c r="IZ151" s="20"/>
      <c r="JA151" s="20"/>
      <c r="JB151" s="20"/>
      <c r="JC151" s="20"/>
    </row>
    <row r="152" spans="2:263" x14ac:dyDescent="0.2">
      <c r="B152" s="140"/>
      <c r="C152" s="24"/>
      <c r="D152" s="133"/>
      <c r="E152" s="133"/>
      <c r="F152" s="413"/>
      <c r="G152" s="132"/>
      <c r="H152" s="24"/>
      <c r="I152" s="24"/>
      <c r="J152" s="54"/>
      <c r="K152" s="26"/>
      <c r="L152" s="20"/>
      <c r="AX152" s="20"/>
      <c r="AY152" s="20"/>
      <c r="AZ152" s="20"/>
      <c r="BA152" s="20"/>
      <c r="BB152" s="20"/>
      <c r="BC152" s="20"/>
      <c r="BD152" s="20"/>
      <c r="BE152" s="20"/>
      <c r="BF152" s="20"/>
      <c r="BG152" s="20"/>
      <c r="BH152" s="20"/>
      <c r="BI152" s="20"/>
      <c r="BJ152" s="20"/>
      <c r="BK152" s="20"/>
      <c r="BL152" s="20"/>
      <c r="BM152" s="20"/>
      <c r="BN152" s="20"/>
      <c r="BO152" s="20"/>
      <c r="BP152" s="2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0"/>
      <c r="EF152" s="20"/>
      <c r="EG152" s="20"/>
      <c r="EH152" s="20"/>
      <c r="EI152" s="20"/>
      <c r="EJ152" s="20"/>
      <c r="EK152" s="20"/>
      <c r="EL152" s="20"/>
      <c r="EM152" s="20"/>
      <c r="EN152" s="20"/>
      <c r="EO152" s="20"/>
      <c r="EP152" s="20"/>
      <c r="EQ152" s="20"/>
      <c r="ER152" s="20"/>
      <c r="ES152" s="20"/>
      <c r="ET152" s="20"/>
      <c r="EU152" s="20"/>
      <c r="EV152" s="20"/>
      <c r="EW152" s="20"/>
      <c r="EX152" s="20"/>
      <c r="EY152" s="20"/>
      <c r="EZ152" s="20"/>
      <c r="FA152" s="20"/>
      <c r="FB152" s="20"/>
      <c r="FC152" s="20"/>
      <c r="FD152" s="20"/>
      <c r="FE152" s="20"/>
      <c r="FF152" s="20"/>
      <c r="FG152" s="20"/>
      <c r="FH152" s="20"/>
      <c r="FI152" s="20"/>
      <c r="FJ152" s="20"/>
      <c r="FK152" s="20"/>
      <c r="FL152" s="20"/>
      <c r="FM152" s="20"/>
      <c r="FN152" s="20"/>
      <c r="FO152" s="20"/>
      <c r="FP152" s="20"/>
      <c r="FQ152" s="20"/>
      <c r="FR152" s="20"/>
      <c r="FS152" s="20"/>
      <c r="FT152" s="20"/>
      <c r="FU152" s="20"/>
      <c r="FV152" s="20"/>
      <c r="FW152" s="20"/>
      <c r="FX152" s="20"/>
      <c r="FY152" s="20"/>
      <c r="FZ152" s="20"/>
      <c r="GA152" s="20"/>
      <c r="GB152" s="20"/>
      <c r="GC152" s="20"/>
      <c r="GD152" s="20"/>
      <c r="GE152" s="20"/>
      <c r="GF152" s="20"/>
      <c r="GG152" s="20"/>
      <c r="GH152" s="20"/>
      <c r="GI152" s="20"/>
      <c r="GJ152" s="20"/>
      <c r="GK152" s="20"/>
      <c r="GL152" s="20"/>
      <c r="GM152" s="20"/>
      <c r="GN152" s="20"/>
      <c r="GO152" s="20"/>
      <c r="GP152" s="20"/>
      <c r="GQ152" s="20"/>
      <c r="GR152" s="20"/>
      <c r="GS152" s="20"/>
      <c r="GT152" s="20"/>
      <c r="GU152" s="20"/>
      <c r="GV152" s="20"/>
      <c r="GW152" s="20"/>
      <c r="GX152" s="20"/>
      <c r="GY152" s="20"/>
      <c r="GZ152" s="20"/>
      <c r="HA152" s="20"/>
      <c r="HB152" s="20"/>
      <c r="HC152" s="20"/>
      <c r="HD152" s="20"/>
      <c r="HE152" s="20"/>
      <c r="HF152" s="20"/>
      <c r="HG152" s="20"/>
      <c r="HH152" s="20"/>
      <c r="HI152" s="20"/>
      <c r="HJ152" s="20"/>
      <c r="HK152" s="20"/>
      <c r="HL152" s="20"/>
      <c r="HM152" s="20"/>
      <c r="HN152" s="20"/>
      <c r="HO152" s="20"/>
      <c r="HP152" s="20"/>
      <c r="HQ152" s="20"/>
      <c r="HR152" s="20"/>
      <c r="HS152" s="20"/>
      <c r="HT152" s="20"/>
      <c r="HU152" s="20"/>
      <c r="HV152" s="20"/>
      <c r="HW152" s="20"/>
      <c r="HX152" s="20"/>
      <c r="HY152" s="20"/>
      <c r="HZ152" s="20"/>
      <c r="IA152" s="20"/>
      <c r="IB152" s="20"/>
      <c r="IC152" s="20"/>
      <c r="ID152" s="20"/>
      <c r="IE152" s="20"/>
      <c r="IF152" s="20"/>
      <c r="IG152" s="20"/>
      <c r="IH152" s="20"/>
      <c r="II152" s="20"/>
      <c r="IJ152" s="20"/>
      <c r="IK152" s="20"/>
      <c r="IL152" s="20"/>
      <c r="IM152" s="20"/>
      <c r="IN152" s="20"/>
      <c r="IO152" s="20"/>
      <c r="IP152" s="20"/>
      <c r="IQ152" s="20"/>
      <c r="IR152" s="20"/>
      <c r="IS152" s="20"/>
      <c r="IT152" s="20"/>
      <c r="IU152" s="20"/>
      <c r="IV152" s="20"/>
      <c r="IW152" s="20"/>
      <c r="IX152" s="20"/>
      <c r="IY152" s="20"/>
      <c r="IZ152" s="20"/>
      <c r="JA152" s="20"/>
      <c r="JB152" s="20"/>
      <c r="JC152" s="20"/>
    </row>
    <row r="153" spans="2:263" x14ac:dyDescent="0.2">
      <c r="B153" s="140"/>
      <c r="C153" s="24"/>
      <c r="D153" s="133"/>
      <c r="E153" s="133"/>
      <c r="F153" s="413"/>
      <c r="G153" s="132"/>
      <c r="H153" s="24"/>
      <c r="I153" s="24"/>
      <c r="J153" s="54"/>
      <c r="K153" s="26"/>
      <c r="L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  <c r="FC153" s="20"/>
      <c r="FD153" s="20"/>
      <c r="FE153" s="20"/>
      <c r="FF153" s="20"/>
      <c r="FG153" s="20"/>
      <c r="FH153" s="20"/>
      <c r="FI153" s="20"/>
      <c r="FJ153" s="20"/>
      <c r="FK153" s="20"/>
      <c r="FL153" s="20"/>
      <c r="FM153" s="20"/>
      <c r="FN153" s="20"/>
      <c r="FO153" s="20"/>
      <c r="FP153" s="20"/>
      <c r="FQ153" s="20"/>
      <c r="FR153" s="20"/>
      <c r="FS153" s="20"/>
      <c r="FT153" s="20"/>
      <c r="FU153" s="20"/>
      <c r="FV153" s="20"/>
      <c r="FW153" s="20"/>
      <c r="FX153" s="20"/>
      <c r="FY153" s="20"/>
      <c r="FZ153" s="20"/>
      <c r="GA153" s="20"/>
      <c r="GB153" s="20"/>
      <c r="GC153" s="20"/>
      <c r="GD153" s="20"/>
      <c r="GE153" s="20"/>
      <c r="GF153" s="20"/>
      <c r="GG153" s="20"/>
      <c r="GH153" s="20"/>
      <c r="GI153" s="20"/>
      <c r="GJ153" s="20"/>
      <c r="GK153" s="20"/>
      <c r="GL153" s="20"/>
      <c r="GM153" s="20"/>
      <c r="GN153" s="20"/>
      <c r="GO153" s="20"/>
      <c r="GP153" s="20"/>
      <c r="GQ153" s="20"/>
      <c r="GR153" s="20"/>
      <c r="GS153" s="20"/>
      <c r="GT153" s="20"/>
      <c r="GU153" s="20"/>
      <c r="GV153" s="20"/>
      <c r="GW153" s="20"/>
      <c r="GX153" s="20"/>
      <c r="GY153" s="20"/>
      <c r="GZ153" s="20"/>
      <c r="HA153" s="20"/>
      <c r="HB153" s="20"/>
      <c r="HC153" s="20"/>
      <c r="HD153" s="20"/>
      <c r="HE153" s="20"/>
      <c r="HF153" s="20"/>
      <c r="HG153" s="20"/>
      <c r="HH153" s="20"/>
      <c r="HI153" s="20"/>
      <c r="HJ153" s="20"/>
      <c r="HK153" s="20"/>
      <c r="HL153" s="20"/>
      <c r="HM153" s="20"/>
      <c r="HN153" s="20"/>
      <c r="HO153" s="20"/>
      <c r="HP153" s="20"/>
      <c r="HQ153" s="20"/>
      <c r="HR153" s="20"/>
      <c r="HS153" s="20"/>
      <c r="HT153" s="20"/>
      <c r="HU153" s="20"/>
      <c r="HV153" s="20"/>
      <c r="HW153" s="20"/>
      <c r="HX153" s="20"/>
      <c r="HY153" s="20"/>
      <c r="HZ153" s="20"/>
      <c r="IA153" s="20"/>
      <c r="IB153" s="20"/>
      <c r="IC153" s="20"/>
      <c r="ID153" s="20"/>
      <c r="IE153" s="20"/>
      <c r="IF153" s="20"/>
      <c r="IG153" s="20"/>
      <c r="IH153" s="20"/>
      <c r="II153" s="20"/>
      <c r="IJ153" s="20"/>
      <c r="IK153" s="20"/>
      <c r="IL153" s="20"/>
      <c r="IM153" s="20"/>
      <c r="IN153" s="20"/>
      <c r="IO153" s="20"/>
      <c r="IP153" s="20"/>
      <c r="IQ153" s="20"/>
      <c r="IR153" s="20"/>
      <c r="IS153" s="20"/>
      <c r="IT153" s="20"/>
      <c r="IU153" s="20"/>
      <c r="IV153" s="20"/>
      <c r="IW153" s="20"/>
      <c r="IX153" s="20"/>
      <c r="IY153" s="20"/>
      <c r="IZ153" s="20"/>
      <c r="JA153" s="20"/>
      <c r="JB153" s="20"/>
      <c r="JC153" s="20"/>
    </row>
    <row r="154" spans="2:263" x14ac:dyDescent="0.2">
      <c r="B154" s="140"/>
      <c r="C154" s="24"/>
      <c r="D154" s="133"/>
      <c r="E154" s="133"/>
      <c r="F154" s="413"/>
      <c r="G154" s="132"/>
      <c r="H154" s="24"/>
      <c r="I154" s="24"/>
      <c r="J154" s="54"/>
      <c r="K154" s="26"/>
      <c r="L154" s="20"/>
      <c r="AX154" s="20"/>
      <c r="AY154" s="20"/>
      <c r="AZ154" s="20"/>
      <c r="BA154" s="20"/>
      <c r="BB154" s="20"/>
      <c r="BC154" s="20"/>
      <c r="BD154" s="20"/>
      <c r="BE154" s="20"/>
      <c r="BF154" s="20"/>
      <c r="BG154" s="20"/>
      <c r="BH154" s="20"/>
      <c r="BI154" s="20"/>
      <c r="BJ154" s="20"/>
      <c r="BK154" s="20"/>
      <c r="BL154" s="20"/>
      <c r="BM154" s="20"/>
      <c r="BN154" s="20"/>
      <c r="BO154" s="20"/>
      <c r="BP154" s="2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0"/>
      <c r="EF154" s="20"/>
      <c r="EG154" s="20"/>
      <c r="EH154" s="20"/>
      <c r="EI154" s="20"/>
      <c r="EJ154" s="20"/>
      <c r="EK154" s="20"/>
      <c r="EL154" s="20"/>
      <c r="EM154" s="20"/>
      <c r="EN154" s="20"/>
      <c r="EO154" s="20"/>
      <c r="EP154" s="20"/>
      <c r="EQ154" s="20"/>
      <c r="ER154" s="20"/>
      <c r="ES154" s="20"/>
      <c r="ET154" s="20"/>
      <c r="EU154" s="20"/>
      <c r="EV154" s="20"/>
      <c r="EW154" s="20"/>
      <c r="EX154" s="20"/>
      <c r="EY154" s="20"/>
      <c r="EZ154" s="20"/>
      <c r="FA154" s="20"/>
      <c r="FB154" s="20"/>
      <c r="FC154" s="20"/>
      <c r="FD154" s="20"/>
      <c r="FE154" s="20"/>
      <c r="FF154" s="20"/>
      <c r="FG154" s="20"/>
      <c r="FH154" s="20"/>
      <c r="FI154" s="20"/>
      <c r="FJ154" s="20"/>
      <c r="FK154" s="20"/>
      <c r="FL154" s="20"/>
      <c r="FM154" s="20"/>
      <c r="FN154" s="20"/>
      <c r="FO154" s="20"/>
      <c r="FP154" s="20"/>
      <c r="FQ154" s="20"/>
      <c r="FR154" s="20"/>
      <c r="FS154" s="20"/>
      <c r="FT154" s="20"/>
      <c r="FU154" s="20"/>
      <c r="FV154" s="20"/>
      <c r="FW154" s="20"/>
      <c r="FX154" s="20"/>
      <c r="FY154" s="20"/>
      <c r="FZ154" s="20"/>
      <c r="GA154" s="20"/>
      <c r="GB154" s="20"/>
      <c r="GC154" s="20"/>
      <c r="GD154" s="20"/>
      <c r="GE154" s="20"/>
      <c r="GF154" s="20"/>
      <c r="GG154" s="20"/>
      <c r="GH154" s="20"/>
      <c r="GI154" s="20"/>
      <c r="GJ154" s="20"/>
      <c r="GK154" s="20"/>
      <c r="GL154" s="20"/>
      <c r="GM154" s="20"/>
      <c r="GN154" s="20"/>
      <c r="GO154" s="20"/>
      <c r="GP154" s="20"/>
      <c r="GQ154" s="20"/>
      <c r="GR154" s="20"/>
      <c r="GS154" s="20"/>
      <c r="GT154" s="20"/>
      <c r="GU154" s="20"/>
      <c r="GV154" s="20"/>
      <c r="GW154" s="20"/>
      <c r="GX154" s="20"/>
      <c r="GY154" s="20"/>
      <c r="GZ154" s="20"/>
      <c r="HA154" s="20"/>
      <c r="HB154" s="20"/>
      <c r="HC154" s="20"/>
      <c r="HD154" s="20"/>
      <c r="HE154" s="20"/>
      <c r="HF154" s="20"/>
      <c r="HG154" s="20"/>
      <c r="HH154" s="20"/>
      <c r="HI154" s="20"/>
      <c r="HJ154" s="20"/>
      <c r="HK154" s="20"/>
      <c r="HL154" s="20"/>
      <c r="HM154" s="20"/>
      <c r="HN154" s="20"/>
      <c r="HO154" s="20"/>
      <c r="HP154" s="20"/>
      <c r="HQ154" s="20"/>
      <c r="HR154" s="20"/>
      <c r="HS154" s="20"/>
      <c r="HT154" s="20"/>
      <c r="HU154" s="20"/>
      <c r="HV154" s="20"/>
      <c r="HW154" s="20"/>
      <c r="HX154" s="20"/>
      <c r="HY154" s="20"/>
      <c r="HZ154" s="20"/>
      <c r="IA154" s="20"/>
      <c r="IB154" s="20"/>
      <c r="IC154" s="20"/>
      <c r="ID154" s="20"/>
      <c r="IE154" s="20"/>
      <c r="IF154" s="20"/>
      <c r="IG154" s="20"/>
      <c r="IH154" s="20"/>
      <c r="II154" s="20"/>
      <c r="IJ154" s="20"/>
      <c r="IK154" s="20"/>
      <c r="IL154" s="20"/>
      <c r="IM154" s="20"/>
      <c r="IN154" s="20"/>
      <c r="IO154" s="20"/>
      <c r="IP154" s="20"/>
      <c r="IQ154" s="20"/>
      <c r="IR154" s="20"/>
      <c r="IS154" s="20"/>
      <c r="IT154" s="20"/>
      <c r="IU154" s="20"/>
      <c r="IV154" s="20"/>
      <c r="IW154" s="20"/>
      <c r="IX154" s="20"/>
      <c r="IY154" s="20"/>
      <c r="IZ154" s="20"/>
      <c r="JA154" s="20"/>
      <c r="JB154" s="20"/>
      <c r="JC154" s="20"/>
    </row>
    <row r="155" spans="2:263" x14ac:dyDescent="0.2">
      <c r="B155" s="140"/>
      <c r="C155" s="24"/>
      <c r="D155" s="133"/>
      <c r="E155" s="133"/>
      <c r="F155" s="413"/>
      <c r="G155" s="273"/>
      <c r="H155" s="24"/>
      <c r="I155" s="24"/>
      <c r="J155" s="54"/>
      <c r="K155" s="202"/>
      <c r="L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  <c r="FC155" s="20"/>
      <c r="FD155" s="20"/>
      <c r="FE155" s="20"/>
      <c r="FF155" s="20"/>
      <c r="FG155" s="20"/>
      <c r="FH155" s="20"/>
      <c r="FI155" s="20"/>
      <c r="FJ155" s="20"/>
      <c r="FK155" s="20"/>
      <c r="FL155" s="20"/>
      <c r="FM155" s="20"/>
      <c r="FN155" s="20"/>
      <c r="FO155" s="20"/>
      <c r="FP155" s="20"/>
      <c r="FQ155" s="20"/>
      <c r="FR155" s="20"/>
      <c r="FS155" s="20"/>
      <c r="FT155" s="20"/>
      <c r="FU155" s="20"/>
      <c r="FV155" s="20"/>
      <c r="FW155" s="20"/>
      <c r="FX155" s="20"/>
      <c r="FY155" s="20"/>
      <c r="FZ155" s="20"/>
      <c r="GA155" s="20"/>
      <c r="GB155" s="20"/>
      <c r="GC155" s="20"/>
      <c r="GD155" s="20"/>
      <c r="GE155" s="20"/>
      <c r="GF155" s="20"/>
      <c r="GG155" s="20"/>
      <c r="GH155" s="20"/>
      <c r="GI155" s="20"/>
      <c r="GJ155" s="20"/>
      <c r="GK155" s="20"/>
      <c r="GL155" s="20"/>
      <c r="GM155" s="20"/>
      <c r="GN155" s="20"/>
      <c r="GO155" s="20"/>
      <c r="GP155" s="20"/>
      <c r="GQ155" s="20"/>
      <c r="GR155" s="20"/>
      <c r="GS155" s="20"/>
      <c r="GT155" s="20"/>
      <c r="GU155" s="20"/>
      <c r="GV155" s="20"/>
      <c r="GW155" s="20"/>
      <c r="GX155" s="20"/>
      <c r="GY155" s="20"/>
      <c r="GZ155" s="20"/>
      <c r="HA155" s="20"/>
      <c r="HB155" s="20"/>
      <c r="HC155" s="20"/>
      <c r="HD155" s="20"/>
      <c r="HE155" s="20"/>
      <c r="HF155" s="20"/>
      <c r="HG155" s="20"/>
      <c r="HH155" s="20"/>
      <c r="HI155" s="20"/>
      <c r="HJ155" s="20"/>
      <c r="HK155" s="20"/>
      <c r="HL155" s="20"/>
      <c r="HM155" s="20"/>
      <c r="HN155" s="20"/>
      <c r="HO155" s="20"/>
      <c r="HP155" s="20"/>
      <c r="HQ155" s="20"/>
      <c r="HR155" s="20"/>
      <c r="HS155" s="20"/>
      <c r="HT155" s="20"/>
      <c r="HU155" s="20"/>
      <c r="HV155" s="20"/>
      <c r="HW155" s="20"/>
      <c r="HX155" s="20"/>
      <c r="HY155" s="20"/>
      <c r="HZ155" s="20"/>
      <c r="IA155" s="20"/>
      <c r="IB155" s="20"/>
      <c r="IC155" s="20"/>
      <c r="ID155" s="20"/>
      <c r="IE155" s="20"/>
      <c r="IF155" s="20"/>
      <c r="IG155" s="20"/>
      <c r="IH155" s="20"/>
      <c r="II155" s="20"/>
      <c r="IJ155" s="20"/>
      <c r="IK155" s="20"/>
      <c r="IL155" s="20"/>
      <c r="IM155" s="20"/>
      <c r="IN155" s="20"/>
      <c r="IO155" s="20"/>
      <c r="IP155" s="20"/>
      <c r="IQ155" s="20"/>
      <c r="IR155" s="20"/>
      <c r="IS155" s="20"/>
      <c r="IT155" s="20"/>
      <c r="IU155" s="20"/>
      <c r="IV155" s="20"/>
      <c r="IW155" s="20"/>
      <c r="IX155" s="20"/>
      <c r="IY155" s="20"/>
      <c r="IZ155" s="20"/>
      <c r="JA155" s="20"/>
      <c r="JB155" s="20"/>
      <c r="JC155" s="20"/>
    </row>
    <row r="156" spans="2:263" x14ac:dyDescent="0.2">
      <c r="B156" s="140"/>
      <c r="C156" s="24"/>
      <c r="D156" s="133"/>
      <c r="E156" s="133"/>
      <c r="F156" s="413"/>
      <c r="G156" s="132"/>
      <c r="H156" s="24"/>
      <c r="I156" s="24"/>
      <c r="J156" s="54"/>
      <c r="K156" s="26"/>
      <c r="L156" s="20"/>
      <c r="AX156" s="20"/>
      <c r="AY156" s="20"/>
      <c r="AZ156" s="20"/>
      <c r="BA156" s="20"/>
      <c r="BB156" s="20"/>
      <c r="BC156" s="20"/>
      <c r="BD156" s="20"/>
      <c r="BE156" s="20"/>
      <c r="BF156" s="20"/>
      <c r="BG156" s="20"/>
      <c r="BH156" s="20"/>
      <c r="BI156" s="20"/>
      <c r="BJ156" s="20"/>
      <c r="BK156" s="20"/>
      <c r="BL156" s="20"/>
      <c r="BM156" s="20"/>
      <c r="BN156" s="20"/>
      <c r="BO156" s="20"/>
      <c r="BP156" s="2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0"/>
      <c r="EF156" s="20"/>
      <c r="EG156" s="20"/>
      <c r="EH156" s="20"/>
      <c r="EI156" s="20"/>
      <c r="EJ156" s="20"/>
      <c r="EK156" s="20"/>
      <c r="EL156" s="20"/>
      <c r="EM156" s="20"/>
      <c r="EN156" s="20"/>
      <c r="EO156" s="20"/>
      <c r="EP156" s="20"/>
      <c r="EQ156" s="20"/>
      <c r="ER156" s="20"/>
      <c r="ES156" s="20"/>
      <c r="ET156" s="20"/>
      <c r="EU156" s="20"/>
      <c r="EV156" s="20"/>
      <c r="EW156" s="20"/>
      <c r="EX156" s="20"/>
      <c r="EY156" s="20"/>
      <c r="EZ156" s="20"/>
      <c r="FA156" s="20"/>
      <c r="FB156" s="20"/>
      <c r="FC156" s="20"/>
      <c r="FD156" s="20"/>
      <c r="FE156" s="20"/>
      <c r="FF156" s="20"/>
      <c r="FG156" s="20"/>
      <c r="FH156" s="20"/>
      <c r="FI156" s="20"/>
      <c r="FJ156" s="20"/>
      <c r="FK156" s="20"/>
      <c r="FL156" s="20"/>
      <c r="FM156" s="20"/>
      <c r="FN156" s="20"/>
      <c r="FO156" s="20"/>
      <c r="FP156" s="20"/>
      <c r="FQ156" s="20"/>
      <c r="FR156" s="20"/>
      <c r="FS156" s="20"/>
      <c r="FT156" s="20"/>
      <c r="FU156" s="20"/>
      <c r="FV156" s="20"/>
      <c r="FW156" s="20"/>
      <c r="FX156" s="20"/>
      <c r="FY156" s="20"/>
      <c r="FZ156" s="20"/>
      <c r="GA156" s="20"/>
      <c r="GB156" s="20"/>
      <c r="GC156" s="20"/>
      <c r="GD156" s="20"/>
      <c r="GE156" s="20"/>
      <c r="GF156" s="20"/>
      <c r="GG156" s="20"/>
      <c r="GH156" s="20"/>
      <c r="GI156" s="20"/>
      <c r="GJ156" s="20"/>
      <c r="GK156" s="20"/>
      <c r="GL156" s="20"/>
      <c r="GM156" s="20"/>
      <c r="GN156" s="20"/>
      <c r="GO156" s="20"/>
      <c r="GP156" s="20"/>
      <c r="GQ156" s="20"/>
      <c r="GR156" s="20"/>
      <c r="GS156" s="20"/>
      <c r="GT156" s="20"/>
      <c r="GU156" s="20"/>
      <c r="GV156" s="20"/>
      <c r="GW156" s="20"/>
      <c r="GX156" s="20"/>
      <c r="GY156" s="20"/>
      <c r="GZ156" s="20"/>
      <c r="HA156" s="20"/>
      <c r="HB156" s="20"/>
      <c r="HC156" s="20"/>
      <c r="HD156" s="20"/>
      <c r="HE156" s="20"/>
      <c r="HF156" s="20"/>
      <c r="HG156" s="20"/>
      <c r="HH156" s="20"/>
      <c r="HI156" s="20"/>
      <c r="HJ156" s="20"/>
      <c r="HK156" s="20"/>
      <c r="HL156" s="20"/>
      <c r="HM156" s="20"/>
      <c r="HN156" s="20"/>
      <c r="HO156" s="20"/>
      <c r="HP156" s="20"/>
      <c r="HQ156" s="20"/>
      <c r="HR156" s="20"/>
      <c r="HS156" s="20"/>
      <c r="HT156" s="20"/>
      <c r="HU156" s="20"/>
      <c r="HV156" s="20"/>
      <c r="HW156" s="20"/>
      <c r="HX156" s="20"/>
      <c r="HY156" s="20"/>
      <c r="HZ156" s="20"/>
      <c r="IA156" s="20"/>
      <c r="IB156" s="20"/>
      <c r="IC156" s="20"/>
      <c r="ID156" s="20"/>
      <c r="IE156" s="20"/>
      <c r="IF156" s="20"/>
      <c r="IG156" s="20"/>
      <c r="IH156" s="20"/>
      <c r="II156" s="20"/>
      <c r="IJ156" s="20"/>
      <c r="IK156" s="20"/>
      <c r="IL156" s="20"/>
      <c r="IM156" s="20"/>
      <c r="IN156" s="20"/>
      <c r="IO156" s="20"/>
      <c r="IP156" s="20"/>
      <c r="IQ156" s="20"/>
      <c r="IR156" s="20"/>
      <c r="IS156" s="20"/>
      <c r="IT156" s="20"/>
      <c r="IU156" s="20"/>
      <c r="IV156" s="20"/>
      <c r="IW156" s="20"/>
      <c r="IX156" s="20"/>
      <c r="IY156" s="20"/>
      <c r="IZ156" s="20"/>
      <c r="JA156" s="20"/>
      <c r="JB156" s="20"/>
      <c r="JC156" s="20"/>
    </row>
    <row r="157" spans="2:263" x14ac:dyDescent="0.2">
      <c r="B157" s="140"/>
      <c r="C157" s="24"/>
      <c r="D157" s="133"/>
      <c r="E157" s="133"/>
      <c r="F157" s="413"/>
      <c r="G157" s="132"/>
      <c r="H157" s="24"/>
      <c r="I157" s="140"/>
      <c r="J157" s="54"/>
      <c r="K157" s="425"/>
      <c r="L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  <c r="FC157" s="20"/>
      <c r="FD157" s="20"/>
      <c r="FE157" s="20"/>
      <c r="FF157" s="20"/>
      <c r="FG157" s="20"/>
      <c r="FH157" s="20"/>
      <c r="FI157" s="20"/>
      <c r="FJ157" s="20"/>
      <c r="FK157" s="20"/>
      <c r="FL157" s="20"/>
      <c r="FM157" s="20"/>
      <c r="FN157" s="20"/>
      <c r="FO157" s="20"/>
      <c r="FP157" s="20"/>
      <c r="FQ157" s="20"/>
      <c r="FR157" s="20"/>
      <c r="FS157" s="20"/>
      <c r="FT157" s="20"/>
      <c r="FU157" s="20"/>
      <c r="FV157" s="20"/>
      <c r="FW157" s="20"/>
      <c r="FX157" s="20"/>
      <c r="FY157" s="20"/>
      <c r="FZ157" s="20"/>
      <c r="GA157" s="20"/>
      <c r="GB157" s="20"/>
      <c r="GC157" s="20"/>
      <c r="GD157" s="20"/>
      <c r="GE157" s="20"/>
      <c r="GF157" s="20"/>
      <c r="GG157" s="20"/>
      <c r="GH157" s="20"/>
      <c r="GI157" s="20"/>
      <c r="GJ157" s="20"/>
      <c r="GK157" s="20"/>
      <c r="GL157" s="20"/>
      <c r="GM157" s="20"/>
      <c r="GN157" s="20"/>
      <c r="GO157" s="20"/>
      <c r="GP157" s="20"/>
      <c r="GQ157" s="20"/>
      <c r="GR157" s="20"/>
      <c r="GS157" s="20"/>
      <c r="GT157" s="20"/>
      <c r="GU157" s="20"/>
      <c r="GV157" s="20"/>
      <c r="GW157" s="20"/>
      <c r="GX157" s="20"/>
      <c r="GY157" s="20"/>
      <c r="GZ157" s="20"/>
      <c r="HA157" s="20"/>
      <c r="HB157" s="20"/>
      <c r="HC157" s="20"/>
      <c r="HD157" s="20"/>
      <c r="HE157" s="20"/>
      <c r="HF157" s="20"/>
      <c r="HG157" s="20"/>
      <c r="HH157" s="20"/>
      <c r="HI157" s="20"/>
      <c r="HJ157" s="20"/>
      <c r="HK157" s="20"/>
      <c r="HL157" s="20"/>
      <c r="HM157" s="20"/>
      <c r="HN157" s="20"/>
      <c r="HO157" s="20"/>
      <c r="HP157" s="20"/>
      <c r="HQ157" s="20"/>
      <c r="HR157" s="20"/>
      <c r="HS157" s="20"/>
      <c r="HT157" s="20"/>
      <c r="HU157" s="20"/>
      <c r="HV157" s="20"/>
      <c r="HW157" s="20"/>
      <c r="HX157" s="20"/>
      <c r="HY157" s="20"/>
      <c r="HZ157" s="20"/>
      <c r="IA157" s="20"/>
      <c r="IB157" s="20"/>
      <c r="IC157" s="20"/>
      <c r="ID157" s="20"/>
      <c r="IE157" s="20"/>
      <c r="IF157" s="20"/>
      <c r="IG157" s="20"/>
      <c r="IH157" s="20"/>
      <c r="II157" s="20"/>
      <c r="IJ157" s="20"/>
      <c r="IK157" s="20"/>
      <c r="IL157" s="20"/>
      <c r="IM157" s="20"/>
      <c r="IN157" s="20"/>
      <c r="IO157" s="20"/>
      <c r="IP157" s="20"/>
      <c r="IQ157" s="20"/>
      <c r="IR157" s="20"/>
      <c r="IS157" s="20"/>
      <c r="IT157" s="20"/>
      <c r="IU157" s="20"/>
      <c r="IV157" s="20"/>
      <c r="IW157" s="20"/>
      <c r="IX157" s="20"/>
      <c r="IY157" s="20"/>
      <c r="IZ157" s="20"/>
      <c r="JA157" s="20"/>
      <c r="JB157" s="20"/>
      <c r="JC157" s="20"/>
    </row>
    <row r="158" spans="2:263" x14ac:dyDescent="0.2">
      <c r="B158" s="140"/>
      <c r="C158" s="24"/>
      <c r="D158" s="133"/>
      <c r="E158" s="133"/>
      <c r="F158" s="413"/>
      <c r="G158" s="132"/>
      <c r="H158" s="24"/>
      <c r="I158" s="24"/>
      <c r="J158" s="54"/>
      <c r="K158" s="140"/>
      <c r="AX158" s="20"/>
      <c r="AY158" s="20"/>
      <c r="AZ158" s="20"/>
      <c r="BA158" s="20"/>
      <c r="BB158" s="20"/>
      <c r="BC158" s="20"/>
      <c r="BD158" s="20"/>
      <c r="BE158" s="20"/>
      <c r="BF158" s="20"/>
      <c r="BG158" s="20"/>
      <c r="BH158" s="20"/>
      <c r="BI158" s="20"/>
      <c r="BJ158" s="20"/>
      <c r="BK158" s="20"/>
      <c r="BL158" s="20"/>
      <c r="BM158" s="20"/>
      <c r="BN158" s="20"/>
      <c r="BO158" s="20"/>
      <c r="BP158" s="2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0"/>
      <c r="EF158" s="20"/>
      <c r="EG158" s="20"/>
      <c r="EH158" s="20"/>
      <c r="EI158" s="20"/>
      <c r="EJ158" s="20"/>
      <c r="EK158" s="20"/>
      <c r="EL158" s="20"/>
      <c r="EM158" s="20"/>
      <c r="EN158" s="20"/>
      <c r="EO158" s="20"/>
      <c r="EP158" s="20"/>
      <c r="EQ158" s="20"/>
      <c r="ER158" s="20"/>
      <c r="ES158" s="20"/>
      <c r="ET158" s="20"/>
      <c r="EU158" s="20"/>
      <c r="EV158" s="20"/>
      <c r="EW158" s="20"/>
      <c r="EX158" s="20"/>
      <c r="EY158" s="20"/>
      <c r="EZ158" s="20"/>
      <c r="FA158" s="20"/>
      <c r="FB158" s="20"/>
      <c r="FC158" s="20"/>
      <c r="FD158" s="20"/>
      <c r="FE158" s="20"/>
      <c r="FF158" s="20"/>
      <c r="FG158" s="20"/>
      <c r="FH158" s="20"/>
      <c r="FI158" s="20"/>
      <c r="FJ158" s="20"/>
      <c r="FK158" s="20"/>
      <c r="FL158" s="20"/>
      <c r="FM158" s="20"/>
      <c r="FN158" s="20"/>
      <c r="FO158" s="20"/>
      <c r="FP158" s="20"/>
      <c r="FQ158" s="20"/>
      <c r="FR158" s="20"/>
      <c r="FS158" s="20"/>
      <c r="FT158" s="20"/>
      <c r="FU158" s="20"/>
      <c r="FV158" s="20"/>
      <c r="FW158" s="20"/>
      <c r="FX158" s="20"/>
      <c r="FY158" s="20"/>
      <c r="FZ158" s="20"/>
      <c r="GA158" s="20"/>
      <c r="GB158" s="20"/>
      <c r="GC158" s="20"/>
      <c r="GD158" s="20"/>
      <c r="GE158" s="20"/>
      <c r="GF158" s="20"/>
      <c r="GG158" s="20"/>
      <c r="GH158" s="20"/>
      <c r="GI158" s="20"/>
      <c r="GJ158" s="20"/>
      <c r="GK158" s="20"/>
      <c r="GL158" s="20"/>
      <c r="GM158" s="20"/>
      <c r="GN158" s="20"/>
      <c r="GO158" s="20"/>
      <c r="GP158" s="20"/>
      <c r="GQ158" s="20"/>
      <c r="GR158" s="20"/>
      <c r="GS158" s="20"/>
      <c r="GT158" s="20"/>
      <c r="GU158" s="20"/>
      <c r="GV158" s="20"/>
      <c r="GW158" s="20"/>
      <c r="GX158" s="20"/>
      <c r="GY158" s="20"/>
      <c r="GZ158" s="20"/>
      <c r="HA158" s="20"/>
      <c r="HB158" s="20"/>
      <c r="HC158" s="20"/>
      <c r="HD158" s="20"/>
      <c r="HE158" s="20"/>
      <c r="HF158" s="20"/>
      <c r="HG158" s="20"/>
      <c r="HH158" s="20"/>
      <c r="HI158" s="20"/>
      <c r="HJ158" s="20"/>
      <c r="HK158" s="20"/>
      <c r="HL158" s="20"/>
      <c r="HM158" s="20"/>
      <c r="HN158" s="20"/>
      <c r="HO158" s="20"/>
      <c r="HP158" s="20"/>
      <c r="HQ158" s="20"/>
      <c r="HR158" s="20"/>
      <c r="HS158" s="20"/>
      <c r="HT158" s="20"/>
      <c r="HU158" s="20"/>
      <c r="HV158" s="20"/>
      <c r="HW158" s="20"/>
      <c r="HX158" s="20"/>
      <c r="HY158" s="20"/>
      <c r="HZ158" s="20"/>
      <c r="IA158" s="20"/>
      <c r="IB158" s="20"/>
      <c r="IC158" s="20"/>
      <c r="ID158" s="20"/>
      <c r="IE158" s="20"/>
      <c r="IF158" s="20"/>
      <c r="IG158" s="20"/>
      <c r="IH158" s="20"/>
      <c r="II158" s="20"/>
      <c r="IJ158" s="20"/>
      <c r="IK158" s="20"/>
      <c r="IL158" s="20"/>
      <c r="IM158" s="20"/>
      <c r="IN158" s="20"/>
      <c r="IO158" s="20"/>
      <c r="IP158" s="20"/>
      <c r="IQ158" s="20"/>
      <c r="IR158" s="20"/>
      <c r="IS158" s="20"/>
      <c r="IT158" s="20"/>
      <c r="IU158" s="20"/>
      <c r="IV158" s="20"/>
      <c r="IW158" s="20"/>
      <c r="IX158" s="20"/>
      <c r="IY158" s="20"/>
      <c r="IZ158" s="20"/>
      <c r="JA158" s="20"/>
      <c r="JB158" s="20"/>
      <c r="JC158" s="20"/>
    </row>
    <row r="159" spans="2:263" x14ac:dyDescent="0.2">
      <c r="B159" s="140"/>
      <c r="C159" s="24"/>
      <c r="D159" s="133"/>
      <c r="E159" s="133"/>
      <c r="F159" s="413"/>
      <c r="G159" s="132"/>
      <c r="H159" s="24"/>
      <c r="I159" s="24"/>
      <c r="J159" s="54"/>
      <c r="K159" s="14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  <c r="FC159" s="20"/>
      <c r="FD159" s="20"/>
      <c r="FE159" s="20"/>
      <c r="FF159" s="20"/>
      <c r="FG159" s="20"/>
      <c r="FH159" s="20"/>
      <c r="FI159" s="20"/>
      <c r="FJ159" s="20"/>
      <c r="FK159" s="20"/>
      <c r="FL159" s="20"/>
      <c r="FM159" s="20"/>
      <c r="FN159" s="20"/>
      <c r="FO159" s="20"/>
      <c r="FP159" s="20"/>
      <c r="FQ159" s="20"/>
      <c r="FR159" s="20"/>
      <c r="FS159" s="20"/>
      <c r="FT159" s="20"/>
      <c r="FU159" s="20"/>
      <c r="FV159" s="20"/>
      <c r="FW159" s="20"/>
      <c r="FX159" s="20"/>
      <c r="FY159" s="20"/>
      <c r="FZ159" s="20"/>
      <c r="GA159" s="20"/>
      <c r="GB159" s="20"/>
      <c r="GC159" s="20"/>
      <c r="GD159" s="20"/>
      <c r="GE159" s="20"/>
      <c r="GF159" s="20"/>
      <c r="GG159" s="20"/>
      <c r="GH159" s="20"/>
      <c r="GI159" s="20"/>
      <c r="GJ159" s="20"/>
      <c r="GK159" s="20"/>
      <c r="GL159" s="20"/>
      <c r="GM159" s="20"/>
      <c r="GN159" s="20"/>
      <c r="GO159" s="20"/>
      <c r="GP159" s="20"/>
      <c r="GQ159" s="20"/>
      <c r="GR159" s="20"/>
      <c r="GS159" s="20"/>
      <c r="GT159" s="20"/>
      <c r="GU159" s="20"/>
      <c r="GV159" s="20"/>
      <c r="GW159" s="20"/>
      <c r="GX159" s="20"/>
      <c r="GY159" s="20"/>
      <c r="GZ159" s="20"/>
      <c r="HA159" s="20"/>
      <c r="HB159" s="20"/>
      <c r="HC159" s="20"/>
      <c r="HD159" s="20"/>
      <c r="HE159" s="20"/>
      <c r="HF159" s="20"/>
      <c r="HG159" s="20"/>
      <c r="HH159" s="20"/>
      <c r="HI159" s="20"/>
      <c r="HJ159" s="20"/>
      <c r="HK159" s="20"/>
      <c r="HL159" s="20"/>
      <c r="HM159" s="20"/>
      <c r="HN159" s="20"/>
      <c r="HO159" s="20"/>
      <c r="HP159" s="20"/>
      <c r="HQ159" s="20"/>
      <c r="HR159" s="20"/>
      <c r="HS159" s="20"/>
      <c r="HT159" s="20"/>
      <c r="HU159" s="20"/>
      <c r="HV159" s="20"/>
      <c r="HW159" s="20"/>
      <c r="HX159" s="20"/>
      <c r="HY159" s="20"/>
      <c r="HZ159" s="20"/>
      <c r="IA159" s="20"/>
      <c r="IB159" s="20"/>
      <c r="IC159" s="20"/>
      <c r="ID159" s="20"/>
      <c r="IE159" s="20"/>
      <c r="IF159" s="20"/>
      <c r="IG159" s="20"/>
      <c r="IH159" s="20"/>
      <c r="II159" s="20"/>
      <c r="IJ159" s="20"/>
      <c r="IK159" s="20"/>
      <c r="IL159" s="20"/>
      <c r="IM159" s="20"/>
      <c r="IN159" s="20"/>
      <c r="IO159" s="20"/>
      <c r="IP159" s="20"/>
      <c r="IQ159" s="20"/>
      <c r="IR159" s="20"/>
      <c r="IS159" s="20"/>
      <c r="IT159" s="20"/>
      <c r="IU159" s="20"/>
      <c r="IV159" s="20"/>
      <c r="IW159" s="20"/>
      <c r="IX159" s="20"/>
      <c r="IY159" s="20"/>
      <c r="IZ159" s="20"/>
      <c r="JA159" s="20"/>
      <c r="JB159" s="20"/>
      <c r="JC159" s="20"/>
    </row>
    <row r="160" spans="2:263" x14ac:dyDescent="0.2">
      <c r="B160" s="140"/>
      <c r="C160" s="24"/>
      <c r="D160" s="133"/>
      <c r="E160" s="133"/>
      <c r="F160" s="413"/>
      <c r="G160" s="132"/>
      <c r="H160" s="24"/>
      <c r="I160" s="140"/>
      <c r="J160" s="54"/>
      <c r="K160" s="14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  <c r="FI160" s="20"/>
      <c r="FJ160" s="20"/>
      <c r="FK160" s="20"/>
      <c r="FL160" s="20"/>
      <c r="FM160" s="20"/>
      <c r="FN160" s="20"/>
      <c r="FO160" s="20"/>
      <c r="FP160" s="20"/>
      <c r="FQ160" s="20"/>
      <c r="FR160" s="20"/>
      <c r="FS160" s="20"/>
      <c r="FT160" s="20"/>
      <c r="FU160" s="20"/>
      <c r="FV160" s="20"/>
      <c r="FW160" s="20"/>
      <c r="FX160" s="20"/>
      <c r="FY160" s="20"/>
      <c r="FZ160" s="20"/>
      <c r="GA160" s="20"/>
      <c r="GB160" s="20"/>
      <c r="GC160" s="20"/>
      <c r="GD160" s="20"/>
      <c r="GE160" s="20"/>
      <c r="GF160" s="20"/>
      <c r="GG160" s="20"/>
      <c r="GH160" s="20"/>
      <c r="GI160" s="20"/>
      <c r="GJ160" s="20"/>
      <c r="GK160" s="20"/>
      <c r="GL160" s="20"/>
      <c r="GM160" s="20"/>
      <c r="GN160" s="20"/>
      <c r="GO160" s="20"/>
      <c r="GP160" s="20"/>
      <c r="GQ160" s="20"/>
      <c r="GR160" s="20"/>
      <c r="GS160" s="20"/>
      <c r="GT160" s="20"/>
      <c r="GU160" s="20"/>
      <c r="GV160" s="20"/>
      <c r="GW160" s="20"/>
      <c r="GX160" s="20"/>
      <c r="GY160" s="20"/>
      <c r="GZ160" s="20"/>
      <c r="HA160" s="20"/>
      <c r="HB160" s="20"/>
      <c r="HC160" s="20"/>
      <c r="HD160" s="20"/>
      <c r="HE160" s="20"/>
      <c r="HF160" s="20"/>
      <c r="HG160" s="20"/>
      <c r="HH160" s="20"/>
      <c r="HI160" s="20"/>
      <c r="HJ160" s="20"/>
      <c r="HK160" s="20"/>
      <c r="HL160" s="20"/>
      <c r="HM160" s="20"/>
      <c r="HN160" s="20"/>
      <c r="HO160" s="20"/>
      <c r="HP160" s="20"/>
      <c r="HQ160" s="20"/>
      <c r="HR160" s="20"/>
      <c r="HS160" s="20"/>
      <c r="HT160" s="20"/>
      <c r="HU160" s="20"/>
      <c r="HV160" s="20"/>
      <c r="HW160" s="20"/>
      <c r="HX160" s="20"/>
      <c r="HY160" s="20"/>
      <c r="HZ160" s="20"/>
      <c r="IA160" s="20"/>
      <c r="IB160" s="20"/>
      <c r="IC160" s="20"/>
      <c r="ID160" s="20"/>
      <c r="IE160" s="20"/>
      <c r="IF160" s="20"/>
      <c r="IG160" s="20"/>
      <c r="IH160" s="20"/>
      <c r="II160" s="20"/>
      <c r="IJ160" s="20"/>
      <c r="IK160" s="20"/>
      <c r="IL160" s="20"/>
      <c r="IM160" s="20"/>
      <c r="IN160" s="20"/>
      <c r="IO160" s="20"/>
      <c r="IP160" s="20"/>
      <c r="IQ160" s="20"/>
      <c r="IR160" s="20"/>
      <c r="IS160" s="20"/>
      <c r="IT160" s="20"/>
      <c r="IU160" s="20"/>
      <c r="IV160" s="20"/>
      <c r="IW160" s="20"/>
      <c r="IX160" s="20"/>
      <c r="IY160" s="20"/>
      <c r="IZ160" s="20"/>
      <c r="JA160" s="20"/>
      <c r="JB160" s="20"/>
      <c r="JC160" s="20"/>
    </row>
    <row r="161" spans="2:263" x14ac:dyDescent="0.2">
      <c r="B161" s="140"/>
      <c r="C161" s="24"/>
      <c r="D161" s="133"/>
      <c r="E161" s="133"/>
      <c r="F161" s="413"/>
      <c r="G161" s="203"/>
      <c r="H161" s="24"/>
      <c r="I161" s="24"/>
      <c r="J161" s="54"/>
      <c r="K161" s="14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  <c r="FC161" s="20"/>
      <c r="FD161" s="20"/>
      <c r="FE161" s="20"/>
      <c r="FF161" s="20"/>
      <c r="FG161" s="20"/>
      <c r="FH161" s="20"/>
      <c r="FI161" s="20"/>
      <c r="FJ161" s="20"/>
      <c r="FK161" s="20"/>
      <c r="FL161" s="20"/>
      <c r="FM161" s="20"/>
      <c r="FN161" s="20"/>
      <c r="FO161" s="20"/>
      <c r="FP161" s="20"/>
      <c r="FQ161" s="20"/>
      <c r="FR161" s="20"/>
      <c r="FS161" s="20"/>
      <c r="FT161" s="20"/>
      <c r="FU161" s="20"/>
      <c r="FV161" s="20"/>
      <c r="FW161" s="20"/>
      <c r="FX161" s="20"/>
      <c r="FY161" s="20"/>
      <c r="FZ161" s="20"/>
      <c r="GA161" s="20"/>
      <c r="GB161" s="20"/>
      <c r="GC161" s="20"/>
      <c r="GD161" s="20"/>
      <c r="GE161" s="20"/>
      <c r="GF161" s="20"/>
      <c r="GG161" s="20"/>
      <c r="GH161" s="20"/>
      <c r="GI161" s="20"/>
      <c r="GJ161" s="20"/>
      <c r="GK161" s="20"/>
      <c r="GL161" s="20"/>
      <c r="GM161" s="20"/>
      <c r="GN161" s="20"/>
      <c r="GO161" s="20"/>
      <c r="GP161" s="20"/>
      <c r="GQ161" s="20"/>
      <c r="GR161" s="20"/>
      <c r="GS161" s="20"/>
      <c r="GT161" s="20"/>
      <c r="GU161" s="20"/>
      <c r="GV161" s="20"/>
      <c r="GW161" s="20"/>
      <c r="GX161" s="20"/>
      <c r="GY161" s="20"/>
      <c r="GZ161" s="20"/>
      <c r="HA161" s="20"/>
      <c r="HB161" s="20"/>
      <c r="HC161" s="20"/>
      <c r="HD161" s="20"/>
      <c r="HE161" s="20"/>
      <c r="HF161" s="20"/>
      <c r="HG161" s="20"/>
      <c r="HH161" s="20"/>
      <c r="HI161" s="20"/>
      <c r="HJ161" s="20"/>
      <c r="HK161" s="20"/>
      <c r="HL161" s="20"/>
      <c r="HM161" s="20"/>
      <c r="HN161" s="20"/>
      <c r="HO161" s="20"/>
      <c r="HP161" s="20"/>
      <c r="HQ161" s="20"/>
      <c r="HR161" s="20"/>
      <c r="HS161" s="20"/>
      <c r="HT161" s="20"/>
      <c r="HU161" s="20"/>
      <c r="HV161" s="20"/>
      <c r="HW161" s="20"/>
      <c r="HX161" s="20"/>
      <c r="HY161" s="20"/>
      <c r="HZ161" s="20"/>
      <c r="IA161" s="20"/>
      <c r="IB161" s="20"/>
      <c r="IC161" s="20"/>
      <c r="ID161" s="20"/>
      <c r="IE161" s="20"/>
      <c r="IF161" s="20"/>
      <c r="IG161" s="20"/>
      <c r="IH161" s="20"/>
      <c r="II161" s="20"/>
      <c r="IJ161" s="20"/>
      <c r="IK161" s="20"/>
      <c r="IL161" s="20"/>
      <c r="IM161" s="20"/>
      <c r="IN161" s="20"/>
      <c r="IO161" s="20"/>
      <c r="IP161" s="20"/>
      <c r="IQ161" s="20"/>
      <c r="IR161" s="20"/>
      <c r="IS161" s="20"/>
      <c r="IT161" s="20"/>
      <c r="IU161" s="20"/>
      <c r="IV161" s="20"/>
      <c r="IW161" s="20"/>
      <c r="IX161" s="20"/>
      <c r="IY161" s="20"/>
      <c r="IZ161" s="20"/>
      <c r="JA161" s="20"/>
      <c r="JB161" s="20"/>
      <c r="JC161" s="20"/>
    </row>
    <row r="162" spans="2:263" x14ac:dyDescent="0.2">
      <c r="B162" s="204"/>
      <c r="C162" s="24"/>
      <c r="D162" s="133"/>
      <c r="E162" s="133"/>
      <c r="F162" s="413"/>
      <c r="G162" s="132"/>
      <c r="H162" s="24"/>
      <c r="I162" s="24"/>
      <c r="J162" s="54"/>
      <c r="K162" s="14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L162" s="20"/>
      <c r="BM162" s="20"/>
      <c r="BN162" s="20"/>
      <c r="BO162" s="20"/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0"/>
      <c r="EF162" s="20"/>
      <c r="EG162" s="20"/>
      <c r="EH162" s="20"/>
      <c r="EI162" s="20"/>
      <c r="EJ162" s="20"/>
      <c r="EK162" s="20"/>
      <c r="EL162" s="20"/>
      <c r="EM162" s="20"/>
      <c r="EN162" s="20"/>
      <c r="EO162" s="20"/>
      <c r="EP162" s="20"/>
      <c r="EQ162" s="20"/>
      <c r="ER162" s="20"/>
      <c r="ES162" s="20"/>
      <c r="ET162" s="20"/>
      <c r="EU162" s="20"/>
      <c r="EV162" s="20"/>
      <c r="EW162" s="20"/>
      <c r="EX162" s="20"/>
      <c r="EY162" s="20"/>
      <c r="EZ162" s="20"/>
      <c r="FA162" s="20"/>
      <c r="FB162" s="20"/>
      <c r="FC162" s="20"/>
      <c r="FD162" s="20"/>
      <c r="FE162" s="20"/>
      <c r="FF162" s="20"/>
      <c r="FG162" s="20"/>
      <c r="FH162" s="20"/>
      <c r="FI162" s="20"/>
      <c r="FJ162" s="20"/>
      <c r="FK162" s="20"/>
      <c r="FL162" s="20"/>
      <c r="FM162" s="20"/>
      <c r="FN162" s="20"/>
      <c r="FO162" s="20"/>
      <c r="FP162" s="20"/>
      <c r="FQ162" s="20"/>
      <c r="FR162" s="20"/>
      <c r="FS162" s="20"/>
      <c r="FT162" s="20"/>
      <c r="FU162" s="20"/>
      <c r="FV162" s="20"/>
      <c r="FW162" s="20"/>
      <c r="FX162" s="20"/>
      <c r="FY162" s="20"/>
      <c r="FZ162" s="20"/>
      <c r="GA162" s="20"/>
      <c r="GB162" s="20"/>
      <c r="GC162" s="20"/>
      <c r="GD162" s="20"/>
      <c r="GE162" s="20"/>
      <c r="GF162" s="20"/>
      <c r="GG162" s="20"/>
      <c r="GH162" s="20"/>
      <c r="GI162" s="20"/>
      <c r="GJ162" s="20"/>
      <c r="GK162" s="20"/>
      <c r="GL162" s="20"/>
      <c r="GM162" s="20"/>
      <c r="GN162" s="20"/>
      <c r="GO162" s="20"/>
      <c r="GP162" s="20"/>
      <c r="GQ162" s="20"/>
      <c r="GR162" s="20"/>
      <c r="GS162" s="20"/>
      <c r="GT162" s="20"/>
      <c r="GU162" s="20"/>
      <c r="GV162" s="20"/>
      <c r="GW162" s="20"/>
      <c r="GX162" s="20"/>
      <c r="GY162" s="20"/>
      <c r="GZ162" s="20"/>
      <c r="HA162" s="20"/>
      <c r="HB162" s="20"/>
      <c r="HC162" s="20"/>
      <c r="HD162" s="20"/>
      <c r="HE162" s="20"/>
      <c r="HF162" s="20"/>
      <c r="HG162" s="20"/>
      <c r="HH162" s="20"/>
      <c r="HI162" s="20"/>
      <c r="HJ162" s="20"/>
      <c r="HK162" s="20"/>
      <c r="HL162" s="20"/>
      <c r="HM162" s="20"/>
      <c r="HN162" s="20"/>
      <c r="HO162" s="20"/>
      <c r="HP162" s="20"/>
      <c r="HQ162" s="20"/>
      <c r="HR162" s="20"/>
      <c r="HS162" s="20"/>
      <c r="HT162" s="20"/>
      <c r="HU162" s="20"/>
      <c r="HV162" s="20"/>
      <c r="HW162" s="20"/>
      <c r="HX162" s="20"/>
      <c r="HY162" s="20"/>
      <c r="HZ162" s="20"/>
      <c r="IA162" s="20"/>
      <c r="IB162" s="20"/>
      <c r="IC162" s="20"/>
      <c r="ID162" s="20"/>
      <c r="IE162" s="20"/>
      <c r="IF162" s="20"/>
      <c r="IG162" s="20"/>
      <c r="IH162" s="20"/>
      <c r="II162" s="20"/>
      <c r="IJ162" s="20"/>
      <c r="IK162" s="20"/>
      <c r="IL162" s="20"/>
      <c r="IM162" s="20"/>
      <c r="IN162" s="20"/>
      <c r="IO162" s="20"/>
      <c r="IP162" s="20"/>
      <c r="IQ162" s="20"/>
      <c r="IR162" s="20"/>
      <c r="IS162" s="20"/>
      <c r="IT162" s="20"/>
      <c r="IU162" s="20"/>
      <c r="IV162" s="20"/>
      <c r="IW162" s="20"/>
      <c r="IX162" s="20"/>
      <c r="IY162" s="20"/>
      <c r="IZ162" s="20"/>
      <c r="JA162" s="20"/>
      <c r="JB162" s="20"/>
      <c r="JC162" s="20"/>
    </row>
    <row r="163" spans="2:263" x14ac:dyDescent="0.2">
      <c r="B163" s="204"/>
      <c r="C163" s="24"/>
      <c r="D163" s="133"/>
      <c r="E163" s="133"/>
      <c r="F163" s="413"/>
      <c r="G163" s="132"/>
      <c r="H163" s="24"/>
      <c r="I163" s="140"/>
      <c r="J163" s="54"/>
      <c r="K163" s="140"/>
    </row>
    <row r="164" spans="2:263" x14ac:dyDescent="0.2">
      <c r="B164" s="204"/>
      <c r="C164" s="24"/>
      <c r="D164" s="133"/>
      <c r="E164" s="133"/>
      <c r="F164" s="413"/>
      <c r="G164" s="132"/>
      <c r="H164" s="24"/>
      <c r="I164" s="24"/>
      <c r="J164" s="54"/>
      <c r="K164" s="140"/>
    </row>
    <row r="165" spans="2:263" x14ac:dyDescent="0.2">
      <c r="B165" s="204"/>
      <c r="C165" s="24"/>
      <c r="D165" s="133"/>
      <c r="E165" s="133"/>
      <c r="F165" s="413"/>
      <c r="G165" s="132"/>
      <c r="H165" s="24"/>
      <c r="I165" s="24"/>
      <c r="J165" s="54"/>
      <c r="K165" s="140"/>
    </row>
    <row r="166" spans="2:263" x14ac:dyDescent="0.2">
      <c r="B166" s="26"/>
      <c r="C166" s="24"/>
      <c r="D166" s="133"/>
      <c r="E166" s="133"/>
      <c r="F166" s="413"/>
      <c r="G166" s="132"/>
      <c r="H166" s="24"/>
      <c r="I166" s="140"/>
      <c r="J166" s="54"/>
      <c r="K166" s="140"/>
    </row>
    <row r="167" spans="2:263" x14ac:dyDescent="0.2">
      <c r="B167" s="26"/>
      <c r="C167" s="24"/>
      <c r="D167" s="133"/>
      <c r="E167" s="133"/>
      <c r="F167" s="413"/>
      <c r="G167" s="132"/>
      <c r="H167" s="24"/>
      <c r="I167" s="24"/>
      <c r="J167" s="54"/>
      <c r="K167" s="140"/>
    </row>
    <row r="168" spans="2:263" ht="14.45" customHeight="1" x14ac:dyDescent="0.25">
      <c r="B168" s="426"/>
      <c r="C168" s="7"/>
      <c r="D168" s="4"/>
      <c r="E168" s="4"/>
      <c r="F168" s="110"/>
      <c r="G168" s="4"/>
      <c r="H168" s="7"/>
      <c r="I168" s="7"/>
      <c r="J168" s="30"/>
      <c r="K168" s="205"/>
    </row>
    <row r="169" spans="2:263" x14ac:dyDescent="0.2">
      <c r="B169" s="7"/>
      <c r="C169" s="7"/>
      <c r="D169" s="133"/>
      <c r="E169" s="133"/>
      <c r="F169" s="413"/>
      <c r="G169" s="133"/>
      <c r="H169" s="7"/>
      <c r="I169" s="7"/>
      <c r="J169" s="54"/>
      <c r="K169" s="205"/>
    </row>
    <row r="170" spans="2:263" x14ac:dyDescent="0.2">
      <c r="B170" s="7"/>
      <c r="C170" s="7"/>
      <c r="D170" s="133"/>
      <c r="E170" s="133"/>
      <c r="F170" s="413"/>
      <c r="G170" s="133"/>
      <c r="H170" s="7"/>
      <c r="I170" s="7"/>
      <c r="J170" s="54"/>
      <c r="K170" s="205"/>
    </row>
    <row r="171" spans="2:263" x14ac:dyDescent="0.2">
      <c r="B171" s="7"/>
      <c r="C171" s="7"/>
      <c r="D171" s="4"/>
      <c r="E171" s="4"/>
      <c r="F171" s="110"/>
      <c r="G171" s="4"/>
      <c r="H171" s="7"/>
      <c r="I171" s="7"/>
      <c r="J171" s="3"/>
      <c r="K171" s="205"/>
    </row>
    <row r="172" spans="2:263" x14ac:dyDescent="0.2">
      <c r="B172" s="7"/>
      <c r="C172" s="7"/>
      <c r="D172" s="4"/>
      <c r="E172" s="4"/>
      <c r="F172" s="110"/>
      <c r="G172" s="4"/>
      <c r="H172" s="7"/>
      <c r="I172" s="7"/>
      <c r="J172" s="3"/>
      <c r="K172" s="205"/>
    </row>
    <row r="173" spans="2:263" x14ac:dyDescent="0.2">
      <c r="B173" s="7"/>
      <c r="C173" s="7"/>
      <c r="D173" s="4"/>
      <c r="E173" s="4"/>
      <c r="F173" s="110"/>
      <c r="G173" s="4"/>
      <c r="H173" s="7"/>
      <c r="I173" s="7"/>
      <c r="J173" s="3"/>
      <c r="K173" s="205"/>
    </row>
  </sheetData>
  <sheetProtection algorithmName="SHA-512" hashValue="TSEQEXanXIhIUK6bHgCd0ZHemrvLBTK5cO0QNrO05bpovDlWe4zrfKzQW5fjpg0HY2h/4+lPoJJnEx1+jo0Ojw==" saltValue="oLyexx03anSWGwDIZW5/cw==" spinCount="100000" sheet="1" insertRows="0" deleteRows="0" sort="0" autoFilter="0"/>
  <mergeCells count="1">
    <mergeCell ref="A1:K1"/>
  </mergeCells>
  <conditionalFormatting sqref="F9:F147">
    <cfRule type="cellIs" dxfId="62" priority="10" stopIfTrue="1" operator="lessThan">
      <formula>-1000</formula>
    </cfRule>
  </conditionalFormatting>
  <conditionalFormatting sqref="D9:E137">
    <cfRule type="cellIs" dxfId="61" priority="1" operator="equal">
      <formula>0</formula>
    </cfRule>
  </conditionalFormatting>
  <conditionalFormatting sqref="J9:J147">
    <cfRule type="containsText" dxfId="60" priority="2" operator="containsText" text="DELIVERABLE STILL IN PROGRESS">
      <formula>NOT(ISERROR(SEARCH("DELIVERABLE STILL IN PROGRESS",J9)))</formula>
    </cfRule>
    <cfRule type="containsText" dxfId="59" priority="3" operator="containsText" text="DELIVERABLE COMPLETED">
      <formula>NOT(ISERROR(SEARCH("DELIVERABLE COMPLETED",J9)))</formula>
    </cfRule>
    <cfRule type="cellIs" dxfId="58" priority="4" stopIfTrue="1" operator="equal">
      <formula>"OVERDUE"</formula>
    </cfRule>
    <cfRule type="cellIs" dxfId="57" priority="5" stopIfTrue="1" operator="equal">
      <formula>"COMPLETED"</formula>
    </cfRule>
    <cfRule type="cellIs" dxfId="56" priority="6" stopIfTrue="1" operator="equal">
      <formula>"ISSUE IDENTIFIED"</formula>
    </cfRule>
  </conditionalFormatting>
  <printOptions horizontalCentered="1"/>
  <pageMargins left="0.25" right="0.25" top="0.5" bottom="0.75" header="0.25" footer="0.5"/>
  <pageSetup scale="40" fitToHeight="3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rgb="FF0C3964"/>
    <pageSetUpPr fitToPage="1"/>
  </sheetPr>
  <dimension ref="A1:BM89"/>
  <sheetViews>
    <sheetView showGridLines="0" zoomScaleNormal="100" workbookViewId="0">
      <pane xSplit="3" ySplit="8" topLeftCell="I33" activePane="bottomRight" state="frozen"/>
      <selection pane="topRight" activeCell="D1" sqref="D1"/>
      <selection pane="bottomLeft" activeCell="A9" sqref="A9"/>
      <selection pane="bottomRight" sqref="A1:XFD1"/>
    </sheetView>
  </sheetViews>
  <sheetFormatPr defaultRowHeight="12.75" x14ac:dyDescent="0.2"/>
  <cols>
    <col min="1" max="1" width="18.28515625" style="25" bestFit="1" customWidth="1"/>
    <col min="2" max="2" width="87.7109375" style="27" bestFit="1" customWidth="1"/>
    <col min="3" max="3" width="32" style="27" customWidth="1"/>
    <col min="4" max="4" width="16.5703125" style="25" bestFit="1" customWidth="1"/>
    <col min="5" max="5" width="17.7109375" style="25" bestFit="1" customWidth="1"/>
    <col min="6" max="6" width="17.28515625" style="5" bestFit="1" customWidth="1"/>
    <col min="7" max="7" width="18.28515625" style="25" bestFit="1" customWidth="1"/>
    <col min="8" max="8" width="13.7109375" style="25" bestFit="1" customWidth="1"/>
    <col min="9" max="9" width="16.28515625" style="27" bestFit="1" customWidth="1"/>
    <col min="10" max="10" width="33" style="25" bestFit="1" customWidth="1"/>
    <col min="11" max="11" width="56.140625" style="27" customWidth="1"/>
    <col min="12" max="12" width="15.5703125" style="20" customWidth="1"/>
    <col min="13" max="65" width="8.85546875" style="20"/>
    <col min="66" max="256" width="8.85546875" style="25"/>
    <col min="257" max="257" width="10.7109375" style="25" customWidth="1"/>
    <col min="258" max="258" width="50.7109375" style="25" customWidth="1"/>
    <col min="259" max="259" width="15.5703125" style="25" customWidth="1"/>
    <col min="260" max="263" width="10.7109375" style="25" customWidth="1"/>
    <col min="264" max="265" width="12.7109375" style="25" customWidth="1"/>
    <col min="266" max="266" width="18.28515625" style="25" customWidth="1"/>
    <col min="267" max="267" width="56.140625" style="25" customWidth="1"/>
    <col min="268" max="268" width="15.5703125" style="25" customWidth="1"/>
    <col min="269" max="512" width="8.85546875" style="25"/>
    <col min="513" max="513" width="10.7109375" style="25" customWidth="1"/>
    <col min="514" max="514" width="50.7109375" style="25" customWidth="1"/>
    <col min="515" max="515" width="15.5703125" style="25" customWidth="1"/>
    <col min="516" max="519" width="10.7109375" style="25" customWidth="1"/>
    <col min="520" max="521" width="12.7109375" style="25" customWidth="1"/>
    <col min="522" max="522" width="18.28515625" style="25" customWidth="1"/>
    <col min="523" max="523" width="56.140625" style="25" customWidth="1"/>
    <col min="524" max="524" width="15.5703125" style="25" customWidth="1"/>
    <col min="525" max="768" width="8.85546875" style="25"/>
    <col min="769" max="769" width="10.7109375" style="25" customWidth="1"/>
    <col min="770" max="770" width="50.7109375" style="25" customWidth="1"/>
    <col min="771" max="771" width="15.5703125" style="25" customWidth="1"/>
    <col min="772" max="775" width="10.7109375" style="25" customWidth="1"/>
    <col min="776" max="777" width="12.7109375" style="25" customWidth="1"/>
    <col min="778" max="778" width="18.28515625" style="25" customWidth="1"/>
    <col min="779" max="779" width="56.140625" style="25" customWidth="1"/>
    <col min="780" max="780" width="15.5703125" style="25" customWidth="1"/>
    <col min="781" max="1024" width="8.85546875" style="25"/>
    <col min="1025" max="1025" width="10.7109375" style="25" customWidth="1"/>
    <col min="1026" max="1026" width="50.7109375" style="25" customWidth="1"/>
    <col min="1027" max="1027" width="15.5703125" style="25" customWidth="1"/>
    <col min="1028" max="1031" width="10.7109375" style="25" customWidth="1"/>
    <col min="1032" max="1033" width="12.7109375" style="25" customWidth="1"/>
    <col min="1034" max="1034" width="18.28515625" style="25" customWidth="1"/>
    <col min="1035" max="1035" width="56.140625" style="25" customWidth="1"/>
    <col min="1036" max="1036" width="15.5703125" style="25" customWidth="1"/>
    <col min="1037" max="1280" width="8.85546875" style="25"/>
    <col min="1281" max="1281" width="10.7109375" style="25" customWidth="1"/>
    <col min="1282" max="1282" width="50.7109375" style="25" customWidth="1"/>
    <col min="1283" max="1283" width="15.5703125" style="25" customWidth="1"/>
    <col min="1284" max="1287" width="10.7109375" style="25" customWidth="1"/>
    <col min="1288" max="1289" width="12.7109375" style="25" customWidth="1"/>
    <col min="1290" max="1290" width="18.28515625" style="25" customWidth="1"/>
    <col min="1291" max="1291" width="56.140625" style="25" customWidth="1"/>
    <col min="1292" max="1292" width="15.5703125" style="25" customWidth="1"/>
    <col min="1293" max="1536" width="8.85546875" style="25"/>
    <col min="1537" max="1537" width="10.7109375" style="25" customWidth="1"/>
    <col min="1538" max="1538" width="50.7109375" style="25" customWidth="1"/>
    <col min="1539" max="1539" width="15.5703125" style="25" customWidth="1"/>
    <col min="1540" max="1543" width="10.7109375" style="25" customWidth="1"/>
    <col min="1544" max="1545" width="12.7109375" style="25" customWidth="1"/>
    <col min="1546" max="1546" width="18.28515625" style="25" customWidth="1"/>
    <col min="1547" max="1547" width="56.140625" style="25" customWidth="1"/>
    <col min="1548" max="1548" width="15.5703125" style="25" customWidth="1"/>
    <col min="1549" max="1792" width="8.85546875" style="25"/>
    <col min="1793" max="1793" width="10.7109375" style="25" customWidth="1"/>
    <col min="1794" max="1794" width="50.7109375" style="25" customWidth="1"/>
    <col min="1795" max="1795" width="15.5703125" style="25" customWidth="1"/>
    <col min="1796" max="1799" width="10.7109375" style="25" customWidth="1"/>
    <col min="1800" max="1801" width="12.7109375" style="25" customWidth="1"/>
    <col min="1802" max="1802" width="18.28515625" style="25" customWidth="1"/>
    <col min="1803" max="1803" width="56.140625" style="25" customWidth="1"/>
    <col min="1804" max="1804" width="15.5703125" style="25" customWidth="1"/>
    <col min="1805" max="2048" width="8.85546875" style="25"/>
    <col min="2049" max="2049" width="10.7109375" style="25" customWidth="1"/>
    <col min="2050" max="2050" width="50.7109375" style="25" customWidth="1"/>
    <col min="2051" max="2051" width="15.5703125" style="25" customWidth="1"/>
    <col min="2052" max="2055" width="10.7109375" style="25" customWidth="1"/>
    <col min="2056" max="2057" width="12.7109375" style="25" customWidth="1"/>
    <col min="2058" max="2058" width="18.28515625" style="25" customWidth="1"/>
    <col min="2059" max="2059" width="56.140625" style="25" customWidth="1"/>
    <col min="2060" max="2060" width="15.5703125" style="25" customWidth="1"/>
    <col min="2061" max="2304" width="8.85546875" style="25"/>
    <col min="2305" max="2305" width="10.7109375" style="25" customWidth="1"/>
    <col min="2306" max="2306" width="50.7109375" style="25" customWidth="1"/>
    <col min="2307" max="2307" width="15.5703125" style="25" customWidth="1"/>
    <col min="2308" max="2311" width="10.7109375" style="25" customWidth="1"/>
    <col min="2312" max="2313" width="12.7109375" style="25" customWidth="1"/>
    <col min="2314" max="2314" width="18.28515625" style="25" customWidth="1"/>
    <col min="2315" max="2315" width="56.140625" style="25" customWidth="1"/>
    <col min="2316" max="2316" width="15.5703125" style="25" customWidth="1"/>
    <col min="2317" max="2560" width="8.85546875" style="25"/>
    <col min="2561" max="2561" width="10.7109375" style="25" customWidth="1"/>
    <col min="2562" max="2562" width="50.7109375" style="25" customWidth="1"/>
    <col min="2563" max="2563" width="15.5703125" style="25" customWidth="1"/>
    <col min="2564" max="2567" width="10.7109375" style="25" customWidth="1"/>
    <col min="2568" max="2569" width="12.7109375" style="25" customWidth="1"/>
    <col min="2570" max="2570" width="18.28515625" style="25" customWidth="1"/>
    <col min="2571" max="2571" width="56.140625" style="25" customWidth="1"/>
    <col min="2572" max="2572" width="15.5703125" style="25" customWidth="1"/>
    <col min="2573" max="2816" width="8.85546875" style="25"/>
    <col min="2817" max="2817" width="10.7109375" style="25" customWidth="1"/>
    <col min="2818" max="2818" width="50.7109375" style="25" customWidth="1"/>
    <col min="2819" max="2819" width="15.5703125" style="25" customWidth="1"/>
    <col min="2820" max="2823" width="10.7109375" style="25" customWidth="1"/>
    <col min="2824" max="2825" width="12.7109375" style="25" customWidth="1"/>
    <col min="2826" max="2826" width="18.28515625" style="25" customWidth="1"/>
    <col min="2827" max="2827" width="56.140625" style="25" customWidth="1"/>
    <col min="2828" max="2828" width="15.5703125" style="25" customWidth="1"/>
    <col min="2829" max="3072" width="8.85546875" style="25"/>
    <col min="3073" max="3073" width="10.7109375" style="25" customWidth="1"/>
    <col min="3074" max="3074" width="50.7109375" style="25" customWidth="1"/>
    <col min="3075" max="3075" width="15.5703125" style="25" customWidth="1"/>
    <col min="3076" max="3079" width="10.7109375" style="25" customWidth="1"/>
    <col min="3080" max="3081" width="12.7109375" style="25" customWidth="1"/>
    <col min="3082" max="3082" width="18.28515625" style="25" customWidth="1"/>
    <col min="3083" max="3083" width="56.140625" style="25" customWidth="1"/>
    <col min="3084" max="3084" width="15.5703125" style="25" customWidth="1"/>
    <col min="3085" max="3328" width="8.85546875" style="25"/>
    <col min="3329" max="3329" width="10.7109375" style="25" customWidth="1"/>
    <col min="3330" max="3330" width="50.7109375" style="25" customWidth="1"/>
    <col min="3331" max="3331" width="15.5703125" style="25" customWidth="1"/>
    <col min="3332" max="3335" width="10.7109375" style="25" customWidth="1"/>
    <col min="3336" max="3337" width="12.7109375" style="25" customWidth="1"/>
    <col min="3338" max="3338" width="18.28515625" style="25" customWidth="1"/>
    <col min="3339" max="3339" width="56.140625" style="25" customWidth="1"/>
    <col min="3340" max="3340" width="15.5703125" style="25" customWidth="1"/>
    <col min="3341" max="3584" width="8.85546875" style="25"/>
    <col min="3585" max="3585" width="10.7109375" style="25" customWidth="1"/>
    <col min="3586" max="3586" width="50.7109375" style="25" customWidth="1"/>
    <col min="3587" max="3587" width="15.5703125" style="25" customWidth="1"/>
    <col min="3588" max="3591" width="10.7109375" style="25" customWidth="1"/>
    <col min="3592" max="3593" width="12.7109375" style="25" customWidth="1"/>
    <col min="3594" max="3594" width="18.28515625" style="25" customWidth="1"/>
    <col min="3595" max="3595" width="56.140625" style="25" customWidth="1"/>
    <col min="3596" max="3596" width="15.5703125" style="25" customWidth="1"/>
    <col min="3597" max="3840" width="8.85546875" style="25"/>
    <col min="3841" max="3841" width="10.7109375" style="25" customWidth="1"/>
    <col min="3842" max="3842" width="50.7109375" style="25" customWidth="1"/>
    <col min="3843" max="3843" width="15.5703125" style="25" customWidth="1"/>
    <col min="3844" max="3847" width="10.7109375" style="25" customWidth="1"/>
    <col min="3848" max="3849" width="12.7109375" style="25" customWidth="1"/>
    <col min="3850" max="3850" width="18.28515625" style="25" customWidth="1"/>
    <col min="3851" max="3851" width="56.140625" style="25" customWidth="1"/>
    <col min="3852" max="3852" width="15.5703125" style="25" customWidth="1"/>
    <col min="3853" max="4096" width="8.85546875" style="25"/>
    <col min="4097" max="4097" width="10.7109375" style="25" customWidth="1"/>
    <col min="4098" max="4098" width="50.7109375" style="25" customWidth="1"/>
    <col min="4099" max="4099" width="15.5703125" style="25" customWidth="1"/>
    <col min="4100" max="4103" width="10.7109375" style="25" customWidth="1"/>
    <col min="4104" max="4105" width="12.7109375" style="25" customWidth="1"/>
    <col min="4106" max="4106" width="18.28515625" style="25" customWidth="1"/>
    <col min="4107" max="4107" width="56.140625" style="25" customWidth="1"/>
    <col min="4108" max="4108" width="15.5703125" style="25" customWidth="1"/>
    <col min="4109" max="4352" width="8.85546875" style="25"/>
    <col min="4353" max="4353" width="10.7109375" style="25" customWidth="1"/>
    <col min="4354" max="4354" width="50.7109375" style="25" customWidth="1"/>
    <col min="4355" max="4355" width="15.5703125" style="25" customWidth="1"/>
    <col min="4356" max="4359" width="10.7109375" style="25" customWidth="1"/>
    <col min="4360" max="4361" width="12.7109375" style="25" customWidth="1"/>
    <col min="4362" max="4362" width="18.28515625" style="25" customWidth="1"/>
    <col min="4363" max="4363" width="56.140625" style="25" customWidth="1"/>
    <col min="4364" max="4364" width="15.5703125" style="25" customWidth="1"/>
    <col min="4365" max="4608" width="8.85546875" style="25"/>
    <col min="4609" max="4609" width="10.7109375" style="25" customWidth="1"/>
    <col min="4610" max="4610" width="50.7109375" style="25" customWidth="1"/>
    <col min="4611" max="4611" width="15.5703125" style="25" customWidth="1"/>
    <col min="4612" max="4615" width="10.7109375" style="25" customWidth="1"/>
    <col min="4616" max="4617" width="12.7109375" style="25" customWidth="1"/>
    <col min="4618" max="4618" width="18.28515625" style="25" customWidth="1"/>
    <col min="4619" max="4619" width="56.140625" style="25" customWidth="1"/>
    <col min="4620" max="4620" width="15.5703125" style="25" customWidth="1"/>
    <col min="4621" max="4864" width="8.85546875" style="25"/>
    <col min="4865" max="4865" width="10.7109375" style="25" customWidth="1"/>
    <col min="4866" max="4866" width="50.7109375" style="25" customWidth="1"/>
    <col min="4867" max="4867" width="15.5703125" style="25" customWidth="1"/>
    <col min="4868" max="4871" width="10.7109375" style="25" customWidth="1"/>
    <col min="4872" max="4873" width="12.7109375" style="25" customWidth="1"/>
    <col min="4874" max="4874" width="18.28515625" style="25" customWidth="1"/>
    <col min="4875" max="4875" width="56.140625" style="25" customWidth="1"/>
    <col min="4876" max="4876" width="15.5703125" style="25" customWidth="1"/>
    <col min="4877" max="5120" width="8.85546875" style="25"/>
    <col min="5121" max="5121" width="10.7109375" style="25" customWidth="1"/>
    <col min="5122" max="5122" width="50.7109375" style="25" customWidth="1"/>
    <col min="5123" max="5123" width="15.5703125" style="25" customWidth="1"/>
    <col min="5124" max="5127" width="10.7109375" style="25" customWidth="1"/>
    <col min="5128" max="5129" width="12.7109375" style="25" customWidth="1"/>
    <col min="5130" max="5130" width="18.28515625" style="25" customWidth="1"/>
    <col min="5131" max="5131" width="56.140625" style="25" customWidth="1"/>
    <col min="5132" max="5132" width="15.5703125" style="25" customWidth="1"/>
    <col min="5133" max="5376" width="8.85546875" style="25"/>
    <col min="5377" max="5377" width="10.7109375" style="25" customWidth="1"/>
    <col min="5378" max="5378" width="50.7109375" style="25" customWidth="1"/>
    <col min="5379" max="5379" width="15.5703125" style="25" customWidth="1"/>
    <col min="5380" max="5383" width="10.7109375" style="25" customWidth="1"/>
    <col min="5384" max="5385" width="12.7109375" style="25" customWidth="1"/>
    <col min="5386" max="5386" width="18.28515625" style="25" customWidth="1"/>
    <col min="5387" max="5387" width="56.140625" style="25" customWidth="1"/>
    <col min="5388" max="5388" width="15.5703125" style="25" customWidth="1"/>
    <col min="5389" max="5632" width="8.85546875" style="25"/>
    <col min="5633" max="5633" width="10.7109375" style="25" customWidth="1"/>
    <col min="5634" max="5634" width="50.7109375" style="25" customWidth="1"/>
    <col min="5635" max="5635" width="15.5703125" style="25" customWidth="1"/>
    <col min="5636" max="5639" width="10.7109375" style="25" customWidth="1"/>
    <col min="5640" max="5641" width="12.7109375" style="25" customWidth="1"/>
    <col min="5642" max="5642" width="18.28515625" style="25" customWidth="1"/>
    <col min="5643" max="5643" width="56.140625" style="25" customWidth="1"/>
    <col min="5644" max="5644" width="15.5703125" style="25" customWidth="1"/>
    <col min="5645" max="5888" width="8.85546875" style="25"/>
    <col min="5889" max="5889" width="10.7109375" style="25" customWidth="1"/>
    <col min="5890" max="5890" width="50.7109375" style="25" customWidth="1"/>
    <col min="5891" max="5891" width="15.5703125" style="25" customWidth="1"/>
    <col min="5892" max="5895" width="10.7109375" style="25" customWidth="1"/>
    <col min="5896" max="5897" width="12.7109375" style="25" customWidth="1"/>
    <col min="5898" max="5898" width="18.28515625" style="25" customWidth="1"/>
    <col min="5899" max="5899" width="56.140625" style="25" customWidth="1"/>
    <col min="5900" max="5900" width="15.5703125" style="25" customWidth="1"/>
    <col min="5901" max="6144" width="8.85546875" style="25"/>
    <col min="6145" max="6145" width="10.7109375" style="25" customWidth="1"/>
    <col min="6146" max="6146" width="50.7109375" style="25" customWidth="1"/>
    <col min="6147" max="6147" width="15.5703125" style="25" customWidth="1"/>
    <col min="6148" max="6151" width="10.7109375" style="25" customWidth="1"/>
    <col min="6152" max="6153" width="12.7109375" style="25" customWidth="1"/>
    <col min="6154" max="6154" width="18.28515625" style="25" customWidth="1"/>
    <col min="6155" max="6155" width="56.140625" style="25" customWidth="1"/>
    <col min="6156" max="6156" width="15.5703125" style="25" customWidth="1"/>
    <col min="6157" max="6400" width="8.85546875" style="25"/>
    <col min="6401" max="6401" width="10.7109375" style="25" customWidth="1"/>
    <col min="6402" max="6402" width="50.7109375" style="25" customWidth="1"/>
    <col min="6403" max="6403" width="15.5703125" style="25" customWidth="1"/>
    <col min="6404" max="6407" width="10.7109375" style="25" customWidth="1"/>
    <col min="6408" max="6409" width="12.7109375" style="25" customWidth="1"/>
    <col min="6410" max="6410" width="18.28515625" style="25" customWidth="1"/>
    <col min="6411" max="6411" width="56.140625" style="25" customWidth="1"/>
    <col min="6412" max="6412" width="15.5703125" style="25" customWidth="1"/>
    <col min="6413" max="6656" width="8.85546875" style="25"/>
    <col min="6657" max="6657" width="10.7109375" style="25" customWidth="1"/>
    <col min="6658" max="6658" width="50.7109375" style="25" customWidth="1"/>
    <col min="6659" max="6659" width="15.5703125" style="25" customWidth="1"/>
    <col min="6660" max="6663" width="10.7109375" style="25" customWidth="1"/>
    <col min="6664" max="6665" width="12.7109375" style="25" customWidth="1"/>
    <col min="6666" max="6666" width="18.28515625" style="25" customWidth="1"/>
    <col min="6667" max="6667" width="56.140625" style="25" customWidth="1"/>
    <col min="6668" max="6668" width="15.5703125" style="25" customWidth="1"/>
    <col min="6669" max="6912" width="8.85546875" style="25"/>
    <col min="6913" max="6913" width="10.7109375" style="25" customWidth="1"/>
    <col min="6914" max="6914" width="50.7109375" style="25" customWidth="1"/>
    <col min="6915" max="6915" width="15.5703125" style="25" customWidth="1"/>
    <col min="6916" max="6919" width="10.7109375" style="25" customWidth="1"/>
    <col min="6920" max="6921" width="12.7109375" style="25" customWidth="1"/>
    <col min="6922" max="6922" width="18.28515625" style="25" customWidth="1"/>
    <col min="6923" max="6923" width="56.140625" style="25" customWidth="1"/>
    <col min="6924" max="6924" width="15.5703125" style="25" customWidth="1"/>
    <col min="6925" max="7168" width="8.85546875" style="25"/>
    <col min="7169" max="7169" width="10.7109375" style="25" customWidth="1"/>
    <col min="7170" max="7170" width="50.7109375" style="25" customWidth="1"/>
    <col min="7171" max="7171" width="15.5703125" style="25" customWidth="1"/>
    <col min="7172" max="7175" width="10.7109375" style="25" customWidth="1"/>
    <col min="7176" max="7177" width="12.7109375" style="25" customWidth="1"/>
    <col min="7178" max="7178" width="18.28515625" style="25" customWidth="1"/>
    <col min="7179" max="7179" width="56.140625" style="25" customWidth="1"/>
    <col min="7180" max="7180" width="15.5703125" style="25" customWidth="1"/>
    <col min="7181" max="7424" width="8.85546875" style="25"/>
    <col min="7425" max="7425" width="10.7109375" style="25" customWidth="1"/>
    <col min="7426" max="7426" width="50.7109375" style="25" customWidth="1"/>
    <col min="7427" max="7427" width="15.5703125" style="25" customWidth="1"/>
    <col min="7428" max="7431" width="10.7109375" style="25" customWidth="1"/>
    <col min="7432" max="7433" width="12.7109375" style="25" customWidth="1"/>
    <col min="7434" max="7434" width="18.28515625" style="25" customWidth="1"/>
    <col min="7435" max="7435" width="56.140625" style="25" customWidth="1"/>
    <col min="7436" max="7436" width="15.5703125" style="25" customWidth="1"/>
    <col min="7437" max="7680" width="8.85546875" style="25"/>
    <col min="7681" max="7681" width="10.7109375" style="25" customWidth="1"/>
    <col min="7682" max="7682" width="50.7109375" style="25" customWidth="1"/>
    <col min="7683" max="7683" width="15.5703125" style="25" customWidth="1"/>
    <col min="7684" max="7687" width="10.7109375" style="25" customWidth="1"/>
    <col min="7688" max="7689" width="12.7109375" style="25" customWidth="1"/>
    <col min="7690" max="7690" width="18.28515625" style="25" customWidth="1"/>
    <col min="7691" max="7691" width="56.140625" style="25" customWidth="1"/>
    <col min="7692" max="7692" width="15.5703125" style="25" customWidth="1"/>
    <col min="7693" max="7936" width="8.85546875" style="25"/>
    <col min="7937" max="7937" width="10.7109375" style="25" customWidth="1"/>
    <col min="7938" max="7938" width="50.7109375" style="25" customWidth="1"/>
    <col min="7939" max="7939" width="15.5703125" style="25" customWidth="1"/>
    <col min="7940" max="7943" width="10.7109375" style="25" customWidth="1"/>
    <col min="7944" max="7945" width="12.7109375" style="25" customWidth="1"/>
    <col min="7946" max="7946" width="18.28515625" style="25" customWidth="1"/>
    <col min="7947" max="7947" width="56.140625" style="25" customWidth="1"/>
    <col min="7948" max="7948" width="15.5703125" style="25" customWidth="1"/>
    <col min="7949" max="8192" width="8.85546875" style="25"/>
    <col min="8193" max="8193" width="10.7109375" style="25" customWidth="1"/>
    <col min="8194" max="8194" width="50.7109375" style="25" customWidth="1"/>
    <col min="8195" max="8195" width="15.5703125" style="25" customWidth="1"/>
    <col min="8196" max="8199" width="10.7109375" style="25" customWidth="1"/>
    <col min="8200" max="8201" width="12.7109375" style="25" customWidth="1"/>
    <col min="8202" max="8202" width="18.28515625" style="25" customWidth="1"/>
    <col min="8203" max="8203" width="56.140625" style="25" customWidth="1"/>
    <col min="8204" max="8204" width="15.5703125" style="25" customWidth="1"/>
    <col min="8205" max="8448" width="8.85546875" style="25"/>
    <col min="8449" max="8449" width="10.7109375" style="25" customWidth="1"/>
    <col min="8450" max="8450" width="50.7109375" style="25" customWidth="1"/>
    <col min="8451" max="8451" width="15.5703125" style="25" customWidth="1"/>
    <col min="8452" max="8455" width="10.7109375" style="25" customWidth="1"/>
    <col min="8456" max="8457" width="12.7109375" style="25" customWidth="1"/>
    <col min="8458" max="8458" width="18.28515625" style="25" customWidth="1"/>
    <col min="8459" max="8459" width="56.140625" style="25" customWidth="1"/>
    <col min="8460" max="8460" width="15.5703125" style="25" customWidth="1"/>
    <col min="8461" max="8704" width="8.85546875" style="25"/>
    <col min="8705" max="8705" width="10.7109375" style="25" customWidth="1"/>
    <col min="8706" max="8706" width="50.7109375" style="25" customWidth="1"/>
    <col min="8707" max="8707" width="15.5703125" style="25" customWidth="1"/>
    <col min="8708" max="8711" width="10.7109375" style="25" customWidth="1"/>
    <col min="8712" max="8713" width="12.7109375" style="25" customWidth="1"/>
    <col min="8714" max="8714" width="18.28515625" style="25" customWidth="1"/>
    <col min="8715" max="8715" width="56.140625" style="25" customWidth="1"/>
    <col min="8716" max="8716" width="15.5703125" style="25" customWidth="1"/>
    <col min="8717" max="8960" width="8.85546875" style="25"/>
    <col min="8961" max="8961" width="10.7109375" style="25" customWidth="1"/>
    <col min="8962" max="8962" width="50.7109375" style="25" customWidth="1"/>
    <col min="8963" max="8963" width="15.5703125" style="25" customWidth="1"/>
    <col min="8964" max="8967" width="10.7109375" style="25" customWidth="1"/>
    <col min="8968" max="8969" width="12.7109375" style="25" customWidth="1"/>
    <col min="8970" max="8970" width="18.28515625" style="25" customWidth="1"/>
    <col min="8971" max="8971" width="56.140625" style="25" customWidth="1"/>
    <col min="8972" max="8972" width="15.5703125" style="25" customWidth="1"/>
    <col min="8973" max="9216" width="8.85546875" style="25"/>
    <col min="9217" max="9217" width="10.7109375" style="25" customWidth="1"/>
    <col min="9218" max="9218" width="50.7109375" style="25" customWidth="1"/>
    <col min="9219" max="9219" width="15.5703125" style="25" customWidth="1"/>
    <col min="9220" max="9223" width="10.7109375" style="25" customWidth="1"/>
    <col min="9224" max="9225" width="12.7109375" style="25" customWidth="1"/>
    <col min="9226" max="9226" width="18.28515625" style="25" customWidth="1"/>
    <col min="9227" max="9227" width="56.140625" style="25" customWidth="1"/>
    <col min="9228" max="9228" width="15.5703125" style="25" customWidth="1"/>
    <col min="9229" max="9472" width="8.85546875" style="25"/>
    <col min="9473" max="9473" width="10.7109375" style="25" customWidth="1"/>
    <col min="9474" max="9474" width="50.7109375" style="25" customWidth="1"/>
    <col min="9475" max="9475" width="15.5703125" style="25" customWidth="1"/>
    <col min="9476" max="9479" width="10.7109375" style="25" customWidth="1"/>
    <col min="9480" max="9481" width="12.7109375" style="25" customWidth="1"/>
    <col min="9482" max="9482" width="18.28515625" style="25" customWidth="1"/>
    <col min="9483" max="9483" width="56.140625" style="25" customWidth="1"/>
    <col min="9484" max="9484" width="15.5703125" style="25" customWidth="1"/>
    <col min="9485" max="9728" width="8.85546875" style="25"/>
    <col min="9729" max="9729" width="10.7109375" style="25" customWidth="1"/>
    <col min="9730" max="9730" width="50.7109375" style="25" customWidth="1"/>
    <col min="9731" max="9731" width="15.5703125" style="25" customWidth="1"/>
    <col min="9732" max="9735" width="10.7109375" style="25" customWidth="1"/>
    <col min="9736" max="9737" width="12.7109375" style="25" customWidth="1"/>
    <col min="9738" max="9738" width="18.28515625" style="25" customWidth="1"/>
    <col min="9739" max="9739" width="56.140625" style="25" customWidth="1"/>
    <col min="9740" max="9740" width="15.5703125" style="25" customWidth="1"/>
    <col min="9741" max="9984" width="8.85546875" style="25"/>
    <col min="9985" max="9985" width="10.7109375" style="25" customWidth="1"/>
    <col min="9986" max="9986" width="50.7109375" style="25" customWidth="1"/>
    <col min="9987" max="9987" width="15.5703125" style="25" customWidth="1"/>
    <col min="9988" max="9991" width="10.7109375" style="25" customWidth="1"/>
    <col min="9992" max="9993" width="12.7109375" style="25" customWidth="1"/>
    <col min="9994" max="9994" width="18.28515625" style="25" customWidth="1"/>
    <col min="9995" max="9995" width="56.140625" style="25" customWidth="1"/>
    <col min="9996" max="9996" width="15.5703125" style="25" customWidth="1"/>
    <col min="9997" max="10240" width="8.85546875" style="25"/>
    <col min="10241" max="10241" width="10.7109375" style="25" customWidth="1"/>
    <col min="10242" max="10242" width="50.7109375" style="25" customWidth="1"/>
    <col min="10243" max="10243" width="15.5703125" style="25" customWidth="1"/>
    <col min="10244" max="10247" width="10.7109375" style="25" customWidth="1"/>
    <col min="10248" max="10249" width="12.7109375" style="25" customWidth="1"/>
    <col min="10250" max="10250" width="18.28515625" style="25" customWidth="1"/>
    <col min="10251" max="10251" width="56.140625" style="25" customWidth="1"/>
    <col min="10252" max="10252" width="15.5703125" style="25" customWidth="1"/>
    <col min="10253" max="10496" width="8.85546875" style="25"/>
    <col min="10497" max="10497" width="10.7109375" style="25" customWidth="1"/>
    <col min="10498" max="10498" width="50.7109375" style="25" customWidth="1"/>
    <col min="10499" max="10499" width="15.5703125" style="25" customWidth="1"/>
    <col min="10500" max="10503" width="10.7109375" style="25" customWidth="1"/>
    <col min="10504" max="10505" width="12.7109375" style="25" customWidth="1"/>
    <col min="10506" max="10506" width="18.28515625" style="25" customWidth="1"/>
    <col min="10507" max="10507" width="56.140625" style="25" customWidth="1"/>
    <col min="10508" max="10508" width="15.5703125" style="25" customWidth="1"/>
    <col min="10509" max="10752" width="8.85546875" style="25"/>
    <col min="10753" max="10753" width="10.7109375" style="25" customWidth="1"/>
    <col min="10754" max="10754" width="50.7109375" style="25" customWidth="1"/>
    <col min="10755" max="10755" width="15.5703125" style="25" customWidth="1"/>
    <col min="10756" max="10759" width="10.7109375" style="25" customWidth="1"/>
    <col min="10760" max="10761" width="12.7109375" style="25" customWidth="1"/>
    <col min="10762" max="10762" width="18.28515625" style="25" customWidth="1"/>
    <col min="10763" max="10763" width="56.140625" style="25" customWidth="1"/>
    <col min="10764" max="10764" width="15.5703125" style="25" customWidth="1"/>
    <col min="10765" max="11008" width="8.85546875" style="25"/>
    <col min="11009" max="11009" width="10.7109375" style="25" customWidth="1"/>
    <col min="11010" max="11010" width="50.7109375" style="25" customWidth="1"/>
    <col min="11011" max="11011" width="15.5703125" style="25" customWidth="1"/>
    <col min="11012" max="11015" width="10.7109375" style="25" customWidth="1"/>
    <col min="11016" max="11017" width="12.7109375" style="25" customWidth="1"/>
    <col min="11018" max="11018" width="18.28515625" style="25" customWidth="1"/>
    <col min="11019" max="11019" width="56.140625" style="25" customWidth="1"/>
    <col min="11020" max="11020" width="15.5703125" style="25" customWidth="1"/>
    <col min="11021" max="11264" width="8.85546875" style="25"/>
    <col min="11265" max="11265" width="10.7109375" style="25" customWidth="1"/>
    <col min="11266" max="11266" width="50.7109375" style="25" customWidth="1"/>
    <col min="11267" max="11267" width="15.5703125" style="25" customWidth="1"/>
    <col min="11268" max="11271" width="10.7109375" style="25" customWidth="1"/>
    <col min="11272" max="11273" width="12.7109375" style="25" customWidth="1"/>
    <col min="11274" max="11274" width="18.28515625" style="25" customWidth="1"/>
    <col min="11275" max="11275" width="56.140625" style="25" customWidth="1"/>
    <col min="11276" max="11276" width="15.5703125" style="25" customWidth="1"/>
    <col min="11277" max="11520" width="8.85546875" style="25"/>
    <col min="11521" max="11521" width="10.7109375" style="25" customWidth="1"/>
    <col min="11522" max="11522" width="50.7109375" style="25" customWidth="1"/>
    <col min="11523" max="11523" width="15.5703125" style="25" customWidth="1"/>
    <col min="11524" max="11527" width="10.7109375" style="25" customWidth="1"/>
    <col min="11528" max="11529" width="12.7109375" style="25" customWidth="1"/>
    <col min="11530" max="11530" width="18.28515625" style="25" customWidth="1"/>
    <col min="11531" max="11531" width="56.140625" style="25" customWidth="1"/>
    <col min="11532" max="11532" width="15.5703125" style="25" customWidth="1"/>
    <col min="11533" max="11776" width="8.85546875" style="25"/>
    <col min="11777" max="11777" width="10.7109375" style="25" customWidth="1"/>
    <col min="11778" max="11778" width="50.7109375" style="25" customWidth="1"/>
    <col min="11779" max="11779" width="15.5703125" style="25" customWidth="1"/>
    <col min="11780" max="11783" width="10.7109375" style="25" customWidth="1"/>
    <col min="11784" max="11785" width="12.7109375" style="25" customWidth="1"/>
    <col min="11786" max="11786" width="18.28515625" style="25" customWidth="1"/>
    <col min="11787" max="11787" width="56.140625" style="25" customWidth="1"/>
    <col min="11788" max="11788" width="15.5703125" style="25" customWidth="1"/>
    <col min="11789" max="12032" width="8.85546875" style="25"/>
    <col min="12033" max="12033" width="10.7109375" style="25" customWidth="1"/>
    <col min="12034" max="12034" width="50.7109375" style="25" customWidth="1"/>
    <col min="12035" max="12035" width="15.5703125" style="25" customWidth="1"/>
    <col min="12036" max="12039" width="10.7109375" style="25" customWidth="1"/>
    <col min="12040" max="12041" width="12.7109375" style="25" customWidth="1"/>
    <col min="12042" max="12042" width="18.28515625" style="25" customWidth="1"/>
    <col min="12043" max="12043" width="56.140625" style="25" customWidth="1"/>
    <col min="12044" max="12044" width="15.5703125" style="25" customWidth="1"/>
    <col min="12045" max="12288" width="8.85546875" style="25"/>
    <col min="12289" max="12289" width="10.7109375" style="25" customWidth="1"/>
    <col min="12290" max="12290" width="50.7109375" style="25" customWidth="1"/>
    <col min="12291" max="12291" width="15.5703125" style="25" customWidth="1"/>
    <col min="12292" max="12295" width="10.7109375" style="25" customWidth="1"/>
    <col min="12296" max="12297" width="12.7109375" style="25" customWidth="1"/>
    <col min="12298" max="12298" width="18.28515625" style="25" customWidth="1"/>
    <col min="12299" max="12299" width="56.140625" style="25" customWidth="1"/>
    <col min="12300" max="12300" width="15.5703125" style="25" customWidth="1"/>
    <col min="12301" max="12544" width="8.85546875" style="25"/>
    <col min="12545" max="12545" width="10.7109375" style="25" customWidth="1"/>
    <col min="12546" max="12546" width="50.7109375" style="25" customWidth="1"/>
    <col min="12547" max="12547" width="15.5703125" style="25" customWidth="1"/>
    <col min="12548" max="12551" width="10.7109375" style="25" customWidth="1"/>
    <col min="12552" max="12553" width="12.7109375" style="25" customWidth="1"/>
    <col min="12554" max="12554" width="18.28515625" style="25" customWidth="1"/>
    <col min="12555" max="12555" width="56.140625" style="25" customWidth="1"/>
    <col min="12556" max="12556" width="15.5703125" style="25" customWidth="1"/>
    <col min="12557" max="12800" width="8.85546875" style="25"/>
    <col min="12801" max="12801" width="10.7109375" style="25" customWidth="1"/>
    <col min="12802" max="12802" width="50.7109375" style="25" customWidth="1"/>
    <col min="12803" max="12803" width="15.5703125" style="25" customWidth="1"/>
    <col min="12804" max="12807" width="10.7109375" style="25" customWidth="1"/>
    <col min="12808" max="12809" width="12.7109375" style="25" customWidth="1"/>
    <col min="12810" max="12810" width="18.28515625" style="25" customWidth="1"/>
    <col min="12811" max="12811" width="56.140625" style="25" customWidth="1"/>
    <col min="12812" max="12812" width="15.5703125" style="25" customWidth="1"/>
    <col min="12813" max="13056" width="8.85546875" style="25"/>
    <col min="13057" max="13057" width="10.7109375" style="25" customWidth="1"/>
    <col min="13058" max="13058" width="50.7109375" style="25" customWidth="1"/>
    <col min="13059" max="13059" width="15.5703125" style="25" customWidth="1"/>
    <col min="13060" max="13063" width="10.7109375" style="25" customWidth="1"/>
    <col min="13064" max="13065" width="12.7109375" style="25" customWidth="1"/>
    <col min="13066" max="13066" width="18.28515625" style="25" customWidth="1"/>
    <col min="13067" max="13067" width="56.140625" style="25" customWidth="1"/>
    <col min="13068" max="13068" width="15.5703125" style="25" customWidth="1"/>
    <col min="13069" max="13312" width="8.85546875" style="25"/>
    <col min="13313" max="13313" width="10.7109375" style="25" customWidth="1"/>
    <col min="13314" max="13314" width="50.7109375" style="25" customWidth="1"/>
    <col min="13315" max="13315" width="15.5703125" style="25" customWidth="1"/>
    <col min="13316" max="13319" width="10.7109375" style="25" customWidth="1"/>
    <col min="13320" max="13321" width="12.7109375" style="25" customWidth="1"/>
    <col min="13322" max="13322" width="18.28515625" style="25" customWidth="1"/>
    <col min="13323" max="13323" width="56.140625" style="25" customWidth="1"/>
    <col min="13324" max="13324" width="15.5703125" style="25" customWidth="1"/>
    <col min="13325" max="13568" width="8.85546875" style="25"/>
    <col min="13569" max="13569" width="10.7109375" style="25" customWidth="1"/>
    <col min="13570" max="13570" width="50.7109375" style="25" customWidth="1"/>
    <col min="13571" max="13571" width="15.5703125" style="25" customWidth="1"/>
    <col min="13572" max="13575" width="10.7109375" style="25" customWidth="1"/>
    <col min="13576" max="13577" width="12.7109375" style="25" customWidth="1"/>
    <col min="13578" max="13578" width="18.28515625" style="25" customWidth="1"/>
    <col min="13579" max="13579" width="56.140625" style="25" customWidth="1"/>
    <col min="13580" max="13580" width="15.5703125" style="25" customWidth="1"/>
    <col min="13581" max="13824" width="8.85546875" style="25"/>
    <col min="13825" max="13825" width="10.7109375" style="25" customWidth="1"/>
    <col min="13826" max="13826" width="50.7109375" style="25" customWidth="1"/>
    <col min="13827" max="13827" width="15.5703125" style="25" customWidth="1"/>
    <col min="13828" max="13831" width="10.7109375" style="25" customWidth="1"/>
    <col min="13832" max="13833" width="12.7109375" style="25" customWidth="1"/>
    <col min="13834" max="13834" width="18.28515625" style="25" customWidth="1"/>
    <col min="13835" max="13835" width="56.140625" style="25" customWidth="1"/>
    <col min="13836" max="13836" width="15.5703125" style="25" customWidth="1"/>
    <col min="13837" max="14080" width="8.85546875" style="25"/>
    <col min="14081" max="14081" width="10.7109375" style="25" customWidth="1"/>
    <col min="14082" max="14082" width="50.7109375" style="25" customWidth="1"/>
    <col min="14083" max="14083" width="15.5703125" style="25" customWidth="1"/>
    <col min="14084" max="14087" width="10.7109375" style="25" customWidth="1"/>
    <col min="14088" max="14089" width="12.7109375" style="25" customWidth="1"/>
    <col min="14090" max="14090" width="18.28515625" style="25" customWidth="1"/>
    <col min="14091" max="14091" width="56.140625" style="25" customWidth="1"/>
    <col min="14092" max="14092" width="15.5703125" style="25" customWidth="1"/>
    <col min="14093" max="14336" width="8.85546875" style="25"/>
    <col min="14337" max="14337" width="10.7109375" style="25" customWidth="1"/>
    <col min="14338" max="14338" width="50.7109375" style="25" customWidth="1"/>
    <col min="14339" max="14339" width="15.5703125" style="25" customWidth="1"/>
    <col min="14340" max="14343" width="10.7109375" style="25" customWidth="1"/>
    <col min="14344" max="14345" width="12.7109375" style="25" customWidth="1"/>
    <col min="14346" max="14346" width="18.28515625" style="25" customWidth="1"/>
    <col min="14347" max="14347" width="56.140625" style="25" customWidth="1"/>
    <col min="14348" max="14348" width="15.5703125" style="25" customWidth="1"/>
    <col min="14349" max="14592" width="8.85546875" style="25"/>
    <col min="14593" max="14593" width="10.7109375" style="25" customWidth="1"/>
    <col min="14594" max="14594" width="50.7109375" style="25" customWidth="1"/>
    <col min="14595" max="14595" width="15.5703125" style="25" customWidth="1"/>
    <col min="14596" max="14599" width="10.7109375" style="25" customWidth="1"/>
    <col min="14600" max="14601" width="12.7109375" style="25" customWidth="1"/>
    <col min="14602" max="14602" width="18.28515625" style="25" customWidth="1"/>
    <col min="14603" max="14603" width="56.140625" style="25" customWidth="1"/>
    <col min="14604" max="14604" width="15.5703125" style="25" customWidth="1"/>
    <col min="14605" max="14848" width="8.85546875" style="25"/>
    <col min="14849" max="14849" width="10.7109375" style="25" customWidth="1"/>
    <col min="14850" max="14850" width="50.7109375" style="25" customWidth="1"/>
    <col min="14851" max="14851" width="15.5703125" style="25" customWidth="1"/>
    <col min="14852" max="14855" width="10.7109375" style="25" customWidth="1"/>
    <col min="14856" max="14857" width="12.7109375" style="25" customWidth="1"/>
    <col min="14858" max="14858" width="18.28515625" style="25" customWidth="1"/>
    <col min="14859" max="14859" width="56.140625" style="25" customWidth="1"/>
    <col min="14860" max="14860" width="15.5703125" style="25" customWidth="1"/>
    <col min="14861" max="15104" width="8.85546875" style="25"/>
    <col min="15105" max="15105" width="10.7109375" style="25" customWidth="1"/>
    <col min="15106" max="15106" width="50.7109375" style="25" customWidth="1"/>
    <col min="15107" max="15107" width="15.5703125" style="25" customWidth="1"/>
    <col min="15108" max="15111" width="10.7109375" style="25" customWidth="1"/>
    <col min="15112" max="15113" width="12.7109375" style="25" customWidth="1"/>
    <col min="15114" max="15114" width="18.28515625" style="25" customWidth="1"/>
    <col min="15115" max="15115" width="56.140625" style="25" customWidth="1"/>
    <col min="15116" max="15116" width="15.5703125" style="25" customWidth="1"/>
    <col min="15117" max="15360" width="8.85546875" style="25"/>
    <col min="15361" max="15361" width="10.7109375" style="25" customWidth="1"/>
    <col min="15362" max="15362" width="50.7109375" style="25" customWidth="1"/>
    <col min="15363" max="15363" width="15.5703125" style="25" customWidth="1"/>
    <col min="15364" max="15367" width="10.7109375" style="25" customWidth="1"/>
    <col min="15368" max="15369" width="12.7109375" style="25" customWidth="1"/>
    <col min="15370" max="15370" width="18.28515625" style="25" customWidth="1"/>
    <col min="15371" max="15371" width="56.140625" style="25" customWidth="1"/>
    <col min="15372" max="15372" width="15.5703125" style="25" customWidth="1"/>
    <col min="15373" max="15616" width="8.85546875" style="25"/>
    <col min="15617" max="15617" width="10.7109375" style="25" customWidth="1"/>
    <col min="15618" max="15618" width="50.7109375" style="25" customWidth="1"/>
    <col min="15619" max="15619" width="15.5703125" style="25" customWidth="1"/>
    <col min="15620" max="15623" width="10.7109375" style="25" customWidth="1"/>
    <col min="15624" max="15625" width="12.7109375" style="25" customWidth="1"/>
    <col min="15626" max="15626" width="18.28515625" style="25" customWidth="1"/>
    <col min="15627" max="15627" width="56.140625" style="25" customWidth="1"/>
    <col min="15628" max="15628" width="15.5703125" style="25" customWidth="1"/>
    <col min="15629" max="15872" width="8.85546875" style="25"/>
    <col min="15873" max="15873" width="10.7109375" style="25" customWidth="1"/>
    <col min="15874" max="15874" width="50.7109375" style="25" customWidth="1"/>
    <col min="15875" max="15875" width="15.5703125" style="25" customWidth="1"/>
    <col min="15876" max="15879" width="10.7109375" style="25" customWidth="1"/>
    <col min="15880" max="15881" width="12.7109375" style="25" customWidth="1"/>
    <col min="15882" max="15882" width="18.28515625" style="25" customWidth="1"/>
    <col min="15883" max="15883" width="56.140625" style="25" customWidth="1"/>
    <col min="15884" max="15884" width="15.5703125" style="25" customWidth="1"/>
    <col min="15885" max="16128" width="8.85546875" style="25"/>
    <col min="16129" max="16129" width="10.7109375" style="25" customWidth="1"/>
    <col min="16130" max="16130" width="50.7109375" style="25" customWidth="1"/>
    <col min="16131" max="16131" width="15.5703125" style="25" customWidth="1"/>
    <col min="16132" max="16135" width="10.7109375" style="25" customWidth="1"/>
    <col min="16136" max="16137" width="12.7109375" style="25" customWidth="1"/>
    <col min="16138" max="16138" width="18.28515625" style="25" customWidth="1"/>
    <col min="16139" max="16139" width="56.140625" style="25" customWidth="1"/>
    <col min="16140" max="16140" width="15.5703125" style="25" customWidth="1"/>
    <col min="16141" max="16384" width="8.85546875" style="25"/>
  </cols>
  <sheetData>
    <row r="1" spans="1:65" ht="69.95" customHeight="1" thickBot="1" x14ac:dyDescent="0.25">
      <c r="A1" s="966" t="s">
        <v>1018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57"/>
    </row>
    <row r="2" spans="1:65" s="460" customFormat="1" ht="15.95" customHeight="1" thickTop="1" x14ac:dyDescent="0.25">
      <c r="A2" s="436" t="s">
        <v>1019</v>
      </c>
      <c r="B2" s="437">
        <f>Resources!C23</f>
        <v>0</v>
      </c>
      <c r="C2" s="438" t="s">
        <v>776</v>
      </c>
      <c r="D2" s="439">
        <f ca="1">COUNTIF($J$9:$J$85,"Deliverable Still In Progress")</f>
        <v>5</v>
      </c>
      <c r="E2" s="454"/>
      <c r="F2" s="455"/>
      <c r="G2" s="44"/>
      <c r="H2" s="44"/>
      <c r="I2" s="456"/>
      <c r="J2" s="44"/>
      <c r="K2" s="457"/>
      <c r="L2" s="458"/>
      <c r="M2" s="459"/>
      <c r="N2" s="459"/>
      <c r="O2" s="459"/>
      <c r="P2" s="459"/>
      <c r="Q2" s="459"/>
      <c r="R2" s="459"/>
      <c r="S2" s="459"/>
      <c r="T2" s="459"/>
      <c r="U2" s="459"/>
      <c r="V2" s="459"/>
      <c r="W2" s="459"/>
      <c r="X2" s="459"/>
      <c r="Y2" s="459"/>
      <c r="Z2" s="459"/>
      <c r="AA2" s="459"/>
      <c r="AB2" s="459"/>
      <c r="AC2" s="459"/>
      <c r="AD2" s="459"/>
      <c r="AE2" s="459"/>
      <c r="AF2" s="459"/>
      <c r="AG2" s="459"/>
      <c r="AH2" s="459"/>
      <c r="AI2" s="459"/>
      <c r="AJ2" s="459"/>
      <c r="AK2" s="459"/>
      <c r="AL2" s="459"/>
      <c r="AM2" s="459"/>
      <c r="AN2" s="459"/>
      <c r="AO2" s="459"/>
      <c r="AP2" s="459"/>
      <c r="AQ2" s="459"/>
      <c r="AR2" s="459"/>
      <c r="AS2" s="459"/>
      <c r="AT2" s="459"/>
      <c r="AU2" s="459"/>
      <c r="AV2" s="459"/>
      <c r="AW2" s="459"/>
      <c r="AX2" s="459"/>
      <c r="AY2" s="459"/>
      <c r="AZ2" s="459"/>
      <c r="BA2" s="459"/>
      <c r="BB2" s="459"/>
      <c r="BC2" s="459"/>
      <c r="BD2" s="459"/>
      <c r="BE2" s="459"/>
      <c r="BF2" s="459"/>
      <c r="BG2" s="459"/>
      <c r="BH2" s="459"/>
      <c r="BI2" s="459"/>
      <c r="BJ2" s="459"/>
      <c r="BK2" s="459"/>
      <c r="BL2" s="459"/>
      <c r="BM2" s="459"/>
    </row>
    <row r="3" spans="1:65" s="460" customFormat="1" ht="15.95" customHeight="1" x14ac:dyDescent="0.25">
      <c r="A3" s="436" t="s">
        <v>1020</v>
      </c>
      <c r="B3" s="437">
        <f>Resources!E23</f>
        <v>0</v>
      </c>
      <c r="C3" s="438" t="s">
        <v>777</v>
      </c>
      <c r="D3" s="439">
        <f ca="1">COUNTIF($J$9:$J$85,"Deliverable Completed")</f>
        <v>0</v>
      </c>
      <c r="E3" s="461">
        <f ca="1">D3/D6</f>
        <v>0</v>
      </c>
      <c r="F3" s="455"/>
      <c r="G3" s="44"/>
      <c r="H3" s="44"/>
      <c r="I3" s="456"/>
      <c r="J3" s="44"/>
      <c r="K3" s="457"/>
      <c r="L3" s="458"/>
      <c r="M3" s="459"/>
      <c r="N3" s="459"/>
      <c r="O3" s="459"/>
      <c r="P3" s="459"/>
      <c r="Q3" s="459"/>
      <c r="R3" s="459"/>
      <c r="S3" s="459"/>
      <c r="T3" s="459"/>
      <c r="U3" s="459"/>
      <c r="V3" s="459"/>
      <c r="W3" s="459"/>
      <c r="X3" s="459"/>
      <c r="Y3" s="459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59"/>
      <c r="AP3" s="459"/>
      <c r="AQ3" s="459"/>
      <c r="AR3" s="459"/>
      <c r="AS3" s="459"/>
      <c r="AT3" s="459"/>
      <c r="AU3" s="459"/>
      <c r="AV3" s="459"/>
      <c r="AW3" s="459"/>
      <c r="AX3" s="459"/>
      <c r="AY3" s="459"/>
      <c r="AZ3" s="459"/>
      <c r="BA3" s="459"/>
      <c r="BB3" s="459"/>
      <c r="BC3" s="459"/>
      <c r="BD3" s="459"/>
      <c r="BE3" s="459"/>
      <c r="BF3" s="459"/>
      <c r="BG3" s="459"/>
      <c r="BH3" s="459"/>
      <c r="BI3" s="459"/>
      <c r="BJ3" s="459"/>
      <c r="BK3" s="459"/>
      <c r="BL3" s="459"/>
      <c r="BM3" s="459"/>
    </row>
    <row r="4" spans="1:65" s="460" customFormat="1" ht="15.95" customHeight="1" x14ac:dyDescent="0.25">
      <c r="A4" s="436" t="s">
        <v>1021</v>
      </c>
      <c r="B4" s="450"/>
      <c r="C4" s="438" t="s">
        <v>778</v>
      </c>
      <c r="D4" s="439">
        <f ca="1">D7-COUNTIF($J$9:$J$85,"completed")</f>
        <v>21</v>
      </c>
      <c r="E4" s="454"/>
      <c r="F4" s="455"/>
      <c r="G4" s="44"/>
      <c r="H4" s="44"/>
      <c r="I4" s="456"/>
      <c r="J4" s="44"/>
      <c r="K4" s="457"/>
      <c r="L4" s="458"/>
      <c r="M4" s="459"/>
      <c r="N4" s="459"/>
      <c r="O4" s="459"/>
      <c r="P4" s="459"/>
      <c r="Q4" s="459"/>
      <c r="R4" s="459"/>
      <c r="S4" s="459"/>
      <c r="T4" s="459"/>
      <c r="U4" s="459"/>
      <c r="V4" s="459"/>
      <c r="W4" s="459"/>
      <c r="X4" s="459"/>
      <c r="Y4" s="459"/>
      <c r="Z4" s="459"/>
      <c r="AA4" s="459"/>
      <c r="AB4" s="459"/>
      <c r="AC4" s="459"/>
      <c r="AD4" s="459"/>
      <c r="AE4" s="459"/>
      <c r="AF4" s="459"/>
      <c r="AG4" s="459"/>
      <c r="AH4" s="459"/>
      <c r="AI4" s="459"/>
      <c r="AJ4" s="459"/>
      <c r="AK4" s="459"/>
      <c r="AL4" s="459"/>
      <c r="AM4" s="459"/>
      <c r="AN4" s="459"/>
      <c r="AO4" s="459"/>
      <c r="AP4" s="459"/>
      <c r="AQ4" s="459"/>
      <c r="AR4" s="459"/>
      <c r="AS4" s="459"/>
      <c r="AT4" s="459"/>
      <c r="AU4" s="459"/>
      <c r="AV4" s="459"/>
      <c r="AW4" s="459"/>
      <c r="AX4" s="459"/>
      <c r="AY4" s="459"/>
      <c r="AZ4" s="459"/>
      <c r="BA4" s="459"/>
      <c r="BB4" s="459"/>
      <c r="BC4" s="459"/>
      <c r="BD4" s="459"/>
      <c r="BE4" s="459"/>
      <c r="BF4" s="459"/>
      <c r="BG4" s="459"/>
      <c r="BH4" s="459"/>
      <c r="BI4" s="459"/>
      <c r="BJ4" s="459"/>
      <c r="BK4" s="459"/>
      <c r="BL4" s="459"/>
      <c r="BM4" s="459"/>
    </row>
    <row r="5" spans="1:65" s="460" customFormat="1" ht="15.95" customHeight="1" x14ac:dyDescent="0.25">
      <c r="A5" s="462"/>
      <c r="B5" s="463"/>
      <c r="C5" s="452" t="s">
        <v>779</v>
      </c>
      <c r="D5" s="439">
        <f ca="1">D7-D4</f>
        <v>0</v>
      </c>
      <c r="E5" s="461">
        <f ca="1">D5/D7</f>
        <v>0</v>
      </c>
      <c r="F5" s="455"/>
      <c r="G5" s="44"/>
      <c r="H5" s="44"/>
      <c r="I5" s="456"/>
      <c r="J5" s="44"/>
      <c r="K5" s="457"/>
      <c r="L5" s="458"/>
      <c r="M5" s="459"/>
      <c r="N5" s="459"/>
      <c r="O5" s="459"/>
      <c r="P5" s="459"/>
      <c r="Q5" s="459"/>
      <c r="R5" s="459"/>
      <c r="S5" s="459"/>
      <c r="T5" s="459"/>
      <c r="U5" s="459"/>
      <c r="V5" s="459"/>
      <c r="W5" s="459"/>
      <c r="X5" s="459"/>
      <c r="Y5" s="459"/>
      <c r="Z5" s="459"/>
      <c r="AA5" s="459"/>
      <c r="AB5" s="459"/>
      <c r="AC5" s="459"/>
      <c r="AD5" s="459"/>
      <c r="AE5" s="459"/>
      <c r="AF5" s="459"/>
      <c r="AG5" s="459"/>
      <c r="AH5" s="459"/>
      <c r="AI5" s="459"/>
      <c r="AJ5" s="459"/>
      <c r="AK5" s="459"/>
      <c r="AL5" s="459"/>
      <c r="AM5" s="459"/>
      <c r="AN5" s="459"/>
      <c r="AO5" s="459"/>
      <c r="AP5" s="459"/>
      <c r="AQ5" s="459"/>
      <c r="AR5" s="459"/>
      <c r="AS5" s="459"/>
      <c r="AT5" s="459"/>
      <c r="AU5" s="459"/>
      <c r="AV5" s="459"/>
      <c r="AW5" s="459"/>
      <c r="AX5" s="459"/>
      <c r="AY5" s="459"/>
      <c r="AZ5" s="459"/>
      <c r="BA5" s="459"/>
      <c r="BB5" s="459"/>
      <c r="BC5" s="459"/>
      <c r="BD5" s="459"/>
      <c r="BE5" s="459"/>
      <c r="BF5" s="459"/>
      <c r="BG5" s="459"/>
      <c r="BH5" s="459"/>
      <c r="BI5" s="459"/>
      <c r="BJ5" s="459"/>
      <c r="BK5" s="459"/>
      <c r="BL5" s="459"/>
      <c r="BM5" s="459"/>
    </row>
    <row r="6" spans="1:65" s="460" customFormat="1" ht="15.95" customHeight="1" thickBot="1" x14ac:dyDescent="0.3">
      <c r="A6" s="462"/>
      <c r="B6" s="463"/>
      <c r="C6" s="452" t="s">
        <v>780</v>
      </c>
      <c r="D6" s="439">
        <f ca="1">D2+D3</f>
        <v>5</v>
      </c>
      <c r="E6" s="464"/>
      <c r="F6" s="455"/>
      <c r="G6" s="44"/>
      <c r="H6" s="44"/>
      <c r="I6" s="456"/>
      <c r="J6" s="44"/>
      <c r="K6" s="457"/>
      <c r="L6" s="458"/>
      <c r="M6" s="459"/>
      <c r="N6" s="459"/>
      <c r="O6" s="459"/>
      <c r="P6" s="459"/>
      <c r="Q6" s="459"/>
      <c r="R6" s="459"/>
      <c r="S6" s="459"/>
      <c r="T6" s="459"/>
      <c r="U6" s="459"/>
      <c r="V6" s="459"/>
      <c r="W6" s="459"/>
      <c r="X6" s="459"/>
      <c r="Y6" s="459"/>
      <c r="Z6" s="459"/>
      <c r="AA6" s="459"/>
      <c r="AB6" s="459"/>
      <c r="AC6" s="459"/>
      <c r="AD6" s="459"/>
      <c r="AE6" s="459"/>
      <c r="AF6" s="459"/>
      <c r="AG6" s="459"/>
      <c r="AH6" s="459"/>
      <c r="AI6" s="459"/>
      <c r="AJ6" s="459"/>
      <c r="AK6" s="459"/>
      <c r="AL6" s="459"/>
      <c r="AM6" s="459"/>
      <c r="AN6" s="459"/>
      <c r="AO6" s="459"/>
      <c r="AP6" s="459"/>
      <c r="AQ6" s="459"/>
      <c r="AR6" s="459"/>
      <c r="AS6" s="459"/>
      <c r="AT6" s="459"/>
      <c r="AU6" s="459"/>
      <c r="AV6" s="459"/>
      <c r="AW6" s="459"/>
      <c r="AX6" s="459"/>
      <c r="AY6" s="459"/>
      <c r="AZ6" s="459"/>
      <c r="BA6" s="459"/>
      <c r="BB6" s="459"/>
      <c r="BC6" s="459"/>
      <c r="BD6" s="459"/>
      <c r="BE6" s="459"/>
      <c r="BF6" s="459"/>
      <c r="BG6" s="459"/>
      <c r="BH6" s="459"/>
      <c r="BI6" s="459"/>
      <c r="BJ6" s="459"/>
      <c r="BK6" s="459"/>
      <c r="BL6" s="459"/>
      <c r="BM6" s="459"/>
    </row>
    <row r="7" spans="1:65" s="460" customFormat="1" ht="15.95" customHeight="1" thickBot="1" x14ac:dyDescent="0.3">
      <c r="A7" s="462"/>
      <c r="B7" s="463"/>
      <c r="C7" s="452" t="s">
        <v>781</v>
      </c>
      <c r="D7" s="439">
        <f ca="1">COUNTA(B9:B73)-D6</f>
        <v>21</v>
      </c>
      <c r="E7" s="464"/>
      <c r="F7" s="544" t="s">
        <v>1017</v>
      </c>
      <c r="G7" s="44"/>
      <c r="H7" s="44"/>
      <c r="I7" s="456"/>
      <c r="J7" s="544" t="s">
        <v>1017</v>
      </c>
      <c r="K7" s="457"/>
      <c r="L7" s="458"/>
      <c r="M7" s="459"/>
      <c r="N7" s="459"/>
      <c r="O7" s="459"/>
      <c r="P7" s="459"/>
      <c r="Q7" s="459"/>
      <c r="R7" s="459"/>
      <c r="S7" s="459"/>
      <c r="T7" s="459"/>
      <c r="U7" s="459"/>
      <c r="V7" s="459"/>
      <c r="W7" s="459"/>
      <c r="X7" s="459"/>
      <c r="Y7" s="459"/>
      <c r="Z7" s="459"/>
      <c r="AA7" s="459"/>
      <c r="AB7" s="459"/>
      <c r="AC7" s="459"/>
      <c r="AD7" s="459"/>
      <c r="AE7" s="459"/>
      <c r="AF7" s="459"/>
      <c r="AG7" s="459"/>
      <c r="AH7" s="459"/>
      <c r="AI7" s="459"/>
      <c r="AJ7" s="459"/>
      <c r="AK7" s="459"/>
      <c r="AL7" s="459"/>
      <c r="AM7" s="459"/>
      <c r="AN7" s="459"/>
      <c r="AO7" s="459"/>
      <c r="AP7" s="459"/>
      <c r="AQ7" s="459"/>
      <c r="AR7" s="459"/>
      <c r="AS7" s="459"/>
      <c r="AT7" s="459"/>
      <c r="AU7" s="459"/>
      <c r="AV7" s="459"/>
      <c r="AW7" s="459"/>
      <c r="AX7" s="459"/>
      <c r="AY7" s="459"/>
      <c r="AZ7" s="459"/>
      <c r="BA7" s="459"/>
      <c r="BB7" s="459"/>
      <c r="BC7" s="459"/>
      <c r="BD7" s="459"/>
      <c r="BE7" s="459"/>
      <c r="BF7" s="459"/>
      <c r="BG7" s="459"/>
      <c r="BH7" s="459"/>
      <c r="BI7" s="459"/>
      <c r="BJ7" s="459"/>
      <c r="BK7" s="459"/>
      <c r="BL7" s="459"/>
      <c r="BM7" s="459"/>
    </row>
    <row r="8" spans="1:65" s="123" customFormat="1" ht="31.5" x14ac:dyDescent="0.25">
      <c r="A8" s="352" t="s">
        <v>90</v>
      </c>
      <c r="B8" s="353" t="s">
        <v>91</v>
      </c>
      <c r="C8" s="354" t="s">
        <v>48</v>
      </c>
      <c r="D8" s="355" t="s">
        <v>92</v>
      </c>
      <c r="E8" s="355" t="s">
        <v>93</v>
      </c>
      <c r="F8" s="355" t="s">
        <v>94</v>
      </c>
      <c r="G8" s="355" t="s">
        <v>53</v>
      </c>
      <c r="H8" s="355" t="s">
        <v>95</v>
      </c>
      <c r="I8" s="355" t="s">
        <v>54</v>
      </c>
      <c r="J8" s="353" t="s">
        <v>55</v>
      </c>
      <c r="K8" s="356" t="s">
        <v>56</v>
      </c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</row>
    <row r="9" spans="1:65" ht="13.9" customHeight="1" x14ac:dyDescent="0.2">
      <c r="A9" s="499"/>
      <c r="B9" s="421" t="s">
        <v>736</v>
      </c>
      <c r="C9" s="33"/>
      <c r="D9" s="408"/>
      <c r="E9" s="408"/>
      <c r="F9" s="409">
        <f ca="1">IF(ISBLANK(G9),IF(ISERROR(DAYS360(TODAY(),E9))," ",(DAYS360(TODAY(),E9))),E9-G9)</f>
        <v>-43388</v>
      </c>
      <c r="G9" s="220"/>
      <c r="H9" s="116"/>
      <c r="I9" s="81"/>
      <c r="J9" s="40" t="str">
        <f ca="1">IF(AND(J10="completed"),"Deliverable Completed","DELIVERABLE STILL IN PROGRESS")</f>
        <v>DELIVERABLE STILL IN PROGRESS</v>
      </c>
      <c r="K9" s="343"/>
    </row>
    <row r="10" spans="1:65" ht="13.9" customHeight="1" x14ac:dyDescent="0.2">
      <c r="A10" s="499"/>
      <c r="B10" s="146"/>
      <c r="C10" s="33"/>
      <c r="D10" s="266"/>
      <c r="E10" s="275"/>
      <c r="F10" s="231">
        <f ca="1">IF(ISBLANK(G10),IF(ISERROR(DAYS360(TODAY(),E10))," ",(DAYS360(TODAY(),E10))),E10-G10)</f>
        <v>-43388</v>
      </c>
      <c r="G10" s="275"/>
      <c r="H10" s="276"/>
      <c r="I10" s="87"/>
      <c r="J10" s="105" t="str">
        <f ca="1">IF(G10&gt;0,"COMPLETED",(IF(I10&gt;0,"ISSUE IDENTIFIED",(IF(TODAY()&gt;E10,"OVERDUE","In Progress")))))</f>
        <v>OVERDUE</v>
      </c>
      <c r="K10" s="345"/>
    </row>
    <row r="11" spans="1:65" ht="13.9" customHeight="1" x14ac:dyDescent="0.2">
      <c r="A11" s="500"/>
      <c r="B11" s="375" t="s">
        <v>706</v>
      </c>
      <c r="C11" s="412"/>
      <c r="D11" s="408"/>
      <c r="E11" s="408"/>
      <c r="F11" s="409">
        <f ca="1">IF(ISBLANK(G11),IF(ISERROR(DAYS360(TODAY(),E11))," ",(DAYS360(TODAY(),E11))),E11-G11)</f>
        <v>-43388</v>
      </c>
      <c r="G11" s="267"/>
      <c r="H11" s="173"/>
      <c r="I11" s="145"/>
      <c r="J11" s="138" t="str">
        <f ca="1">IF(AND(J12="completed",J13="completed",J14="completed",J15="completed",J16="completed",J17="completed"),"Deliverable Completed","DELIVERABLE STILL IN PROGRESS")</f>
        <v>DELIVERABLE STILL IN PROGRESS</v>
      </c>
      <c r="K11" s="346"/>
    </row>
    <row r="12" spans="1:65" s="20" customFormat="1" ht="13.9" customHeight="1" x14ac:dyDescent="0.2">
      <c r="A12" s="500"/>
      <c r="B12" s="146" t="s">
        <v>707</v>
      </c>
      <c r="C12" s="33"/>
      <c r="D12" s="200"/>
      <c r="E12" s="220"/>
      <c r="F12" s="231">
        <f ca="1">IF(ISBLANK(G12),IF(ISERROR(DAYS360(TODAY(),E12))," ",(DAYS360(TODAY(),E12))),E12-G12)</f>
        <v>-43388</v>
      </c>
      <c r="G12" s="220"/>
      <c r="H12" s="116"/>
      <c r="I12" s="81"/>
      <c r="J12" s="40" t="str">
        <f t="shared" ref="J12:J17" ca="1" si="0">IF(G12&gt;0,"COMPLETED",(IF(I12&gt;0,"ISSUE IDENTIFIED",(IF(TODAY()&gt;E12,"OVERDUE","In Progress")))))</f>
        <v>OVERDUE</v>
      </c>
      <c r="K12" s="343"/>
    </row>
    <row r="13" spans="1:65" ht="13.9" customHeight="1" x14ac:dyDescent="0.2">
      <c r="A13" s="500"/>
      <c r="B13" s="146" t="s">
        <v>737</v>
      </c>
      <c r="C13" s="33"/>
      <c r="D13" s="200"/>
      <c r="E13" s="220"/>
      <c r="F13" s="231">
        <f t="shared" ref="F13:F16" ca="1" si="1">IF(ISBLANK(G13),IF(ISERROR(DAYS360(TODAY(),E13))," ",(DAYS360(TODAY(),E13))),E13-G13)</f>
        <v>-43388</v>
      </c>
      <c r="G13" s="220"/>
      <c r="H13" s="116"/>
      <c r="I13" s="81"/>
      <c r="J13" s="40" t="str">
        <f t="shared" ca="1" si="0"/>
        <v>OVERDUE</v>
      </c>
      <c r="K13" s="343"/>
    </row>
    <row r="14" spans="1:65" ht="13.9" customHeight="1" x14ac:dyDescent="0.2">
      <c r="A14" s="500"/>
      <c r="B14" s="146" t="s">
        <v>709</v>
      </c>
      <c r="C14" s="33"/>
      <c r="D14" s="200"/>
      <c r="E14" s="220"/>
      <c r="F14" s="231">
        <f t="shared" ca="1" si="1"/>
        <v>-43388</v>
      </c>
      <c r="G14" s="220"/>
      <c r="H14" s="116"/>
      <c r="I14" s="81"/>
      <c r="J14" s="40" t="str">
        <f t="shared" ca="1" si="0"/>
        <v>OVERDUE</v>
      </c>
      <c r="K14" s="343"/>
    </row>
    <row r="15" spans="1:65" ht="13.9" customHeight="1" x14ac:dyDescent="0.2">
      <c r="A15" s="500"/>
      <c r="B15" s="146" t="s">
        <v>710</v>
      </c>
      <c r="C15" s="33"/>
      <c r="D15" s="200"/>
      <c r="E15" s="220"/>
      <c r="F15" s="231">
        <f t="shared" ca="1" si="1"/>
        <v>-43388</v>
      </c>
      <c r="G15" s="220"/>
      <c r="H15" s="116"/>
      <c r="I15" s="81"/>
      <c r="J15" s="40" t="str">
        <f t="shared" ca="1" si="0"/>
        <v>OVERDUE</v>
      </c>
      <c r="K15" s="343"/>
    </row>
    <row r="16" spans="1:65" ht="13.9" customHeight="1" x14ac:dyDescent="0.2">
      <c r="A16" s="500"/>
      <c r="B16" s="146" t="s">
        <v>711</v>
      </c>
      <c r="C16" s="33"/>
      <c r="D16" s="200"/>
      <c r="E16" s="220"/>
      <c r="F16" s="231">
        <f t="shared" ca="1" si="1"/>
        <v>-43388</v>
      </c>
      <c r="G16" s="220"/>
      <c r="H16" s="116"/>
      <c r="I16" s="81"/>
      <c r="J16" s="40" t="str">
        <f t="shared" ca="1" si="0"/>
        <v>OVERDUE</v>
      </c>
      <c r="K16" s="343"/>
    </row>
    <row r="17" spans="1:65" ht="13.9" customHeight="1" x14ac:dyDescent="0.2">
      <c r="A17" s="500"/>
      <c r="B17" s="160" t="s">
        <v>712</v>
      </c>
      <c r="C17" s="274"/>
      <c r="D17" s="219"/>
      <c r="E17" s="292"/>
      <c r="F17" s="410">
        <f ca="1">IF(ISBLANK(G17),IF(ISERROR(DAYS360(TODAY(),E17))," ",(DAYS360(TODAY(),E17))),E17-G17)</f>
        <v>-43388</v>
      </c>
      <c r="G17" s="292"/>
      <c r="H17" s="293"/>
      <c r="I17" s="294"/>
      <c r="J17" s="153" t="str">
        <f t="shared" ca="1" si="0"/>
        <v>OVERDUE</v>
      </c>
      <c r="K17" s="347"/>
    </row>
    <row r="18" spans="1:65" ht="13.9" customHeight="1" x14ac:dyDescent="0.2">
      <c r="A18" s="499"/>
      <c r="B18" s="407" t="s">
        <v>738</v>
      </c>
      <c r="C18" s="116"/>
      <c r="D18" s="408"/>
      <c r="E18" s="408"/>
      <c r="F18" s="411">
        <f t="shared" ref="F18:F40" ca="1" si="2">IF(ISBLANK(G18),IF(ISERROR(DAYS360(TODAY(),E18))," ",(DAYS360(TODAY(),E18))),E18-G18)</f>
        <v>-43388</v>
      </c>
      <c r="G18" s="116"/>
      <c r="H18" s="116"/>
      <c r="I18" s="81"/>
      <c r="J18" s="141" t="str">
        <f ca="1">IF(AND(J19="completed",J20="completed",J21="completed",J22="completed",J23="completed",J24="completed",J25="completed",J26="completed",J27="completed",J28="completed"),"Deliverable Completed","DELIVERABLE STILL IN PROGRESS")</f>
        <v>DELIVERABLE STILL IN PROGRESS</v>
      </c>
      <c r="K18" s="348"/>
    </row>
    <row r="19" spans="1:65" ht="13.9" customHeight="1" x14ac:dyDescent="0.2">
      <c r="A19" s="500"/>
      <c r="B19" s="157" t="s">
        <v>739</v>
      </c>
      <c r="C19" s="84"/>
      <c r="D19" s="200"/>
      <c r="E19" s="220"/>
      <c r="F19" s="231">
        <f t="shared" ca="1" si="2"/>
        <v>-43388</v>
      </c>
      <c r="G19" s="220"/>
      <c r="H19" s="116"/>
      <c r="I19" s="81"/>
      <c r="J19" s="40" t="str">
        <f t="shared" ref="J19:J40" ca="1" si="3">IF(G19&gt;0,"COMPLETED",(IF(I19&gt;0,"ISSUE IDENTIFIED",(IF(TODAY()&gt;E19,"OVERDUE","In Progress")))))</f>
        <v>OVERDUE</v>
      </c>
      <c r="K19" s="343"/>
    </row>
    <row r="20" spans="1:65" ht="13.9" customHeight="1" x14ac:dyDescent="0.2">
      <c r="A20" s="500"/>
      <c r="B20" s="157" t="s">
        <v>740</v>
      </c>
      <c r="C20" s="84"/>
      <c r="D20" s="200"/>
      <c r="E20" s="220"/>
      <c r="F20" s="231">
        <f t="shared" ca="1" si="2"/>
        <v>-43388</v>
      </c>
      <c r="G20" s="220"/>
      <c r="H20" s="116"/>
      <c r="I20" s="81"/>
      <c r="J20" s="40" t="str">
        <f t="shared" ca="1" si="3"/>
        <v>OVERDUE</v>
      </c>
      <c r="K20" s="343"/>
    </row>
    <row r="21" spans="1:65" ht="13.9" customHeight="1" x14ac:dyDescent="0.2">
      <c r="A21" s="500"/>
      <c r="B21" s="157" t="s">
        <v>741</v>
      </c>
      <c r="C21" s="84"/>
      <c r="D21" s="200"/>
      <c r="E21" s="220"/>
      <c r="F21" s="231">
        <f t="shared" ca="1" si="2"/>
        <v>-43388</v>
      </c>
      <c r="G21" s="220"/>
      <c r="H21" s="116"/>
      <c r="I21" s="81"/>
      <c r="J21" s="40" t="str">
        <f t="shared" ca="1" si="3"/>
        <v>OVERDUE</v>
      </c>
      <c r="K21" s="343"/>
    </row>
    <row r="22" spans="1:65" ht="13.9" customHeight="1" x14ac:dyDescent="0.2">
      <c r="A22" s="500"/>
      <c r="B22" s="157" t="s">
        <v>742</v>
      </c>
      <c r="C22" s="84"/>
      <c r="D22" s="200"/>
      <c r="E22" s="220"/>
      <c r="F22" s="231">
        <f t="shared" ca="1" si="2"/>
        <v>-43388</v>
      </c>
      <c r="G22" s="220"/>
      <c r="H22" s="116"/>
      <c r="I22" s="81"/>
      <c r="J22" s="40" t="str">
        <f t="shared" ca="1" si="3"/>
        <v>OVERDUE</v>
      </c>
      <c r="K22" s="343"/>
    </row>
    <row r="23" spans="1:65" ht="13.9" customHeight="1" x14ac:dyDescent="0.2">
      <c r="A23" s="500"/>
      <c r="B23" s="157" t="s">
        <v>743</v>
      </c>
      <c r="C23" s="84"/>
      <c r="D23" s="200"/>
      <c r="E23" s="220"/>
      <c r="F23" s="231">
        <f t="shared" ca="1" si="2"/>
        <v>-43388</v>
      </c>
      <c r="G23" s="220"/>
      <c r="H23" s="116"/>
      <c r="I23" s="81"/>
      <c r="J23" s="40" t="str">
        <f t="shared" ca="1" si="3"/>
        <v>OVERDUE</v>
      </c>
      <c r="K23" s="343"/>
    </row>
    <row r="24" spans="1:65" s="22" customFormat="1" ht="13.9" customHeight="1" x14ac:dyDescent="0.2">
      <c r="A24" s="500"/>
      <c r="B24" s="157" t="s">
        <v>744</v>
      </c>
      <c r="C24" s="84"/>
      <c r="D24" s="200"/>
      <c r="E24" s="220"/>
      <c r="F24" s="231">
        <f t="shared" ca="1" si="2"/>
        <v>-43388</v>
      </c>
      <c r="G24" s="220"/>
      <c r="H24" s="116"/>
      <c r="I24" s="81"/>
      <c r="J24" s="40" t="str">
        <f t="shared" ca="1" si="3"/>
        <v>OVERDUE</v>
      </c>
      <c r="K24" s="343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</row>
    <row r="25" spans="1:65" s="20" customFormat="1" ht="13.9" customHeight="1" x14ac:dyDescent="0.2">
      <c r="A25" s="500"/>
      <c r="B25" s="157" t="s">
        <v>745</v>
      </c>
      <c r="C25" s="84"/>
      <c r="D25" s="200"/>
      <c r="E25" s="220"/>
      <c r="F25" s="231">
        <f t="shared" ca="1" si="2"/>
        <v>-43388</v>
      </c>
      <c r="G25" s="220"/>
      <c r="H25" s="116"/>
      <c r="I25" s="81"/>
      <c r="J25" s="40" t="str">
        <f t="shared" ca="1" si="3"/>
        <v>OVERDUE</v>
      </c>
      <c r="K25" s="343"/>
    </row>
    <row r="26" spans="1:65" ht="13.9" customHeight="1" x14ac:dyDescent="0.2">
      <c r="A26" s="500"/>
      <c r="B26" s="157" t="s">
        <v>746</v>
      </c>
      <c r="C26" s="84"/>
      <c r="D26" s="200"/>
      <c r="E26" s="220"/>
      <c r="F26" s="231">
        <f t="shared" ca="1" si="2"/>
        <v>-43388</v>
      </c>
      <c r="G26" s="220"/>
      <c r="H26" s="116"/>
      <c r="I26" s="81"/>
      <c r="J26" s="40" t="str">
        <f t="shared" ca="1" si="3"/>
        <v>OVERDUE</v>
      </c>
      <c r="K26" s="343"/>
    </row>
    <row r="27" spans="1:65" ht="13.9" customHeight="1" x14ac:dyDescent="0.2">
      <c r="A27" s="500"/>
      <c r="B27" s="157" t="s">
        <v>747</v>
      </c>
      <c r="C27" s="84"/>
      <c r="D27" s="200"/>
      <c r="E27" s="220"/>
      <c r="F27" s="231">
        <f t="shared" ca="1" si="2"/>
        <v>-43388</v>
      </c>
      <c r="G27" s="220"/>
      <c r="H27" s="116"/>
      <c r="I27" s="81"/>
      <c r="J27" s="40" t="str">
        <f t="shared" ca="1" si="3"/>
        <v>OVERDUE</v>
      </c>
      <c r="K27" s="343"/>
    </row>
    <row r="28" spans="1:65" ht="13.9" customHeight="1" x14ac:dyDescent="0.2">
      <c r="A28" s="500"/>
      <c r="B28" s="159" t="s">
        <v>748</v>
      </c>
      <c r="C28" s="163"/>
      <c r="D28" s="266"/>
      <c r="E28" s="275"/>
      <c r="F28" s="419">
        <f t="shared" ca="1" si="2"/>
        <v>-43388</v>
      </c>
      <c r="G28" s="275"/>
      <c r="H28" s="276"/>
      <c r="I28" s="87"/>
      <c r="J28" s="105" t="str">
        <f t="shared" ca="1" si="3"/>
        <v>OVERDUE</v>
      </c>
      <c r="K28" s="345"/>
    </row>
    <row r="29" spans="1:65" ht="13.9" customHeight="1" x14ac:dyDescent="0.2">
      <c r="A29" s="500"/>
      <c r="B29" s="407" t="s">
        <v>749</v>
      </c>
      <c r="C29" s="418"/>
      <c r="D29" s="408"/>
      <c r="E29" s="408"/>
      <c r="F29" s="409">
        <f t="shared" ca="1" si="2"/>
        <v>-43388</v>
      </c>
      <c r="G29" s="267"/>
      <c r="H29" s="173"/>
      <c r="I29" s="145"/>
      <c r="J29" s="138" t="str">
        <f ca="1">IF(AND(J30="completed",J31="completed",J32="completed",J33="completed"),"Deliverable Completed","DELIVERABLE STILL IN PROGRESS")</f>
        <v>DELIVERABLE STILL IN PROGRESS</v>
      </c>
      <c r="K29" s="346"/>
    </row>
    <row r="30" spans="1:65" ht="13.9" customHeight="1" x14ac:dyDescent="0.2">
      <c r="A30" s="500"/>
      <c r="B30" s="146" t="s">
        <v>750</v>
      </c>
      <c r="C30" s="39"/>
      <c r="D30" s="200"/>
      <c r="E30" s="220"/>
      <c r="F30" s="231">
        <f t="shared" ca="1" si="2"/>
        <v>-43388</v>
      </c>
      <c r="G30" s="220"/>
      <c r="H30" s="116"/>
      <c r="I30" s="81"/>
      <c r="J30" s="40" t="str">
        <f t="shared" ca="1" si="3"/>
        <v>OVERDUE</v>
      </c>
      <c r="K30" s="343"/>
    </row>
    <row r="31" spans="1:65" ht="13.9" customHeight="1" x14ac:dyDescent="0.2">
      <c r="A31" s="500"/>
      <c r="B31" s="146" t="s">
        <v>751</v>
      </c>
      <c r="C31" s="39"/>
      <c r="D31" s="200"/>
      <c r="E31" s="220"/>
      <c r="F31" s="231">
        <f t="shared" ca="1" si="2"/>
        <v>-43388</v>
      </c>
      <c r="G31" s="220"/>
      <c r="H31" s="116"/>
      <c r="I31" s="81"/>
      <c r="J31" s="40" t="str">
        <f t="shared" ca="1" si="3"/>
        <v>OVERDUE</v>
      </c>
      <c r="K31" s="343"/>
    </row>
    <row r="32" spans="1:65" ht="13.9" customHeight="1" x14ac:dyDescent="0.2">
      <c r="A32" s="500"/>
      <c r="B32" s="146" t="s">
        <v>752</v>
      </c>
      <c r="C32" s="39"/>
      <c r="D32" s="200"/>
      <c r="E32" s="220"/>
      <c r="F32" s="231">
        <f t="shared" ca="1" si="2"/>
        <v>-43388</v>
      </c>
      <c r="G32" s="220"/>
      <c r="H32" s="116"/>
      <c r="I32" s="81"/>
      <c r="J32" s="40" t="str">
        <f t="shared" ca="1" si="3"/>
        <v>OVERDUE</v>
      </c>
      <c r="K32" s="343"/>
    </row>
    <row r="33" spans="1:11" ht="13.9" customHeight="1" x14ac:dyDescent="0.2">
      <c r="A33" s="500"/>
      <c r="B33" s="160" t="s">
        <v>753</v>
      </c>
      <c r="C33" s="152"/>
      <c r="D33" s="219"/>
      <c r="E33" s="292"/>
      <c r="F33" s="410">
        <f t="shared" ca="1" si="2"/>
        <v>-43388</v>
      </c>
      <c r="G33" s="292"/>
      <c r="H33" s="293"/>
      <c r="I33" s="294"/>
      <c r="J33" s="153" t="str">
        <f t="shared" ca="1" si="3"/>
        <v>OVERDUE</v>
      </c>
      <c r="K33" s="347"/>
    </row>
    <row r="34" spans="1:11" ht="13.9" customHeight="1" x14ac:dyDescent="0.25">
      <c r="A34" s="500"/>
      <c r="B34" s="406" t="s">
        <v>754</v>
      </c>
      <c r="C34" s="420"/>
      <c r="D34" s="408"/>
      <c r="E34" s="408"/>
      <c r="F34" s="411">
        <f t="shared" ca="1" si="2"/>
        <v>-43388</v>
      </c>
      <c r="G34" s="220"/>
      <c r="H34" s="116"/>
      <c r="I34" s="81"/>
      <c r="J34" s="141" t="str">
        <f ca="1">IF(AND(J35="completed",J36="completed",J37="completed",J38="completed",J39="completed",J40="completed"),"Deliverable Completed","DELIVERABLE STILL IN PROGRESS")</f>
        <v>DELIVERABLE STILL IN PROGRESS</v>
      </c>
      <c r="K34" s="348"/>
    </row>
    <row r="35" spans="1:11" ht="13.9" customHeight="1" x14ac:dyDescent="0.2">
      <c r="A35" s="500"/>
      <c r="B35" s="146" t="s">
        <v>755</v>
      </c>
      <c r="C35" s="33"/>
      <c r="D35" s="200"/>
      <c r="E35" s="220"/>
      <c r="F35" s="231">
        <f t="shared" ca="1" si="2"/>
        <v>-43388</v>
      </c>
      <c r="G35" s="220"/>
      <c r="H35" s="116"/>
      <c r="I35" s="81"/>
      <c r="J35" s="40" t="str">
        <f t="shared" ca="1" si="3"/>
        <v>OVERDUE</v>
      </c>
      <c r="K35" s="343"/>
    </row>
    <row r="36" spans="1:11" ht="13.9" customHeight="1" x14ac:dyDescent="0.2">
      <c r="A36" s="500"/>
      <c r="B36" s="146"/>
      <c r="C36" s="33"/>
      <c r="D36" s="200"/>
      <c r="E36" s="220"/>
      <c r="F36" s="231">
        <f t="shared" ca="1" si="2"/>
        <v>-43388</v>
      </c>
      <c r="G36" s="220"/>
      <c r="H36" s="116"/>
      <c r="I36" s="81"/>
      <c r="J36" s="40" t="str">
        <f t="shared" ca="1" si="3"/>
        <v>OVERDUE</v>
      </c>
      <c r="K36" s="343"/>
    </row>
    <row r="37" spans="1:11" ht="13.9" customHeight="1" x14ac:dyDescent="0.2">
      <c r="A37" s="500"/>
      <c r="B37" s="146"/>
      <c r="C37" s="33"/>
      <c r="D37" s="200"/>
      <c r="E37" s="220"/>
      <c r="F37" s="231">
        <f t="shared" ca="1" si="2"/>
        <v>-43388</v>
      </c>
      <c r="G37" s="220"/>
      <c r="H37" s="116"/>
      <c r="I37" s="81"/>
      <c r="J37" s="40" t="str">
        <f t="shared" ca="1" si="3"/>
        <v>OVERDUE</v>
      </c>
      <c r="K37" s="343"/>
    </row>
    <row r="38" spans="1:11" ht="13.9" customHeight="1" x14ac:dyDescent="0.2">
      <c r="A38" s="500"/>
      <c r="B38" s="146"/>
      <c r="C38" s="33"/>
      <c r="D38" s="200"/>
      <c r="E38" s="220"/>
      <c r="F38" s="231">
        <f t="shared" ca="1" si="2"/>
        <v>-43388</v>
      </c>
      <c r="G38" s="220"/>
      <c r="H38" s="116"/>
      <c r="I38" s="81"/>
      <c r="J38" s="40" t="str">
        <f t="shared" ca="1" si="3"/>
        <v>OVERDUE</v>
      </c>
      <c r="K38" s="343"/>
    </row>
    <row r="39" spans="1:11" ht="13.9" customHeight="1" x14ac:dyDescent="0.2">
      <c r="A39" s="500"/>
      <c r="B39" s="146"/>
      <c r="C39" s="33"/>
      <c r="D39" s="200"/>
      <c r="E39" s="220"/>
      <c r="F39" s="231">
        <f t="shared" ca="1" si="2"/>
        <v>-43388</v>
      </c>
      <c r="G39" s="220"/>
      <c r="H39" s="116"/>
      <c r="I39" s="81"/>
      <c r="J39" s="40" t="str">
        <f t="shared" ca="1" si="3"/>
        <v>OVERDUE</v>
      </c>
      <c r="K39" s="343"/>
    </row>
    <row r="40" spans="1:11" ht="15.75" thickBot="1" x14ac:dyDescent="0.25">
      <c r="A40" s="503"/>
      <c r="B40" s="349"/>
      <c r="C40" s="298"/>
      <c r="D40" s="295"/>
      <c r="E40" s="295"/>
      <c r="F40" s="296">
        <f t="shared" ca="1" si="2"/>
        <v>-43388</v>
      </c>
      <c r="G40" s="295"/>
      <c r="H40" s="297"/>
      <c r="I40" s="298"/>
      <c r="J40" s="74" t="str">
        <f t="shared" ca="1" si="3"/>
        <v>OVERDUE</v>
      </c>
      <c r="K40" s="299"/>
    </row>
    <row r="41" spans="1:11" x14ac:dyDescent="0.2">
      <c r="B41" s="26"/>
      <c r="C41" s="19"/>
      <c r="D41" s="53"/>
      <c r="E41" s="53"/>
      <c r="F41" s="413"/>
      <c r="G41" s="53"/>
      <c r="H41" s="54"/>
      <c r="I41" s="26"/>
      <c r="J41" s="414"/>
      <c r="K41" s="26"/>
    </row>
    <row r="42" spans="1:11" x14ac:dyDescent="0.2">
      <c r="B42" s="26"/>
      <c r="C42" s="19"/>
      <c r="D42" s="53"/>
      <c r="E42" s="53"/>
      <c r="F42" s="413"/>
      <c r="G42" s="53"/>
      <c r="H42" s="54"/>
      <c r="I42" s="26"/>
      <c r="J42" s="414"/>
      <c r="K42" s="26"/>
    </row>
    <row r="43" spans="1:11" x14ac:dyDescent="0.2">
      <c r="B43" s="26"/>
      <c r="C43" s="19"/>
      <c r="D43" s="53"/>
      <c r="E43" s="53"/>
      <c r="F43" s="413"/>
      <c r="G43" s="53"/>
      <c r="H43" s="54"/>
      <c r="I43" s="26"/>
      <c r="J43" s="414"/>
      <c r="K43" s="26"/>
    </row>
    <row r="44" spans="1:11" x14ac:dyDescent="0.2">
      <c r="B44" s="26"/>
      <c r="C44" s="19"/>
      <c r="D44" s="53"/>
      <c r="E44" s="53"/>
      <c r="F44" s="413"/>
      <c r="G44" s="53"/>
      <c r="H44" s="54"/>
      <c r="I44" s="26"/>
      <c r="J44" s="414"/>
      <c r="K44" s="26"/>
    </row>
    <row r="45" spans="1:11" x14ac:dyDescent="0.2">
      <c r="B45" s="26"/>
      <c r="C45" s="19"/>
      <c r="D45" s="53"/>
      <c r="E45" s="53"/>
      <c r="F45" s="413"/>
      <c r="G45" s="53"/>
      <c r="H45" s="54"/>
      <c r="I45" s="19"/>
      <c r="J45" s="414"/>
      <c r="K45" s="26"/>
    </row>
    <row r="46" spans="1:11" x14ac:dyDescent="0.2">
      <c r="B46" s="26"/>
      <c r="C46" s="19"/>
      <c r="D46" s="53"/>
      <c r="E46" s="53"/>
      <c r="F46" s="413"/>
      <c r="G46" s="53"/>
      <c r="H46" s="54"/>
      <c r="I46" s="19"/>
      <c r="J46" s="414"/>
      <c r="K46" s="26"/>
    </row>
    <row r="47" spans="1:11" x14ac:dyDescent="0.2">
      <c r="B47" s="26"/>
      <c r="C47" s="19"/>
      <c r="D47" s="53"/>
      <c r="E47" s="53"/>
      <c r="F47" s="413"/>
      <c r="G47" s="302"/>
      <c r="H47" s="54"/>
      <c r="I47" s="26"/>
      <c r="J47" s="414"/>
      <c r="K47" s="26"/>
    </row>
    <row r="48" spans="1:11" x14ac:dyDescent="0.2">
      <c r="B48" s="26"/>
      <c r="C48" s="19"/>
      <c r="D48" s="53"/>
      <c r="E48" s="53"/>
      <c r="F48" s="413"/>
      <c r="G48" s="53"/>
      <c r="H48" s="303"/>
      <c r="I48" s="19"/>
      <c r="J48" s="414"/>
      <c r="K48" s="26"/>
    </row>
    <row r="49" spans="2:11" x14ac:dyDescent="0.2">
      <c r="B49" s="26"/>
      <c r="C49" s="19"/>
      <c r="D49" s="53"/>
      <c r="E49" s="53"/>
      <c r="F49" s="413"/>
      <c r="G49" s="53"/>
      <c r="H49" s="54"/>
      <c r="I49" s="19"/>
      <c r="J49" s="414"/>
      <c r="K49" s="26"/>
    </row>
    <row r="50" spans="2:11" x14ac:dyDescent="0.2">
      <c r="B50" s="26"/>
      <c r="C50" s="19"/>
      <c r="D50" s="53"/>
      <c r="E50" s="53"/>
      <c r="F50" s="413"/>
      <c r="G50" s="53"/>
      <c r="H50" s="54"/>
      <c r="I50" s="26"/>
      <c r="J50" s="414"/>
      <c r="K50" s="26"/>
    </row>
    <row r="51" spans="2:11" x14ac:dyDescent="0.2">
      <c r="B51" s="26"/>
      <c r="C51" s="19"/>
      <c r="D51" s="53"/>
      <c r="E51" s="53"/>
      <c r="F51" s="413"/>
      <c r="G51" s="53"/>
      <c r="H51" s="54"/>
      <c r="I51" s="26"/>
      <c r="J51" s="414"/>
      <c r="K51" s="26"/>
    </row>
    <row r="52" spans="2:11" x14ac:dyDescent="0.2">
      <c r="B52" s="26"/>
      <c r="C52" s="19"/>
      <c r="D52" s="53"/>
      <c r="E52" s="53"/>
      <c r="F52" s="413"/>
      <c r="G52" s="53"/>
      <c r="H52" s="54"/>
      <c r="I52" s="26"/>
      <c r="J52" s="414"/>
      <c r="K52" s="26"/>
    </row>
    <row r="53" spans="2:11" x14ac:dyDescent="0.2">
      <c r="B53" s="26"/>
      <c r="C53" s="19"/>
      <c r="D53" s="53"/>
      <c r="E53" s="53"/>
      <c r="F53" s="413"/>
      <c r="G53" s="53"/>
      <c r="H53" s="54"/>
      <c r="I53" s="26"/>
      <c r="J53" s="414"/>
      <c r="K53" s="26"/>
    </row>
    <row r="54" spans="2:11" x14ac:dyDescent="0.2">
      <c r="B54" s="26"/>
      <c r="C54" s="19"/>
      <c r="D54" s="53"/>
      <c r="E54" s="53"/>
      <c r="F54" s="413"/>
      <c r="G54" s="53"/>
      <c r="H54" s="54"/>
      <c r="I54" s="26"/>
      <c r="J54" s="414"/>
      <c r="K54" s="26"/>
    </row>
    <row r="55" spans="2:11" x14ac:dyDescent="0.2">
      <c r="B55" s="26"/>
      <c r="C55" s="19"/>
      <c r="D55" s="53"/>
      <c r="E55" s="53"/>
      <c r="F55" s="413"/>
      <c r="G55" s="53"/>
      <c r="H55" s="54"/>
      <c r="I55" s="19"/>
      <c r="J55" s="414"/>
      <c r="K55" s="26"/>
    </row>
    <row r="56" spans="2:11" x14ac:dyDescent="0.2">
      <c r="B56" s="26"/>
      <c r="C56" s="19"/>
      <c r="D56" s="53"/>
      <c r="E56" s="53"/>
      <c r="F56" s="413"/>
      <c r="G56" s="53"/>
      <c r="H56" s="54"/>
      <c r="I56" s="26"/>
      <c r="J56" s="414"/>
      <c r="K56" s="26"/>
    </row>
    <row r="57" spans="2:11" x14ac:dyDescent="0.2">
      <c r="B57" s="26"/>
      <c r="C57" s="19"/>
      <c r="D57" s="53"/>
      <c r="E57" s="53"/>
      <c r="F57" s="413"/>
      <c r="G57" s="53"/>
      <c r="H57" s="54"/>
      <c r="I57" s="26"/>
      <c r="J57" s="414"/>
      <c r="K57" s="26"/>
    </row>
    <row r="58" spans="2:11" x14ac:dyDescent="0.2">
      <c r="B58" s="26"/>
      <c r="C58" s="19"/>
      <c r="D58" s="53"/>
      <c r="E58" s="53"/>
      <c r="F58" s="413"/>
      <c r="G58" s="53"/>
      <c r="H58" s="54"/>
      <c r="I58" s="26"/>
      <c r="J58" s="414"/>
      <c r="K58" s="26"/>
    </row>
    <row r="59" spans="2:11" x14ac:dyDescent="0.2">
      <c r="B59" s="26"/>
      <c r="C59" s="19"/>
      <c r="D59" s="53"/>
      <c r="E59" s="53"/>
      <c r="F59" s="413"/>
      <c r="G59" s="53"/>
      <c r="H59" s="54"/>
      <c r="I59" s="26"/>
      <c r="J59" s="414"/>
      <c r="K59" s="26"/>
    </row>
    <row r="60" spans="2:11" x14ac:dyDescent="0.2">
      <c r="B60" s="26"/>
      <c r="C60" s="19"/>
      <c r="D60" s="53"/>
      <c r="E60" s="53"/>
      <c r="F60" s="413"/>
      <c r="G60" s="53"/>
      <c r="H60" s="54"/>
      <c r="I60" s="26"/>
      <c r="J60" s="414"/>
      <c r="K60" s="26"/>
    </row>
    <row r="61" spans="2:11" x14ac:dyDescent="0.2">
      <c r="B61" s="26"/>
      <c r="C61" s="19"/>
      <c r="D61" s="53"/>
      <c r="E61" s="53"/>
      <c r="F61" s="413"/>
      <c r="G61" s="53"/>
      <c r="H61" s="54"/>
      <c r="I61" s="26"/>
      <c r="J61" s="414"/>
      <c r="K61" s="26"/>
    </row>
    <row r="62" spans="2:11" x14ac:dyDescent="0.2">
      <c r="B62" s="26"/>
      <c r="C62" s="19"/>
      <c r="D62" s="53"/>
      <c r="E62" s="53"/>
      <c r="F62" s="413"/>
      <c r="G62" s="54"/>
      <c r="H62" s="54"/>
      <c r="I62" s="19"/>
      <c r="J62" s="414"/>
      <c r="K62" s="26"/>
    </row>
    <row r="63" spans="2:11" x14ac:dyDescent="0.2">
      <c r="B63" s="26"/>
      <c r="C63" s="19"/>
      <c r="D63" s="53"/>
      <c r="E63" s="53"/>
      <c r="F63" s="413"/>
      <c r="G63" s="53"/>
      <c r="H63" s="54"/>
      <c r="I63" s="19"/>
      <c r="J63" s="414"/>
      <c r="K63" s="26"/>
    </row>
    <row r="64" spans="2:11" ht="15" x14ac:dyDescent="0.2">
      <c r="B64" s="415"/>
      <c r="C64" s="19"/>
      <c r="D64" s="53"/>
      <c r="E64" s="53"/>
      <c r="F64" s="413"/>
      <c r="G64" s="53"/>
      <c r="H64" s="54"/>
      <c r="I64" s="19"/>
      <c r="J64" s="414"/>
      <c r="K64" s="26"/>
    </row>
    <row r="65" spans="2:11" x14ac:dyDescent="0.2">
      <c r="B65" s="26"/>
      <c r="C65" s="19"/>
      <c r="D65" s="53"/>
      <c r="E65" s="53"/>
      <c r="F65" s="413"/>
      <c r="G65" s="53"/>
      <c r="H65" s="54"/>
      <c r="I65" s="26"/>
      <c r="J65" s="414"/>
      <c r="K65" s="26"/>
    </row>
    <row r="66" spans="2:11" x14ac:dyDescent="0.2">
      <c r="B66" s="26"/>
      <c r="C66" s="19"/>
      <c r="D66" s="53"/>
      <c r="E66" s="53"/>
      <c r="F66" s="413"/>
      <c r="G66" s="53"/>
      <c r="H66" s="54"/>
      <c r="I66" s="26"/>
      <c r="J66" s="414"/>
      <c r="K66" s="26"/>
    </row>
    <row r="67" spans="2:11" x14ac:dyDescent="0.2">
      <c r="B67" s="26"/>
      <c r="C67" s="19"/>
      <c r="D67" s="53"/>
      <c r="E67" s="53"/>
      <c r="F67" s="413"/>
      <c r="G67" s="53"/>
      <c r="H67" s="54"/>
      <c r="I67" s="26"/>
      <c r="J67" s="414"/>
      <c r="K67" s="26"/>
    </row>
    <row r="68" spans="2:11" x14ac:dyDescent="0.2">
      <c r="B68" s="26"/>
      <c r="C68" s="19"/>
      <c r="D68" s="53"/>
      <c r="E68" s="53"/>
      <c r="F68" s="413"/>
      <c r="G68" s="53"/>
      <c r="H68" s="54"/>
      <c r="I68" s="26"/>
      <c r="J68" s="414"/>
      <c r="K68" s="52"/>
    </row>
    <row r="69" spans="2:11" x14ac:dyDescent="0.2">
      <c r="B69" s="26"/>
      <c r="C69" s="19"/>
      <c r="D69" s="53"/>
      <c r="E69" s="53"/>
      <c r="F69" s="413"/>
      <c r="G69" s="53"/>
      <c r="H69" s="54"/>
      <c r="I69" s="26"/>
      <c r="J69" s="414"/>
      <c r="K69" s="26"/>
    </row>
    <row r="70" spans="2:11" x14ac:dyDescent="0.2">
      <c r="B70" s="26"/>
      <c r="C70" s="19"/>
      <c r="D70" s="53"/>
      <c r="E70" s="53"/>
      <c r="F70" s="413"/>
      <c r="G70" s="53"/>
      <c r="H70" s="54"/>
      <c r="I70" s="26"/>
      <c r="J70" s="414"/>
      <c r="K70" s="26"/>
    </row>
    <row r="71" spans="2:11" x14ac:dyDescent="0.2">
      <c r="B71" s="26"/>
      <c r="C71" s="19"/>
      <c r="D71" s="53"/>
      <c r="E71" s="53"/>
      <c r="F71" s="413"/>
      <c r="G71" s="53"/>
      <c r="H71" s="54"/>
      <c r="I71" s="26"/>
      <c r="J71" s="414"/>
      <c r="K71" s="26"/>
    </row>
    <row r="72" spans="2:11" x14ac:dyDescent="0.2">
      <c r="B72" s="26"/>
      <c r="C72" s="19"/>
      <c r="D72" s="53"/>
      <c r="E72" s="53"/>
      <c r="F72" s="413"/>
      <c r="G72" s="53"/>
      <c r="H72" s="54"/>
      <c r="I72" s="19"/>
      <c r="J72" s="414"/>
      <c r="K72" s="26"/>
    </row>
    <row r="73" spans="2:11" x14ac:dyDescent="0.2">
      <c r="B73" s="26"/>
      <c r="C73" s="19"/>
      <c r="D73" s="53"/>
      <c r="E73" s="53"/>
      <c r="F73" s="413"/>
      <c r="G73" s="53"/>
      <c r="H73" s="54"/>
      <c r="I73" s="19"/>
      <c r="J73" s="414"/>
      <c r="K73" s="26"/>
    </row>
    <row r="74" spans="2:11" x14ac:dyDescent="0.2">
      <c r="B74" s="26"/>
      <c r="C74" s="19"/>
      <c r="D74" s="53"/>
      <c r="E74" s="53"/>
      <c r="F74" s="413"/>
      <c r="G74" s="53"/>
      <c r="H74" s="54"/>
      <c r="I74" s="26"/>
      <c r="J74" s="414"/>
      <c r="K74" s="26"/>
    </row>
    <row r="75" spans="2:11" x14ac:dyDescent="0.2">
      <c r="B75" s="26"/>
      <c r="C75" s="19"/>
      <c r="D75" s="53"/>
      <c r="E75" s="53"/>
      <c r="F75" s="413"/>
      <c r="G75" s="53"/>
      <c r="H75" s="54"/>
      <c r="I75" s="19"/>
      <c r="J75" s="414"/>
      <c r="K75" s="26"/>
    </row>
    <row r="76" spans="2:11" x14ac:dyDescent="0.2">
      <c r="B76" s="26"/>
      <c r="C76" s="19"/>
      <c r="D76" s="53"/>
      <c r="E76" s="53"/>
      <c r="F76" s="413"/>
      <c r="G76" s="53"/>
      <c r="H76" s="54"/>
      <c r="I76" s="19"/>
      <c r="J76" s="414"/>
      <c r="K76" s="26"/>
    </row>
    <row r="77" spans="2:11" x14ac:dyDescent="0.2">
      <c r="B77" s="31"/>
      <c r="C77" s="31"/>
      <c r="D77" s="30"/>
      <c r="E77" s="30"/>
      <c r="F77" s="55"/>
      <c r="G77" s="30"/>
      <c r="H77" s="30"/>
      <c r="I77" s="31"/>
      <c r="J77" s="3"/>
      <c r="K77" s="31"/>
    </row>
    <row r="78" spans="2:11" x14ac:dyDescent="0.2">
      <c r="B78" s="26"/>
      <c r="C78" s="19"/>
      <c r="D78" s="53"/>
      <c r="E78" s="53"/>
      <c r="F78" s="413"/>
      <c r="G78" s="54"/>
      <c r="H78" s="54"/>
      <c r="I78" s="19"/>
      <c r="J78" s="414"/>
      <c r="K78" s="26"/>
    </row>
    <row r="79" spans="2:11" x14ac:dyDescent="0.2">
      <c r="B79" s="31"/>
      <c r="C79" s="19"/>
      <c r="D79" s="32"/>
      <c r="E79" s="53"/>
      <c r="F79" s="413"/>
      <c r="G79" s="30"/>
      <c r="H79" s="30"/>
      <c r="I79" s="31"/>
      <c r="J79" s="414"/>
      <c r="K79" s="31"/>
    </row>
    <row r="80" spans="2:11" x14ac:dyDescent="0.2">
      <c r="C80" s="24"/>
      <c r="D80" s="3"/>
      <c r="E80" s="3"/>
      <c r="F80" s="4"/>
      <c r="G80" s="3"/>
      <c r="H80" s="3"/>
      <c r="I80" s="7"/>
      <c r="J80" s="3"/>
    </row>
    <row r="81" spans="3:10" x14ac:dyDescent="0.2">
      <c r="C81" s="7"/>
      <c r="D81" s="3"/>
      <c r="E81" s="3"/>
      <c r="F81" s="4"/>
      <c r="G81" s="3"/>
      <c r="H81" s="3"/>
      <c r="I81" s="7"/>
      <c r="J81" s="3"/>
    </row>
    <row r="82" spans="3:10" x14ac:dyDescent="0.2">
      <c r="C82" s="7"/>
      <c r="D82" s="3"/>
      <c r="E82" s="3"/>
      <c r="F82" s="4"/>
      <c r="G82" s="3"/>
      <c r="H82" s="3"/>
      <c r="I82" s="7"/>
      <c r="J82" s="3"/>
    </row>
    <row r="83" spans="3:10" x14ac:dyDescent="0.2">
      <c r="C83" s="7"/>
      <c r="D83" s="3"/>
      <c r="E83" s="3"/>
      <c r="F83" s="4"/>
      <c r="G83" s="3"/>
      <c r="H83" s="3"/>
      <c r="I83" s="7"/>
      <c r="J83" s="3"/>
    </row>
    <row r="84" spans="3:10" x14ac:dyDescent="0.2">
      <c r="C84" s="7"/>
      <c r="D84" s="3"/>
      <c r="E84" s="3"/>
      <c r="F84" s="4"/>
      <c r="G84" s="3"/>
      <c r="H84" s="3"/>
      <c r="I84" s="7"/>
      <c r="J84" s="3"/>
    </row>
    <row r="85" spans="3:10" x14ac:dyDescent="0.2">
      <c r="C85" s="7"/>
      <c r="D85" s="3"/>
      <c r="E85" s="3"/>
      <c r="F85" s="4"/>
      <c r="G85" s="3"/>
      <c r="H85" s="3"/>
      <c r="I85" s="7"/>
      <c r="J85" s="3"/>
    </row>
    <row r="86" spans="3:10" x14ac:dyDescent="0.2">
      <c r="C86" s="7"/>
      <c r="D86" s="3"/>
      <c r="E86" s="3"/>
      <c r="F86" s="4"/>
      <c r="G86" s="3"/>
      <c r="H86" s="3"/>
      <c r="I86" s="7"/>
      <c r="J86" s="3"/>
    </row>
    <row r="87" spans="3:10" x14ac:dyDescent="0.2">
      <c r="C87" s="7"/>
      <c r="D87" s="3"/>
      <c r="E87" s="3"/>
      <c r="F87" s="4"/>
      <c r="G87" s="3"/>
      <c r="H87" s="3"/>
      <c r="I87" s="7"/>
      <c r="J87" s="3"/>
    </row>
    <row r="88" spans="3:10" x14ac:dyDescent="0.2">
      <c r="C88" s="7"/>
      <c r="D88" s="3"/>
      <c r="E88" s="3"/>
      <c r="F88" s="4"/>
      <c r="G88" s="3"/>
      <c r="H88" s="3"/>
      <c r="I88" s="7"/>
      <c r="J88" s="3"/>
    </row>
    <row r="89" spans="3:10" x14ac:dyDescent="0.2">
      <c r="C89" s="7"/>
      <c r="D89" s="3"/>
      <c r="E89" s="3"/>
      <c r="F89" s="4"/>
      <c r="G89" s="3"/>
      <c r="H89" s="3"/>
      <c r="I89" s="7"/>
      <c r="J89" s="3"/>
    </row>
  </sheetData>
  <sheetProtection algorithmName="SHA-512" hashValue="0JpjN3o/9tA51dJCJxVkUNktm1Y3jLC8qYq/SP+FJZzZao36BPCk4GCet9ofAgJlAkxr5NKFcfjiLcfsGIlKVQ==" saltValue="LLKiRFWhQ/NbzenUfFu/EQ==" spinCount="100000" sheet="1" insertRows="0" deleteRows="0" sort="0" autoFilter="0"/>
  <mergeCells count="1">
    <mergeCell ref="A1:K1"/>
  </mergeCells>
  <conditionalFormatting sqref="F9:F100">
    <cfRule type="cellIs" dxfId="55" priority="12" stopIfTrue="1" operator="lessThan">
      <formula>-1000</formula>
    </cfRule>
  </conditionalFormatting>
  <conditionalFormatting sqref="J9:J100">
    <cfRule type="containsText" dxfId="54" priority="4" operator="containsText" text="DELIVERABLE STILL IN PROGRESS">
      <formula>NOT(ISERROR(SEARCH("DELIVERABLE STILL IN PROGRESS",J9)))</formula>
    </cfRule>
    <cfRule type="containsText" dxfId="53" priority="5" operator="containsText" text="DELIVERABLE COMPLETED">
      <formula>NOT(ISERROR(SEARCH("DELIVERABLE COMPLETED",J9)))</formula>
    </cfRule>
    <cfRule type="cellIs" dxfId="52" priority="6" stopIfTrue="1" operator="equal">
      <formula>"OVERDUE"</formula>
    </cfRule>
    <cfRule type="cellIs" dxfId="51" priority="7" stopIfTrue="1" operator="equal">
      <formula>"COMPLETED"</formula>
    </cfRule>
    <cfRule type="cellIs" dxfId="50" priority="8" stopIfTrue="1" operator="equal">
      <formula>"ISSUE IDENTIFIED"</formula>
    </cfRule>
  </conditionalFormatting>
  <conditionalFormatting sqref="D9:E40">
    <cfRule type="cellIs" dxfId="49" priority="1" operator="equal">
      <formula>0</formula>
    </cfRule>
  </conditionalFormatting>
  <printOptions horizontalCentered="1"/>
  <pageMargins left="0.25" right="0.25" top="0.5" bottom="0.75" header="0.25" footer="0.5"/>
  <pageSetup scale="40" fitToHeight="2" orientation="landscape" r:id="rId1"/>
  <headerFooter alignWithMargins="0">
    <oddFooter>&amp;L&amp;K0C3964&amp;F, &amp;A, &amp;D&amp;C&amp;"-,Bold Italic"&amp;14&amp;KC85532Confidential&amp;R&amp;G</oddFooter>
  </headerFooter>
  <legacy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>
    <tabColor rgb="FF0C3964"/>
    <pageSetUpPr fitToPage="1"/>
  </sheetPr>
  <dimension ref="A1:BM78"/>
  <sheetViews>
    <sheetView showGridLines="0" zoomScaleNormal="100" workbookViewId="0">
      <pane xSplit="3" ySplit="8" topLeftCell="D21" activePane="bottomRight" state="frozen"/>
      <selection pane="topRight" activeCell="D1" sqref="D1"/>
      <selection pane="bottomLeft" activeCell="A9" sqref="A9"/>
      <selection pane="bottomRight" activeCell="B4" sqref="B4"/>
    </sheetView>
  </sheetViews>
  <sheetFormatPr defaultRowHeight="12.75" x14ac:dyDescent="0.2"/>
  <cols>
    <col min="1" max="1" width="18.28515625" style="34" bestFit="1" customWidth="1"/>
    <col min="2" max="2" width="87.7109375" style="41" bestFit="1" customWidth="1"/>
    <col min="3" max="3" width="33.5703125" style="41" bestFit="1" customWidth="1"/>
    <col min="4" max="5" width="13.7109375" style="34" customWidth="1"/>
    <col min="6" max="6" width="12.28515625" style="45" customWidth="1"/>
    <col min="7" max="7" width="13.7109375" style="34" customWidth="1"/>
    <col min="8" max="8" width="13.7109375" style="34" bestFit="1" customWidth="1"/>
    <col min="9" max="9" width="16.28515625" style="41" bestFit="1" customWidth="1"/>
    <col min="10" max="10" width="33" style="34" bestFit="1" customWidth="1"/>
    <col min="11" max="11" width="56.140625" style="41" customWidth="1"/>
    <col min="12" max="12" width="15.5703125" style="119" customWidth="1"/>
    <col min="13" max="65" width="9.140625" style="119"/>
    <col min="66" max="256" width="9.140625" style="34"/>
    <col min="257" max="257" width="10.7109375" style="34" customWidth="1"/>
    <col min="258" max="258" width="50.7109375" style="34" customWidth="1"/>
    <col min="259" max="259" width="15.5703125" style="34" customWidth="1"/>
    <col min="260" max="263" width="10.7109375" style="34" customWidth="1"/>
    <col min="264" max="265" width="12.7109375" style="34" customWidth="1"/>
    <col min="266" max="266" width="18.28515625" style="34" customWidth="1"/>
    <col min="267" max="267" width="56.140625" style="34" customWidth="1"/>
    <col min="268" max="268" width="15.5703125" style="34" customWidth="1"/>
    <col min="269" max="512" width="9.140625" style="34"/>
    <col min="513" max="513" width="10.7109375" style="34" customWidth="1"/>
    <col min="514" max="514" width="50.7109375" style="34" customWidth="1"/>
    <col min="515" max="515" width="15.5703125" style="34" customWidth="1"/>
    <col min="516" max="519" width="10.7109375" style="34" customWidth="1"/>
    <col min="520" max="521" width="12.7109375" style="34" customWidth="1"/>
    <col min="522" max="522" width="18.28515625" style="34" customWidth="1"/>
    <col min="523" max="523" width="56.140625" style="34" customWidth="1"/>
    <col min="524" max="524" width="15.5703125" style="34" customWidth="1"/>
    <col min="525" max="768" width="9.140625" style="34"/>
    <col min="769" max="769" width="10.7109375" style="34" customWidth="1"/>
    <col min="770" max="770" width="50.7109375" style="34" customWidth="1"/>
    <col min="771" max="771" width="15.5703125" style="34" customWidth="1"/>
    <col min="772" max="775" width="10.7109375" style="34" customWidth="1"/>
    <col min="776" max="777" width="12.7109375" style="34" customWidth="1"/>
    <col min="778" max="778" width="18.28515625" style="34" customWidth="1"/>
    <col min="779" max="779" width="56.140625" style="34" customWidth="1"/>
    <col min="780" max="780" width="15.5703125" style="34" customWidth="1"/>
    <col min="781" max="1024" width="9.140625" style="34"/>
    <col min="1025" max="1025" width="10.7109375" style="34" customWidth="1"/>
    <col min="1026" max="1026" width="50.7109375" style="34" customWidth="1"/>
    <col min="1027" max="1027" width="15.5703125" style="34" customWidth="1"/>
    <col min="1028" max="1031" width="10.7109375" style="34" customWidth="1"/>
    <col min="1032" max="1033" width="12.7109375" style="34" customWidth="1"/>
    <col min="1034" max="1034" width="18.28515625" style="34" customWidth="1"/>
    <col min="1035" max="1035" width="56.140625" style="34" customWidth="1"/>
    <col min="1036" max="1036" width="15.5703125" style="34" customWidth="1"/>
    <col min="1037" max="1280" width="9.140625" style="34"/>
    <col min="1281" max="1281" width="10.7109375" style="34" customWidth="1"/>
    <col min="1282" max="1282" width="50.7109375" style="34" customWidth="1"/>
    <col min="1283" max="1283" width="15.5703125" style="34" customWidth="1"/>
    <col min="1284" max="1287" width="10.7109375" style="34" customWidth="1"/>
    <col min="1288" max="1289" width="12.7109375" style="34" customWidth="1"/>
    <col min="1290" max="1290" width="18.28515625" style="34" customWidth="1"/>
    <col min="1291" max="1291" width="56.140625" style="34" customWidth="1"/>
    <col min="1292" max="1292" width="15.5703125" style="34" customWidth="1"/>
    <col min="1293" max="1536" width="9.140625" style="34"/>
    <col min="1537" max="1537" width="10.7109375" style="34" customWidth="1"/>
    <col min="1538" max="1538" width="50.7109375" style="34" customWidth="1"/>
    <col min="1539" max="1539" width="15.5703125" style="34" customWidth="1"/>
    <col min="1540" max="1543" width="10.7109375" style="34" customWidth="1"/>
    <col min="1544" max="1545" width="12.7109375" style="34" customWidth="1"/>
    <col min="1546" max="1546" width="18.28515625" style="34" customWidth="1"/>
    <col min="1547" max="1547" width="56.140625" style="34" customWidth="1"/>
    <col min="1548" max="1548" width="15.5703125" style="34" customWidth="1"/>
    <col min="1549" max="1792" width="9.140625" style="34"/>
    <col min="1793" max="1793" width="10.7109375" style="34" customWidth="1"/>
    <col min="1794" max="1794" width="50.7109375" style="34" customWidth="1"/>
    <col min="1795" max="1795" width="15.5703125" style="34" customWidth="1"/>
    <col min="1796" max="1799" width="10.7109375" style="34" customWidth="1"/>
    <col min="1800" max="1801" width="12.7109375" style="34" customWidth="1"/>
    <col min="1802" max="1802" width="18.28515625" style="34" customWidth="1"/>
    <col min="1803" max="1803" width="56.140625" style="34" customWidth="1"/>
    <col min="1804" max="1804" width="15.5703125" style="34" customWidth="1"/>
    <col min="1805" max="2048" width="9.140625" style="34"/>
    <col min="2049" max="2049" width="10.7109375" style="34" customWidth="1"/>
    <col min="2050" max="2050" width="50.7109375" style="34" customWidth="1"/>
    <col min="2051" max="2051" width="15.5703125" style="34" customWidth="1"/>
    <col min="2052" max="2055" width="10.7109375" style="34" customWidth="1"/>
    <col min="2056" max="2057" width="12.7109375" style="34" customWidth="1"/>
    <col min="2058" max="2058" width="18.28515625" style="34" customWidth="1"/>
    <col min="2059" max="2059" width="56.140625" style="34" customWidth="1"/>
    <col min="2060" max="2060" width="15.5703125" style="34" customWidth="1"/>
    <col min="2061" max="2304" width="9.140625" style="34"/>
    <col min="2305" max="2305" width="10.7109375" style="34" customWidth="1"/>
    <col min="2306" max="2306" width="50.7109375" style="34" customWidth="1"/>
    <col min="2307" max="2307" width="15.5703125" style="34" customWidth="1"/>
    <col min="2308" max="2311" width="10.7109375" style="34" customWidth="1"/>
    <col min="2312" max="2313" width="12.7109375" style="34" customWidth="1"/>
    <col min="2314" max="2314" width="18.28515625" style="34" customWidth="1"/>
    <col min="2315" max="2315" width="56.140625" style="34" customWidth="1"/>
    <col min="2316" max="2316" width="15.5703125" style="34" customWidth="1"/>
    <col min="2317" max="2560" width="9.140625" style="34"/>
    <col min="2561" max="2561" width="10.7109375" style="34" customWidth="1"/>
    <col min="2562" max="2562" width="50.7109375" style="34" customWidth="1"/>
    <col min="2563" max="2563" width="15.5703125" style="34" customWidth="1"/>
    <col min="2564" max="2567" width="10.7109375" style="34" customWidth="1"/>
    <col min="2568" max="2569" width="12.7109375" style="34" customWidth="1"/>
    <col min="2570" max="2570" width="18.28515625" style="34" customWidth="1"/>
    <col min="2571" max="2571" width="56.140625" style="34" customWidth="1"/>
    <col min="2572" max="2572" width="15.5703125" style="34" customWidth="1"/>
    <col min="2573" max="2816" width="9.140625" style="34"/>
    <col min="2817" max="2817" width="10.7109375" style="34" customWidth="1"/>
    <col min="2818" max="2818" width="50.7109375" style="34" customWidth="1"/>
    <col min="2819" max="2819" width="15.5703125" style="34" customWidth="1"/>
    <col min="2820" max="2823" width="10.7109375" style="34" customWidth="1"/>
    <col min="2824" max="2825" width="12.7109375" style="34" customWidth="1"/>
    <col min="2826" max="2826" width="18.28515625" style="34" customWidth="1"/>
    <col min="2827" max="2827" width="56.140625" style="34" customWidth="1"/>
    <col min="2828" max="2828" width="15.5703125" style="34" customWidth="1"/>
    <col min="2829" max="3072" width="9.140625" style="34"/>
    <col min="3073" max="3073" width="10.7109375" style="34" customWidth="1"/>
    <col min="3074" max="3074" width="50.7109375" style="34" customWidth="1"/>
    <col min="3075" max="3075" width="15.5703125" style="34" customWidth="1"/>
    <col min="3076" max="3079" width="10.7109375" style="34" customWidth="1"/>
    <col min="3080" max="3081" width="12.7109375" style="34" customWidth="1"/>
    <col min="3082" max="3082" width="18.28515625" style="34" customWidth="1"/>
    <col min="3083" max="3083" width="56.140625" style="34" customWidth="1"/>
    <col min="3084" max="3084" width="15.5703125" style="34" customWidth="1"/>
    <col min="3085" max="3328" width="9.140625" style="34"/>
    <col min="3329" max="3329" width="10.7109375" style="34" customWidth="1"/>
    <col min="3330" max="3330" width="50.7109375" style="34" customWidth="1"/>
    <col min="3331" max="3331" width="15.5703125" style="34" customWidth="1"/>
    <col min="3332" max="3335" width="10.7109375" style="34" customWidth="1"/>
    <col min="3336" max="3337" width="12.7109375" style="34" customWidth="1"/>
    <col min="3338" max="3338" width="18.28515625" style="34" customWidth="1"/>
    <col min="3339" max="3339" width="56.140625" style="34" customWidth="1"/>
    <col min="3340" max="3340" width="15.5703125" style="34" customWidth="1"/>
    <col min="3341" max="3584" width="9.140625" style="34"/>
    <col min="3585" max="3585" width="10.7109375" style="34" customWidth="1"/>
    <col min="3586" max="3586" width="50.7109375" style="34" customWidth="1"/>
    <col min="3587" max="3587" width="15.5703125" style="34" customWidth="1"/>
    <col min="3588" max="3591" width="10.7109375" style="34" customWidth="1"/>
    <col min="3592" max="3593" width="12.7109375" style="34" customWidth="1"/>
    <col min="3594" max="3594" width="18.28515625" style="34" customWidth="1"/>
    <col min="3595" max="3595" width="56.140625" style="34" customWidth="1"/>
    <col min="3596" max="3596" width="15.5703125" style="34" customWidth="1"/>
    <col min="3597" max="3840" width="9.140625" style="34"/>
    <col min="3841" max="3841" width="10.7109375" style="34" customWidth="1"/>
    <col min="3842" max="3842" width="50.7109375" style="34" customWidth="1"/>
    <col min="3843" max="3843" width="15.5703125" style="34" customWidth="1"/>
    <col min="3844" max="3847" width="10.7109375" style="34" customWidth="1"/>
    <col min="3848" max="3849" width="12.7109375" style="34" customWidth="1"/>
    <col min="3850" max="3850" width="18.28515625" style="34" customWidth="1"/>
    <col min="3851" max="3851" width="56.140625" style="34" customWidth="1"/>
    <col min="3852" max="3852" width="15.5703125" style="34" customWidth="1"/>
    <col min="3853" max="4096" width="9.140625" style="34"/>
    <col min="4097" max="4097" width="10.7109375" style="34" customWidth="1"/>
    <col min="4098" max="4098" width="50.7109375" style="34" customWidth="1"/>
    <col min="4099" max="4099" width="15.5703125" style="34" customWidth="1"/>
    <col min="4100" max="4103" width="10.7109375" style="34" customWidth="1"/>
    <col min="4104" max="4105" width="12.7109375" style="34" customWidth="1"/>
    <col min="4106" max="4106" width="18.28515625" style="34" customWidth="1"/>
    <col min="4107" max="4107" width="56.140625" style="34" customWidth="1"/>
    <col min="4108" max="4108" width="15.5703125" style="34" customWidth="1"/>
    <col min="4109" max="4352" width="9.140625" style="34"/>
    <col min="4353" max="4353" width="10.7109375" style="34" customWidth="1"/>
    <col min="4354" max="4354" width="50.7109375" style="34" customWidth="1"/>
    <col min="4355" max="4355" width="15.5703125" style="34" customWidth="1"/>
    <col min="4356" max="4359" width="10.7109375" style="34" customWidth="1"/>
    <col min="4360" max="4361" width="12.7109375" style="34" customWidth="1"/>
    <col min="4362" max="4362" width="18.28515625" style="34" customWidth="1"/>
    <col min="4363" max="4363" width="56.140625" style="34" customWidth="1"/>
    <col min="4364" max="4364" width="15.5703125" style="34" customWidth="1"/>
    <col min="4365" max="4608" width="9.140625" style="34"/>
    <col min="4609" max="4609" width="10.7109375" style="34" customWidth="1"/>
    <col min="4610" max="4610" width="50.7109375" style="34" customWidth="1"/>
    <col min="4611" max="4611" width="15.5703125" style="34" customWidth="1"/>
    <col min="4612" max="4615" width="10.7109375" style="34" customWidth="1"/>
    <col min="4616" max="4617" width="12.7109375" style="34" customWidth="1"/>
    <col min="4618" max="4618" width="18.28515625" style="34" customWidth="1"/>
    <col min="4619" max="4619" width="56.140625" style="34" customWidth="1"/>
    <col min="4620" max="4620" width="15.5703125" style="34" customWidth="1"/>
    <col min="4621" max="4864" width="9.140625" style="34"/>
    <col min="4865" max="4865" width="10.7109375" style="34" customWidth="1"/>
    <col min="4866" max="4866" width="50.7109375" style="34" customWidth="1"/>
    <col min="4867" max="4867" width="15.5703125" style="34" customWidth="1"/>
    <col min="4868" max="4871" width="10.7109375" style="34" customWidth="1"/>
    <col min="4872" max="4873" width="12.7109375" style="34" customWidth="1"/>
    <col min="4874" max="4874" width="18.28515625" style="34" customWidth="1"/>
    <col min="4875" max="4875" width="56.140625" style="34" customWidth="1"/>
    <col min="4876" max="4876" width="15.5703125" style="34" customWidth="1"/>
    <col min="4877" max="5120" width="9.140625" style="34"/>
    <col min="5121" max="5121" width="10.7109375" style="34" customWidth="1"/>
    <col min="5122" max="5122" width="50.7109375" style="34" customWidth="1"/>
    <col min="5123" max="5123" width="15.5703125" style="34" customWidth="1"/>
    <col min="5124" max="5127" width="10.7109375" style="34" customWidth="1"/>
    <col min="5128" max="5129" width="12.7109375" style="34" customWidth="1"/>
    <col min="5130" max="5130" width="18.28515625" style="34" customWidth="1"/>
    <col min="5131" max="5131" width="56.140625" style="34" customWidth="1"/>
    <col min="5132" max="5132" width="15.5703125" style="34" customWidth="1"/>
    <col min="5133" max="5376" width="9.140625" style="34"/>
    <col min="5377" max="5377" width="10.7109375" style="34" customWidth="1"/>
    <col min="5378" max="5378" width="50.7109375" style="34" customWidth="1"/>
    <col min="5379" max="5379" width="15.5703125" style="34" customWidth="1"/>
    <col min="5380" max="5383" width="10.7109375" style="34" customWidth="1"/>
    <col min="5384" max="5385" width="12.7109375" style="34" customWidth="1"/>
    <col min="5386" max="5386" width="18.28515625" style="34" customWidth="1"/>
    <col min="5387" max="5387" width="56.140625" style="34" customWidth="1"/>
    <col min="5388" max="5388" width="15.5703125" style="34" customWidth="1"/>
    <col min="5389" max="5632" width="9.140625" style="34"/>
    <col min="5633" max="5633" width="10.7109375" style="34" customWidth="1"/>
    <col min="5634" max="5634" width="50.7109375" style="34" customWidth="1"/>
    <col min="5635" max="5635" width="15.5703125" style="34" customWidth="1"/>
    <col min="5636" max="5639" width="10.7109375" style="34" customWidth="1"/>
    <col min="5640" max="5641" width="12.7109375" style="34" customWidth="1"/>
    <col min="5642" max="5642" width="18.28515625" style="34" customWidth="1"/>
    <col min="5643" max="5643" width="56.140625" style="34" customWidth="1"/>
    <col min="5644" max="5644" width="15.5703125" style="34" customWidth="1"/>
    <col min="5645" max="5888" width="9.140625" style="34"/>
    <col min="5889" max="5889" width="10.7109375" style="34" customWidth="1"/>
    <col min="5890" max="5890" width="50.7109375" style="34" customWidth="1"/>
    <col min="5891" max="5891" width="15.5703125" style="34" customWidth="1"/>
    <col min="5892" max="5895" width="10.7109375" style="34" customWidth="1"/>
    <col min="5896" max="5897" width="12.7109375" style="34" customWidth="1"/>
    <col min="5898" max="5898" width="18.28515625" style="34" customWidth="1"/>
    <col min="5899" max="5899" width="56.140625" style="34" customWidth="1"/>
    <col min="5900" max="5900" width="15.5703125" style="34" customWidth="1"/>
    <col min="5901" max="6144" width="9.140625" style="34"/>
    <col min="6145" max="6145" width="10.7109375" style="34" customWidth="1"/>
    <col min="6146" max="6146" width="50.7109375" style="34" customWidth="1"/>
    <col min="6147" max="6147" width="15.5703125" style="34" customWidth="1"/>
    <col min="6148" max="6151" width="10.7109375" style="34" customWidth="1"/>
    <col min="6152" max="6153" width="12.7109375" style="34" customWidth="1"/>
    <col min="6154" max="6154" width="18.28515625" style="34" customWidth="1"/>
    <col min="6155" max="6155" width="56.140625" style="34" customWidth="1"/>
    <col min="6156" max="6156" width="15.5703125" style="34" customWidth="1"/>
    <col min="6157" max="6400" width="9.140625" style="34"/>
    <col min="6401" max="6401" width="10.7109375" style="34" customWidth="1"/>
    <col min="6402" max="6402" width="50.7109375" style="34" customWidth="1"/>
    <col min="6403" max="6403" width="15.5703125" style="34" customWidth="1"/>
    <col min="6404" max="6407" width="10.7109375" style="34" customWidth="1"/>
    <col min="6408" max="6409" width="12.7109375" style="34" customWidth="1"/>
    <col min="6410" max="6410" width="18.28515625" style="34" customWidth="1"/>
    <col min="6411" max="6411" width="56.140625" style="34" customWidth="1"/>
    <col min="6412" max="6412" width="15.5703125" style="34" customWidth="1"/>
    <col min="6413" max="6656" width="9.140625" style="34"/>
    <col min="6657" max="6657" width="10.7109375" style="34" customWidth="1"/>
    <col min="6658" max="6658" width="50.7109375" style="34" customWidth="1"/>
    <col min="6659" max="6659" width="15.5703125" style="34" customWidth="1"/>
    <col min="6660" max="6663" width="10.7109375" style="34" customWidth="1"/>
    <col min="6664" max="6665" width="12.7109375" style="34" customWidth="1"/>
    <col min="6666" max="6666" width="18.28515625" style="34" customWidth="1"/>
    <col min="6667" max="6667" width="56.140625" style="34" customWidth="1"/>
    <col min="6668" max="6668" width="15.5703125" style="34" customWidth="1"/>
    <col min="6669" max="6912" width="9.140625" style="34"/>
    <col min="6913" max="6913" width="10.7109375" style="34" customWidth="1"/>
    <col min="6914" max="6914" width="50.7109375" style="34" customWidth="1"/>
    <col min="6915" max="6915" width="15.5703125" style="34" customWidth="1"/>
    <col min="6916" max="6919" width="10.7109375" style="34" customWidth="1"/>
    <col min="6920" max="6921" width="12.7109375" style="34" customWidth="1"/>
    <col min="6922" max="6922" width="18.28515625" style="34" customWidth="1"/>
    <col min="6923" max="6923" width="56.140625" style="34" customWidth="1"/>
    <col min="6924" max="6924" width="15.5703125" style="34" customWidth="1"/>
    <col min="6925" max="7168" width="9.140625" style="34"/>
    <col min="7169" max="7169" width="10.7109375" style="34" customWidth="1"/>
    <col min="7170" max="7170" width="50.7109375" style="34" customWidth="1"/>
    <col min="7171" max="7171" width="15.5703125" style="34" customWidth="1"/>
    <col min="7172" max="7175" width="10.7109375" style="34" customWidth="1"/>
    <col min="7176" max="7177" width="12.7109375" style="34" customWidth="1"/>
    <col min="7178" max="7178" width="18.28515625" style="34" customWidth="1"/>
    <col min="7179" max="7179" width="56.140625" style="34" customWidth="1"/>
    <col min="7180" max="7180" width="15.5703125" style="34" customWidth="1"/>
    <col min="7181" max="7424" width="9.140625" style="34"/>
    <col min="7425" max="7425" width="10.7109375" style="34" customWidth="1"/>
    <col min="7426" max="7426" width="50.7109375" style="34" customWidth="1"/>
    <col min="7427" max="7427" width="15.5703125" style="34" customWidth="1"/>
    <col min="7428" max="7431" width="10.7109375" style="34" customWidth="1"/>
    <col min="7432" max="7433" width="12.7109375" style="34" customWidth="1"/>
    <col min="7434" max="7434" width="18.28515625" style="34" customWidth="1"/>
    <col min="7435" max="7435" width="56.140625" style="34" customWidth="1"/>
    <col min="7436" max="7436" width="15.5703125" style="34" customWidth="1"/>
    <col min="7437" max="7680" width="9.140625" style="34"/>
    <col min="7681" max="7681" width="10.7109375" style="34" customWidth="1"/>
    <col min="7682" max="7682" width="50.7109375" style="34" customWidth="1"/>
    <col min="7683" max="7683" width="15.5703125" style="34" customWidth="1"/>
    <col min="7684" max="7687" width="10.7109375" style="34" customWidth="1"/>
    <col min="7688" max="7689" width="12.7109375" style="34" customWidth="1"/>
    <col min="7690" max="7690" width="18.28515625" style="34" customWidth="1"/>
    <col min="7691" max="7691" width="56.140625" style="34" customWidth="1"/>
    <col min="7692" max="7692" width="15.5703125" style="34" customWidth="1"/>
    <col min="7693" max="7936" width="9.140625" style="34"/>
    <col min="7937" max="7937" width="10.7109375" style="34" customWidth="1"/>
    <col min="7938" max="7938" width="50.7109375" style="34" customWidth="1"/>
    <col min="7939" max="7939" width="15.5703125" style="34" customWidth="1"/>
    <col min="7940" max="7943" width="10.7109375" style="34" customWidth="1"/>
    <col min="7944" max="7945" width="12.7109375" style="34" customWidth="1"/>
    <col min="7946" max="7946" width="18.28515625" style="34" customWidth="1"/>
    <col min="7947" max="7947" width="56.140625" style="34" customWidth="1"/>
    <col min="7948" max="7948" width="15.5703125" style="34" customWidth="1"/>
    <col min="7949" max="8192" width="9.140625" style="34"/>
    <col min="8193" max="8193" width="10.7109375" style="34" customWidth="1"/>
    <col min="8194" max="8194" width="50.7109375" style="34" customWidth="1"/>
    <col min="8195" max="8195" width="15.5703125" style="34" customWidth="1"/>
    <col min="8196" max="8199" width="10.7109375" style="34" customWidth="1"/>
    <col min="8200" max="8201" width="12.7109375" style="34" customWidth="1"/>
    <col min="8202" max="8202" width="18.28515625" style="34" customWidth="1"/>
    <col min="8203" max="8203" width="56.140625" style="34" customWidth="1"/>
    <col min="8204" max="8204" width="15.5703125" style="34" customWidth="1"/>
    <col min="8205" max="8448" width="9.140625" style="34"/>
    <col min="8449" max="8449" width="10.7109375" style="34" customWidth="1"/>
    <col min="8450" max="8450" width="50.7109375" style="34" customWidth="1"/>
    <col min="8451" max="8451" width="15.5703125" style="34" customWidth="1"/>
    <col min="8452" max="8455" width="10.7109375" style="34" customWidth="1"/>
    <col min="8456" max="8457" width="12.7109375" style="34" customWidth="1"/>
    <col min="8458" max="8458" width="18.28515625" style="34" customWidth="1"/>
    <col min="8459" max="8459" width="56.140625" style="34" customWidth="1"/>
    <col min="8460" max="8460" width="15.5703125" style="34" customWidth="1"/>
    <col min="8461" max="8704" width="9.140625" style="34"/>
    <col min="8705" max="8705" width="10.7109375" style="34" customWidth="1"/>
    <col min="8706" max="8706" width="50.7109375" style="34" customWidth="1"/>
    <col min="8707" max="8707" width="15.5703125" style="34" customWidth="1"/>
    <col min="8708" max="8711" width="10.7109375" style="34" customWidth="1"/>
    <col min="8712" max="8713" width="12.7109375" style="34" customWidth="1"/>
    <col min="8714" max="8714" width="18.28515625" style="34" customWidth="1"/>
    <col min="8715" max="8715" width="56.140625" style="34" customWidth="1"/>
    <col min="8716" max="8716" width="15.5703125" style="34" customWidth="1"/>
    <col min="8717" max="8960" width="9.140625" style="34"/>
    <col min="8961" max="8961" width="10.7109375" style="34" customWidth="1"/>
    <col min="8962" max="8962" width="50.7109375" style="34" customWidth="1"/>
    <col min="8963" max="8963" width="15.5703125" style="34" customWidth="1"/>
    <col min="8964" max="8967" width="10.7109375" style="34" customWidth="1"/>
    <col min="8968" max="8969" width="12.7109375" style="34" customWidth="1"/>
    <col min="8970" max="8970" width="18.28515625" style="34" customWidth="1"/>
    <col min="8971" max="8971" width="56.140625" style="34" customWidth="1"/>
    <col min="8972" max="8972" width="15.5703125" style="34" customWidth="1"/>
    <col min="8973" max="9216" width="9.140625" style="34"/>
    <col min="9217" max="9217" width="10.7109375" style="34" customWidth="1"/>
    <col min="9218" max="9218" width="50.7109375" style="34" customWidth="1"/>
    <col min="9219" max="9219" width="15.5703125" style="34" customWidth="1"/>
    <col min="9220" max="9223" width="10.7109375" style="34" customWidth="1"/>
    <col min="9224" max="9225" width="12.7109375" style="34" customWidth="1"/>
    <col min="9226" max="9226" width="18.28515625" style="34" customWidth="1"/>
    <col min="9227" max="9227" width="56.140625" style="34" customWidth="1"/>
    <col min="9228" max="9228" width="15.5703125" style="34" customWidth="1"/>
    <col min="9229" max="9472" width="9.140625" style="34"/>
    <col min="9473" max="9473" width="10.7109375" style="34" customWidth="1"/>
    <col min="9474" max="9474" width="50.7109375" style="34" customWidth="1"/>
    <col min="9475" max="9475" width="15.5703125" style="34" customWidth="1"/>
    <col min="9476" max="9479" width="10.7109375" style="34" customWidth="1"/>
    <col min="9480" max="9481" width="12.7109375" style="34" customWidth="1"/>
    <col min="9482" max="9482" width="18.28515625" style="34" customWidth="1"/>
    <col min="9483" max="9483" width="56.140625" style="34" customWidth="1"/>
    <col min="9484" max="9484" width="15.5703125" style="34" customWidth="1"/>
    <col min="9485" max="9728" width="9.140625" style="34"/>
    <col min="9729" max="9729" width="10.7109375" style="34" customWidth="1"/>
    <col min="9730" max="9730" width="50.7109375" style="34" customWidth="1"/>
    <col min="9731" max="9731" width="15.5703125" style="34" customWidth="1"/>
    <col min="9732" max="9735" width="10.7109375" style="34" customWidth="1"/>
    <col min="9736" max="9737" width="12.7109375" style="34" customWidth="1"/>
    <col min="9738" max="9738" width="18.28515625" style="34" customWidth="1"/>
    <col min="9739" max="9739" width="56.140625" style="34" customWidth="1"/>
    <col min="9740" max="9740" width="15.5703125" style="34" customWidth="1"/>
    <col min="9741" max="9984" width="9.140625" style="34"/>
    <col min="9985" max="9985" width="10.7109375" style="34" customWidth="1"/>
    <col min="9986" max="9986" width="50.7109375" style="34" customWidth="1"/>
    <col min="9987" max="9987" width="15.5703125" style="34" customWidth="1"/>
    <col min="9988" max="9991" width="10.7109375" style="34" customWidth="1"/>
    <col min="9992" max="9993" width="12.7109375" style="34" customWidth="1"/>
    <col min="9994" max="9994" width="18.28515625" style="34" customWidth="1"/>
    <col min="9995" max="9995" width="56.140625" style="34" customWidth="1"/>
    <col min="9996" max="9996" width="15.5703125" style="34" customWidth="1"/>
    <col min="9997" max="10240" width="9.140625" style="34"/>
    <col min="10241" max="10241" width="10.7109375" style="34" customWidth="1"/>
    <col min="10242" max="10242" width="50.7109375" style="34" customWidth="1"/>
    <col min="10243" max="10243" width="15.5703125" style="34" customWidth="1"/>
    <col min="10244" max="10247" width="10.7109375" style="34" customWidth="1"/>
    <col min="10248" max="10249" width="12.7109375" style="34" customWidth="1"/>
    <col min="10250" max="10250" width="18.28515625" style="34" customWidth="1"/>
    <col min="10251" max="10251" width="56.140625" style="34" customWidth="1"/>
    <col min="10252" max="10252" width="15.5703125" style="34" customWidth="1"/>
    <col min="10253" max="10496" width="9.140625" style="34"/>
    <col min="10497" max="10497" width="10.7109375" style="34" customWidth="1"/>
    <col min="10498" max="10498" width="50.7109375" style="34" customWidth="1"/>
    <col min="10499" max="10499" width="15.5703125" style="34" customWidth="1"/>
    <col min="10500" max="10503" width="10.7109375" style="34" customWidth="1"/>
    <col min="10504" max="10505" width="12.7109375" style="34" customWidth="1"/>
    <col min="10506" max="10506" width="18.28515625" style="34" customWidth="1"/>
    <col min="10507" max="10507" width="56.140625" style="34" customWidth="1"/>
    <col min="10508" max="10508" width="15.5703125" style="34" customWidth="1"/>
    <col min="10509" max="10752" width="9.140625" style="34"/>
    <col min="10753" max="10753" width="10.7109375" style="34" customWidth="1"/>
    <col min="10754" max="10754" width="50.7109375" style="34" customWidth="1"/>
    <col min="10755" max="10755" width="15.5703125" style="34" customWidth="1"/>
    <col min="10756" max="10759" width="10.7109375" style="34" customWidth="1"/>
    <col min="10760" max="10761" width="12.7109375" style="34" customWidth="1"/>
    <col min="10762" max="10762" width="18.28515625" style="34" customWidth="1"/>
    <col min="10763" max="10763" width="56.140625" style="34" customWidth="1"/>
    <col min="10764" max="10764" width="15.5703125" style="34" customWidth="1"/>
    <col min="10765" max="11008" width="9.140625" style="34"/>
    <col min="11009" max="11009" width="10.7109375" style="34" customWidth="1"/>
    <col min="11010" max="11010" width="50.7109375" style="34" customWidth="1"/>
    <col min="11011" max="11011" width="15.5703125" style="34" customWidth="1"/>
    <col min="11012" max="11015" width="10.7109375" style="34" customWidth="1"/>
    <col min="11016" max="11017" width="12.7109375" style="34" customWidth="1"/>
    <col min="11018" max="11018" width="18.28515625" style="34" customWidth="1"/>
    <col min="11019" max="11019" width="56.140625" style="34" customWidth="1"/>
    <col min="11020" max="11020" width="15.5703125" style="34" customWidth="1"/>
    <col min="11021" max="11264" width="9.140625" style="34"/>
    <col min="11265" max="11265" width="10.7109375" style="34" customWidth="1"/>
    <col min="11266" max="11266" width="50.7109375" style="34" customWidth="1"/>
    <col min="11267" max="11267" width="15.5703125" style="34" customWidth="1"/>
    <col min="11268" max="11271" width="10.7109375" style="34" customWidth="1"/>
    <col min="11272" max="11273" width="12.7109375" style="34" customWidth="1"/>
    <col min="11274" max="11274" width="18.28515625" style="34" customWidth="1"/>
    <col min="11275" max="11275" width="56.140625" style="34" customWidth="1"/>
    <col min="11276" max="11276" width="15.5703125" style="34" customWidth="1"/>
    <col min="11277" max="11520" width="9.140625" style="34"/>
    <col min="11521" max="11521" width="10.7109375" style="34" customWidth="1"/>
    <col min="11522" max="11522" width="50.7109375" style="34" customWidth="1"/>
    <col min="11523" max="11523" width="15.5703125" style="34" customWidth="1"/>
    <col min="11524" max="11527" width="10.7109375" style="34" customWidth="1"/>
    <col min="11528" max="11529" width="12.7109375" style="34" customWidth="1"/>
    <col min="11530" max="11530" width="18.28515625" style="34" customWidth="1"/>
    <col min="11531" max="11531" width="56.140625" style="34" customWidth="1"/>
    <col min="11532" max="11532" width="15.5703125" style="34" customWidth="1"/>
    <col min="11533" max="11776" width="9.140625" style="34"/>
    <col min="11777" max="11777" width="10.7109375" style="34" customWidth="1"/>
    <col min="11778" max="11778" width="50.7109375" style="34" customWidth="1"/>
    <col min="11779" max="11779" width="15.5703125" style="34" customWidth="1"/>
    <col min="11780" max="11783" width="10.7109375" style="34" customWidth="1"/>
    <col min="11784" max="11785" width="12.7109375" style="34" customWidth="1"/>
    <col min="11786" max="11786" width="18.28515625" style="34" customWidth="1"/>
    <col min="11787" max="11787" width="56.140625" style="34" customWidth="1"/>
    <col min="11788" max="11788" width="15.5703125" style="34" customWidth="1"/>
    <col min="11789" max="12032" width="9.140625" style="34"/>
    <col min="12033" max="12033" width="10.7109375" style="34" customWidth="1"/>
    <col min="12034" max="12034" width="50.7109375" style="34" customWidth="1"/>
    <col min="12035" max="12035" width="15.5703125" style="34" customWidth="1"/>
    <col min="12036" max="12039" width="10.7109375" style="34" customWidth="1"/>
    <col min="12040" max="12041" width="12.7109375" style="34" customWidth="1"/>
    <col min="12042" max="12042" width="18.28515625" style="34" customWidth="1"/>
    <col min="12043" max="12043" width="56.140625" style="34" customWidth="1"/>
    <col min="12044" max="12044" width="15.5703125" style="34" customWidth="1"/>
    <col min="12045" max="12288" width="9.140625" style="34"/>
    <col min="12289" max="12289" width="10.7109375" style="34" customWidth="1"/>
    <col min="12290" max="12290" width="50.7109375" style="34" customWidth="1"/>
    <col min="12291" max="12291" width="15.5703125" style="34" customWidth="1"/>
    <col min="12292" max="12295" width="10.7109375" style="34" customWidth="1"/>
    <col min="12296" max="12297" width="12.7109375" style="34" customWidth="1"/>
    <col min="12298" max="12298" width="18.28515625" style="34" customWidth="1"/>
    <col min="12299" max="12299" width="56.140625" style="34" customWidth="1"/>
    <col min="12300" max="12300" width="15.5703125" style="34" customWidth="1"/>
    <col min="12301" max="12544" width="9.140625" style="34"/>
    <col min="12545" max="12545" width="10.7109375" style="34" customWidth="1"/>
    <col min="12546" max="12546" width="50.7109375" style="34" customWidth="1"/>
    <col min="12547" max="12547" width="15.5703125" style="34" customWidth="1"/>
    <col min="12548" max="12551" width="10.7109375" style="34" customWidth="1"/>
    <col min="12552" max="12553" width="12.7109375" style="34" customWidth="1"/>
    <col min="12554" max="12554" width="18.28515625" style="34" customWidth="1"/>
    <col min="12555" max="12555" width="56.140625" style="34" customWidth="1"/>
    <col min="12556" max="12556" width="15.5703125" style="34" customWidth="1"/>
    <col min="12557" max="12800" width="9.140625" style="34"/>
    <col min="12801" max="12801" width="10.7109375" style="34" customWidth="1"/>
    <col min="12802" max="12802" width="50.7109375" style="34" customWidth="1"/>
    <col min="12803" max="12803" width="15.5703125" style="34" customWidth="1"/>
    <col min="12804" max="12807" width="10.7109375" style="34" customWidth="1"/>
    <col min="12808" max="12809" width="12.7109375" style="34" customWidth="1"/>
    <col min="12810" max="12810" width="18.28515625" style="34" customWidth="1"/>
    <col min="12811" max="12811" width="56.140625" style="34" customWidth="1"/>
    <col min="12812" max="12812" width="15.5703125" style="34" customWidth="1"/>
    <col min="12813" max="13056" width="9.140625" style="34"/>
    <col min="13057" max="13057" width="10.7109375" style="34" customWidth="1"/>
    <col min="13058" max="13058" width="50.7109375" style="34" customWidth="1"/>
    <col min="13059" max="13059" width="15.5703125" style="34" customWidth="1"/>
    <col min="13060" max="13063" width="10.7109375" style="34" customWidth="1"/>
    <col min="13064" max="13065" width="12.7109375" style="34" customWidth="1"/>
    <col min="13066" max="13066" width="18.28515625" style="34" customWidth="1"/>
    <col min="13067" max="13067" width="56.140625" style="34" customWidth="1"/>
    <col min="13068" max="13068" width="15.5703125" style="34" customWidth="1"/>
    <col min="13069" max="13312" width="9.140625" style="34"/>
    <col min="13313" max="13313" width="10.7109375" style="34" customWidth="1"/>
    <col min="13314" max="13314" width="50.7109375" style="34" customWidth="1"/>
    <col min="13315" max="13315" width="15.5703125" style="34" customWidth="1"/>
    <col min="13316" max="13319" width="10.7109375" style="34" customWidth="1"/>
    <col min="13320" max="13321" width="12.7109375" style="34" customWidth="1"/>
    <col min="13322" max="13322" width="18.28515625" style="34" customWidth="1"/>
    <col min="13323" max="13323" width="56.140625" style="34" customWidth="1"/>
    <col min="13324" max="13324" width="15.5703125" style="34" customWidth="1"/>
    <col min="13325" max="13568" width="9.140625" style="34"/>
    <col min="13569" max="13569" width="10.7109375" style="34" customWidth="1"/>
    <col min="13570" max="13570" width="50.7109375" style="34" customWidth="1"/>
    <col min="13571" max="13571" width="15.5703125" style="34" customWidth="1"/>
    <col min="13572" max="13575" width="10.7109375" style="34" customWidth="1"/>
    <col min="13576" max="13577" width="12.7109375" style="34" customWidth="1"/>
    <col min="13578" max="13578" width="18.28515625" style="34" customWidth="1"/>
    <col min="13579" max="13579" width="56.140625" style="34" customWidth="1"/>
    <col min="13580" max="13580" width="15.5703125" style="34" customWidth="1"/>
    <col min="13581" max="13824" width="9.140625" style="34"/>
    <col min="13825" max="13825" width="10.7109375" style="34" customWidth="1"/>
    <col min="13826" max="13826" width="50.7109375" style="34" customWidth="1"/>
    <col min="13827" max="13827" width="15.5703125" style="34" customWidth="1"/>
    <col min="13828" max="13831" width="10.7109375" style="34" customWidth="1"/>
    <col min="13832" max="13833" width="12.7109375" style="34" customWidth="1"/>
    <col min="13834" max="13834" width="18.28515625" style="34" customWidth="1"/>
    <col min="13835" max="13835" width="56.140625" style="34" customWidth="1"/>
    <col min="13836" max="13836" width="15.5703125" style="34" customWidth="1"/>
    <col min="13837" max="14080" width="9.140625" style="34"/>
    <col min="14081" max="14081" width="10.7109375" style="34" customWidth="1"/>
    <col min="14082" max="14082" width="50.7109375" style="34" customWidth="1"/>
    <col min="14083" max="14083" width="15.5703125" style="34" customWidth="1"/>
    <col min="14084" max="14087" width="10.7109375" style="34" customWidth="1"/>
    <col min="14088" max="14089" width="12.7109375" style="34" customWidth="1"/>
    <col min="14090" max="14090" width="18.28515625" style="34" customWidth="1"/>
    <col min="14091" max="14091" width="56.140625" style="34" customWidth="1"/>
    <col min="14092" max="14092" width="15.5703125" style="34" customWidth="1"/>
    <col min="14093" max="14336" width="9.140625" style="34"/>
    <col min="14337" max="14337" width="10.7109375" style="34" customWidth="1"/>
    <col min="14338" max="14338" width="50.7109375" style="34" customWidth="1"/>
    <col min="14339" max="14339" width="15.5703125" style="34" customWidth="1"/>
    <col min="14340" max="14343" width="10.7109375" style="34" customWidth="1"/>
    <col min="14344" max="14345" width="12.7109375" style="34" customWidth="1"/>
    <col min="14346" max="14346" width="18.28515625" style="34" customWidth="1"/>
    <col min="14347" max="14347" width="56.140625" style="34" customWidth="1"/>
    <col min="14348" max="14348" width="15.5703125" style="34" customWidth="1"/>
    <col min="14349" max="14592" width="9.140625" style="34"/>
    <col min="14593" max="14593" width="10.7109375" style="34" customWidth="1"/>
    <col min="14594" max="14594" width="50.7109375" style="34" customWidth="1"/>
    <col min="14595" max="14595" width="15.5703125" style="34" customWidth="1"/>
    <col min="14596" max="14599" width="10.7109375" style="34" customWidth="1"/>
    <col min="14600" max="14601" width="12.7109375" style="34" customWidth="1"/>
    <col min="14602" max="14602" width="18.28515625" style="34" customWidth="1"/>
    <col min="14603" max="14603" width="56.140625" style="34" customWidth="1"/>
    <col min="14604" max="14604" width="15.5703125" style="34" customWidth="1"/>
    <col min="14605" max="14848" width="9.140625" style="34"/>
    <col min="14849" max="14849" width="10.7109375" style="34" customWidth="1"/>
    <col min="14850" max="14850" width="50.7109375" style="34" customWidth="1"/>
    <col min="14851" max="14851" width="15.5703125" style="34" customWidth="1"/>
    <col min="14852" max="14855" width="10.7109375" style="34" customWidth="1"/>
    <col min="14856" max="14857" width="12.7109375" style="34" customWidth="1"/>
    <col min="14858" max="14858" width="18.28515625" style="34" customWidth="1"/>
    <col min="14859" max="14859" width="56.140625" style="34" customWidth="1"/>
    <col min="14860" max="14860" width="15.5703125" style="34" customWidth="1"/>
    <col min="14861" max="15104" width="9.140625" style="34"/>
    <col min="15105" max="15105" width="10.7109375" style="34" customWidth="1"/>
    <col min="15106" max="15106" width="50.7109375" style="34" customWidth="1"/>
    <col min="15107" max="15107" width="15.5703125" style="34" customWidth="1"/>
    <col min="15108" max="15111" width="10.7109375" style="34" customWidth="1"/>
    <col min="15112" max="15113" width="12.7109375" style="34" customWidth="1"/>
    <col min="15114" max="15114" width="18.28515625" style="34" customWidth="1"/>
    <col min="15115" max="15115" width="56.140625" style="34" customWidth="1"/>
    <col min="15116" max="15116" width="15.5703125" style="34" customWidth="1"/>
    <col min="15117" max="15360" width="9.140625" style="34"/>
    <col min="15361" max="15361" width="10.7109375" style="34" customWidth="1"/>
    <col min="15362" max="15362" width="50.7109375" style="34" customWidth="1"/>
    <col min="15363" max="15363" width="15.5703125" style="34" customWidth="1"/>
    <col min="15364" max="15367" width="10.7109375" style="34" customWidth="1"/>
    <col min="15368" max="15369" width="12.7109375" style="34" customWidth="1"/>
    <col min="15370" max="15370" width="18.28515625" style="34" customWidth="1"/>
    <col min="15371" max="15371" width="56.140625" style="34" customWidth="1"/>
    <col min="15372" max="15372" width="15.5703125" style="34" customWidth="1"/>
    <col min="15373" max="15616" width="9.140625" style="34"/>
    <col min="15617" max="15617" width="10.7109375" style="34" customWidth="1"/>
    <col min="15618" max="15618" width="50.7109375" style="34" customWidth="1"/>
    <col min="15619" max="15619" width="15.5703125" style="34" customWidth="1"/>
    <col min="15620" max="15623" width="10.7109375" style="34" customWidth="1"/>
    <col min="15624" max="15625" width="12.7109375" style="34" customWidth="1"/>
    <col min="15626" max="15626" width="18.28515625" style="34" customWidth="1"/>
    <col min="15627" max="15627" width="56.140625" style="34" customWidth="1"/>
    <col min="15628" max="15628" width="15.5703125" style="34" customWidth="1"/>
    <col min="15629" max="15872" width="9.140625" style="34"/>
    <col min="15873" max="15873" width="10.7109375" style="34" customWidth="1"/>
    <col min="15874" max="15874" width="50.7109375" style="34" customWidth="1"/>
    <col min="15875" max="15875" width="15.5703125" style="34" customWidth="1"/>
    <col min="15876" max="15879" width="10.7109375" style="34" customWidth="1"/>
    <col min="15880" max="15881" width="12.7109375" style="34" customWidth="1"/>
    <col min="15882" max="15882" width="18.28515625" style="34" customWidth="1"/>
    <col min="15883" max="15883" width="56.140625" style="34" customWidth="1"/>
    <col min="15884" max="15884" width="15.5703125" style="34" customWidth="1"/>
    <col min="15885" max="16128" width="9.140625" style="34"/>
    <col min="16129" max="16129" width="10.7109375" style="34" customWidth="1"/>
    <col min="16130" max="16130" width="50.7109375" style="34" customWidth="1"/>
    <col min="16131" max="16131" width="15.5703125" style="34" customWidth="1"/>
    <col min="16132" max="16135" width="10.7109375" style="34" customWidth="1"/>
    <col min="16136" max="16137" width="12.7109375" style="34" customWidth="1"/>
    <col min="16138" max="16138" width="18.28515625" style="34" customWidth="1"/>
    <col min="16139" max="16139" width="56.140625" style="34" customWidth="1"/>
    <col min="16140" max="16140" width="15.5703125" style="34" customWidth="1"/>
    <col min="16141" max="16384" width="9.140625" style="34"/>
  </cols>
  <sheetData>
    <row r="1" spans="1:65" ht="69.95" customHeight="1" thickBot="1" x14ac:dyDescent="0.25">
      <c r="A1" s="966" t="s">
        <v>73</v>
      </c>
      <c r="B1" s="967"/>
      <c r="C1" s="967"/>
      <c r="D1" s="967"/>
      <c r="E1" s="967"/>
      <c r="F1" s="967"/>
      <c r="G1" s="967"/>
      <c r="H1" s="967"/>
      <c r="I1" s="967"/>
      <c r="J1" s="967"/>
      <c r="K1" s="968"/>
      <c r="L1" s="118"/>
    </row>
    <row r="2" spans="1:65" s="471" customFormat="1" ht="15.95" customHeight="1" thickTop="1" x14ac:dyDescent="0.25">
      <c r="A2" s="436" t="s">
        <v>1019</v>
      </c>
      <c r="B2" s="437">
        <f>Resources!C24</f>
        <v>0</v>
      </c>
      <c r="C2" s="438" t="s">
        <v>776</v>
      </c>
      <c r="D2" s="439">
        <f ca="1">COUNTIF($J$9:$J$74,"Deliverable Still In Progress")</f>
        <v>4</v>
      </c>
      <c r="E2" s="454"/>
      <c r="F2" s="465"/>
      <c r="G2" s="466"/>
      <c r="H2" s="466"/>
      <c r="I2" s="467"/>
      <c r="J2" s="466"/>
      <c r="K2" s="468"/>
      <c r="L2" s="469"/>
      <c r="M2" s="470"/>
      <c r="N2" s="470"/>
      <c r="O2" s="470"/>
      <c r="P2" s="470"/>
      <c r="Q2" s="470"/>
      <c r="R2" s="470"/>
      <c r="S2" s="470"/>
      <c r="T2" s="470"/>
      <c r="U2" s="470"/>
      <c r="V2" s="470"/>
      <c r="W2" s="470"/>
      <c r="X2" s="470"/>
      <c r="Y2" s="470"/>
      <c r="Z2" s="470"/>
      <c r="AA2" s="470"/>
      <c r="AB2" s="470"/>
      <c r="AC2" s="470"/>
      <c r="AD2" s="470"/>
      <c r="AE2" s="470"/>
      <c r="AF2" s="470"/>
      <c r="AG2" s="470"/>
      <c r="AH2" s="470"/>
      <c r="AI2" s="470"/>
      <c r="AJ2" s="470"/>
      <c r="AK2" s="470"/>
      <c r="AL2" s="470"/>
      <c r="AM2" s="470"/>
      <c r="AN2" s="470"/>
      <c r="AO2" s="470"/>
      <c r="AP2" s="470"/>
      <c r="AQ2" s="470"/>
      <c r="AR2" s="470"/>
      <c r="AS2" s="470"/>
      <c r="AT2" s="470"/>
      <c r="AU2" s="470"/>
      <c r="AV2" s="470"/>
      <c r="AW2" s="470"/>
      <c r="AX2" s="470"/>
      <c r="AY2" s="470"/>
      <c r="AZ2" s="470"/>
      <c r="BA2" s="470"/>
      <c r="BB2" s="470"/>
      <c r="BC2" s="470"/>
      <c r="BD2" s="470"/>
      <c r="BE2" s="470"/>
      <c r="BF2" s="470"/>
      <c r="BG2" s="470"/>
      <c r="BH2" s="470"/>
      <c r="BI2" s="470"/>
      <c r="BJ2" s="470"/>
      <c r="BK2" s="470"/>
      <c r="BL2" s="470"/>
      <c r="BM2" s="470"/>
    </row>
    <row r="3" spans="1:65" s="471" customFormat="1" ht="15.95" customHeight="1" x14ac:dyDescent="0.25">
      <c r="A3" s="436" t="s">
        <v>1020</v>
      </c>
      <c r="B3" s="437">
        <f>Resources!E24</f>
        <v>0</v>
      </c>
      <c r="C3" s="438" t="s">
        <v>777</v>
      </c>
      <c r="D3" s="439">
        <f ca="1">COUNTIF($J$9:$J$74,"Deliverable Completed")</f>
        <v>0</v>
      </c>
      <c r="E3" s="461">
        <f ca="1">D3/D6</f>
        <v>0</v>
      </c>
      <c r="F3" s="465"/>
      <c r="G3" s="466"/>
      <c r="H3" s="466"/>
      <c r="I3" s="467"/>
      <c r="J3" s="466"/>
      <c r="K3" s="468"/>
      <c r="L3" s="469"/>
      <c r="M3" s="470"/>
      <c r="N3" s="470"/>
      <c r="O3" s="470"/>
      <c r="P3" s="470"/>
      <c r="Q3" s="470"/>
      <c r="R3" s="470"/>
      <c r="S3" s="470"/>
      <c r="T3" s="470"/>
      <c r="U3" s="470"/>
      <c r="V3" s="470"/>
      <c r="W3" s="470"/>
      <c r="X3" s="470"/>
      <c r="Y3" s="470"/>
      <c r="Z3" s="470"/>
      <c r="AA3" s="470"/>
      <c r="AB3" s="470"/>
      <c r="AC3" s="470"/>
      <c r="AD3" s="470"/>
      <c r="AE3" s="470"/>
      <c r="AF3" s="470"/>
      <c r="AG3" s="470"/>
      <c r="AH3" s="470"/>
      <c r="AI3" s="470"/>
      <c r="AJ3" s="470"/>
      <c r="AK3" s="470"/>
      <c r="AL3" s="470"/>
      <c r="AM3" s="470"/>
      <c r="AN3" s="470"/>
      <c r="AO3" s="470"/>
      <c r="AP3" s="470"/>
      <c r="AQ3" s="470"/>
      <c r="AR3" s="470"/>
      <c r="AS3" s="470"/>
      <c r="AT3" s="470"/>
      <c r="AU3" s="470"/>
      <c r="AV3" s="470"/>
      <c r="AW3" s="470"/>
      <c r="AX3" s="470"/>
      <c r="AY3" s="470"/>
      <c r="AZ3" s="470"/>
      <c r="BA3" s="470"/>
      <c r="BB3" s="470"/>
      <c r="BC3" s="470"/>
      <c r="BD3" s="470"/>
      <c r="BE3" s="470"/>
      <c r="BF3" s="470"/>
      <c r="BG3" s="470"/>
      <c r="BH3" s="470"/>
      <c r="BI3" s="470"/>
      <c r="BJ3" s="470"/>
      <c r="BK3" s="470"/>
      <c r="BL3" s="470"/>
      <c r="BM3" s="470"/>
    </row>
    <row r="4" spans="1:65" s="471" customFormat="1" ht="15.95" customHeight="1" x14ac:dyDescent="0.25">
      <c r="A4" s="472" t="s">
        <v>1021</v>
      </c>
      <c r="B4" s="450"/>
      <c r="C4" s="438" t="s">
        <v>778</v>
      </c>
      <c r="D4" s="439">
        <f ca="1">D7-COUNTIF($J$9:$J$74,"completed")</f>
        <v>10</v>
      </c>
      <c r="E4" s="454"/>
      <c r="F4" s="465"/>
      <c r="G4" s="466"/>
      <c r="H4" s="466"/>
      <c r="I4" s="467"/>
      <c r="J4" s="466"/>
      <c r="K4" s="468"/>
      <c r="L4" s="469"/>
      <c r="M4" s="470"/>
      <c r="N4" s="470"/>
      <c r="O4" s="470"/>
      <c r="P4" s="470"/>
      <c r="Q4" s="470"/>
      <c r="R4" s="470"/>
      <c r="S4" s="470"/>
      <c r="T4" s="470"/>
      <c r="U4" s="470"/>
      <c r="V4" s="470"/>
      <c r="W4" s="470"/>
      <c r="X4" s="470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I4" s="470"/>
      <c r="AJ4" s="470"/>
      <c r="AK4" s="470"/>
      <c r="AL4" s="470"/>
      <c r="AM4" s="470"/>
      <c r="AN4" s="470"/>
      <c r="AO4" s="470"/>
      <c r="AP4" s="470"/>
      <c r="AQ4" s="470"/>
      <c r="AR4" s="470"/>
      <c r="AS4" s="470"/>
      <c r="AT4" s="470"/>
      <c r="AU4" s="470"/>
      <c r="AV4" s="470"/>
      <c r="AW4" s="470"/>
      <c r="AX4" s="470"/>
      <c r="AY4" s="470"/>
      <c r="AZ4" s="470"/>
      <c r="BA4" s="470"/>
      <c r="BB4" s="470"/>
      <c r="BC4" s="470"/>
      <c r="BD4" s="470"/>
      <c r="BE4" s="470"/>
      <c r="BF4" s="470"/>
      <c r="BG4" s="470"/>
      <c r="BH4" s="470"/>
      <c r="BI4" s="470"/>
      <c r="BJ4" s="470"/>
      <c r="BK4" s="470"/>
      <c r="BL4" s="470"/>
      <c r="BM4" s="470"/>
    </row>
    <row r="5" spans="1:65" s="471" customFormat="1" ht="15.95" customHeight="1" x14ac:dyDescent="0.25">
      <c r="A5" s="451"/>
      <c r="B5" s="450"/>
      <c r="C5" s="452" t="s">
        <v>779</v>
      </c>
      <c r="D5" s="439">
        <f ca="1">D7-D4</f>
        <v>0</v>
      </c>
      <c r="E5" s="461">
        <f ca="1">D5/D7</f>
        <v>0</v>
      </c>
      <c r="F5" s="465"/>
      <c r="G5" s="466"/>
      <c r="H5" s="466"/>
      <c r="I5" s="467"/>
      <c r="J5" s="466"/>
      <c r="K5" s="468"/>
      <c r="L5" s="469"/>
      <c r="M5" s="470"/>
      <c r="N5" s="470"/>
      <c r="O5" s="470"/>
      <c r="P5" s="470"/>
      <c r="Q5" s="470"/>
      <c r="R5" s="470"/>
      <c r="S5" s="470"/>
      <c r="T5" s="470"/>
      <c r="U5" s="470"/>
      <c r="V5" s="470"/>
      <c r="W5" s="470"/>
      <c r="X5" s="470"/>
      <c r="Y5" s="470"/>
      <c r="Z5" s="470"/>
      <c r="AA5" s="470"/>
      <c r="AB5" s="470"/>
      <c r="AC5" s="470"/>
      <c r="AD5" s="470"/>
      <c r="AE5" s="470"/>
      <c r="AF5" s="470"/>
      <c r="AG5" s="470"/>
      <c r="AH5" s="470"/>
      <c r="AI5" s="470"/>
      <c r="AJ5" s="470"/>
      <c r="AK5" s="470"/>
      <c r="AL5" s="470"/>
      <c r="AM5" s="470"/>
      <c r="AN5" s="470"/>
      <c r="AO5" s="470"/>
      <c r="AP5" s="470"/>
      <c r="AQ5" s="470"/>
      <c r="AR5" s="470"/>
      <c r="AS5" s="470"/>
      <c r="AT5" s="470"/>
      <c r="AU5" s="470"/>
      <c r="AV5" s="470"/>
      <c r="AW5" s="470"/>
      <c r="AX5" s="470"/>
      <c r="AY5" s="470"/>
      <c r="AZ5" s="470"/>
      <c r="BA5" s="470"/>
      <c r="BB5" s="470"/>
      <c r="BC5" s="470"/>
      <c r="BD5" s="470"/>
      <c r="BE5" s="470"/>
      <c r="BF5" s="470"/>
      <c r="BG5" s="470"/>
      <c r="BH5" s="470"/>
      <c r="BI5" s="470"/>
      <c r="BJ5" s="470"/>
      <c r="BK5" s="470"/>
      <c r="BL5" s="470"/>
      <c r="BM5" s="470"/>
    </row>
    <row r="6" spans="1:65" s="471" customFormat="1" ht="15.95" customHeight="1" thickBot="1" x14ac:dyDescent="0.3">
      <c r="A6" s="451"/>
      <c r="B6" s="450"/>
      <c r="C6" s="452" t="s">
        <v>780</v>
      </c>
      <c r="D6" s="439">
        <f ca="1">D2+D3</f>
        <v>4</v>
      </c>
      <c r="E6" s="464"/>
      <c r="F6" s="465"/>
      <c r="G6" s="466"/>
      <c r="H6" s="466"/>
      <c r="I6" s="467"/>
      <c r="J6" s="466"/>
      <c r="K6" s="468"/>
      <c r="L6" s="469"/>
      <c r="M6" s="470"/>
      <c r="N6" s="470"/>
      <c r="O6" s="470"/>
      <c r="P6" s="470"/>
      <c r="Q6" s="470"/>
      <c r="R6" s="470"/>
      <c r="S6" s="470"/>
      <c r="T6" s="470"/>
      <c r="U6" s="470"/>
      <c r="V6" s="470"/>
      <c r="W6" s="470"/>
      <c r="X6" s="470"/>
      <c r="Y6" s="470"/>
      <c r="Z6" s="470"/>
      <c r="AA6" s="470"/>
      <c r="AB6" s="470"/>
      <c r="AC6" s="470"/>
      <c r="AD6" s="470"/>
      <c r="AE6" s="470"/>
      <c r="AF6" s="470"/>
      <c r="AG6" s="470"/>
      <c r="AH6" s="470"/>
      <c r="AI6" s="470"/>
      <c r="AJ6" s="470"/>
      <c r="AK6" s="470"/>
      <c r="AL6" s="470"/>
      <c r="AM6" s="470"/>
      <c r="AN6" s="470"/>
      <c r="AO6" s="470"/>
      <c r="AP6" s="470"/>
      <c r="AQ6" s="470"/>
      <c r="AR6" s="470"/>
      <c r="AS6" s="470"/>
      <c r="AT6" s="470"/>
      <c r="AU6" s="470"/>
      <c r="AV6" s="470"/>
      <c r="AW6" s="470"/>
      <c r="AX6" s="470"/>
      <c r="AY6" s="470"/>
      <c r="AZ6" s="470"/>
      <c r="BA6" s="470"/>
      <c r="BB6" s="470"/>
      <c r="BC6" s="470"/>
      <c r="BD6" s="470"/>
      <c r="BE6" s="470"/>
      <c r="BF6" s="470"/>
      <c r="BG6" s="470"/>
      <c r="BH6" s="470"/>
      <c r="BI6" s="470"/>
      <c r="BJ6" s="470"/>
      <c r="BK6" s="470"/>
      <c r="BL6" s="470"/>
      <c r="BM6" s="470"/>
    </row>
    <row r="7" spans="1:65" s="471" customFormat="1" ht="15.95" customHeight="1" thickBot="1" x14ac:dyDescent="0.3">
      <c r="A7" s="451"/>
      <c r="B7" s="450"/>
      <c r="C7" s="452" t="s">
        <v>781</v>
      </c>
      <c r="D7" s="439">
        <f ca="1">COUNTA(B9:B62)-D6</f>
        <v>10</v>
      </c>
      <c r="E7" s="464"/>
      <c r="F7" s="544" t="s">
        <v>1017</v>
      </c>
      <c r="G7" s="466"/>
      <c r="H7" s="466"/>
      <c r="I7" s="467"/>
      <c r="J7" s="544" t="s">
        <v>1017</v>
      </c>
      <c r="K7" s="468"/>
      <c r="L7" s="469"/>
      <c r="M7" s="470"/>
      <c r="N7" s="470"/>
      <c r="O7" s="470"/>
      <c r="P7" s="470"/>
      <c r="Q7" s="470"/>
      <c r="R7" s="470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  <c r="AF7" s="470"/>
      <c r="AG7" s="470"/>
      <c r="AH7" s="470"/>
      <c r="AI7" s="470"/>
      <c r="AJ7" s="470"/>
      <c r="AK7" s="470"/>
      <c r="AL7" s="470"/>
      <c r="AM7" s="470"/>
      <c r="AN7" s="470"/>
      <c r="AO7" s="470"/>
      <c r="AP7" s="470"/>
      <c r="AQ7" s="470"/>
      <c r="AR7" s="470"/>
      <c r="AS7" s="470"/>
      <c r="AT7" s="470"/>
      <c r="AU7" s="470"/>
      <c r="AV7" s="470"/>
      <c r="AW7" s="470"/>
      <c r="AX7" s="470"/>
      <c r="AY7" s="470"/>
      <c r="AZ7" s="470"/>
      <c r="BA7" s="470"/>
      <c r="BB7" s="470"/>
      <c r="BC7" s="470"/>
      <c r="BD7" s="470"/>
      <c r="BE7" s="470"/>
      <c r="BF7" s="470"/>
      <c r="BG7" s="470"/>
      <c r="BH7" s="470"/>
      <c r="BI7" s="470"/>
      <c r="BJ7" s="470"/>
      <c r="BK7" s="470"/>
      <c r="BL7" s="470"/>
      <c r="BM7" s="470"/>
    </row>
    <row r="8" spans="1:65" s="123" customFormat="1" ht="47.25" x14ac:dyDescent="0.25">
      <c r="A8" s="352" t="s">
        <v>90</v>
      </c>
      <c r="B8" s="353" t="s">
        <v>91</v>
      </c>
      <c r="C8" s="354" t="s">
        <v>48</v>
      </c>
      <c r="D8" s="355" t="s">
        <v>92</v>
      </c>
      <c r="E8" s="355" t="s">
        <v>782</v>
      </c>
      <c r="F8" s="355" t="s">
        <v>783</v>
      </c>
      <c r="G8" s="355" t="s">
        <v>53</v>
      </c>
      <c r="H8" s="355" t="s">
        <v>95</v>
      </c>
      <c r="I8" s="355" t="s">
        <v>54</v>
      </c>
      <c r="J8" s="353" t="s">
        <v>55</v>
      </c>
      <c r="K8" s="356" t="s">
        <v>56</v>
      </c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</row>
    <row r="9" spans="1:65" ht="13.9" customHeight="1" x14ac:dyDescent="0.2">
      <c r="A9" s="499"/>
      <c r="B9" s="403" t="s">
        <v>756</v>
      </c>
      <c r="C9" s="116"/>
      <c r="D9" s="408"/>
      <c r="E9" s="408"/>
      <c r="F9" s="409">
        <f ca="1">IF(ISBLANK(G9),IF(ISERROR(DAYS360(TODAY(),E9))," ",(DAYS360(TODAY(),E9))),E9-G9)</f>
        <v>-43388</v>
      </c>
      <c r="G9" s="220"/>
      <c r="H9" s="116"/>
      <c r="I9" s="81"/>
      <c r="J9" s="40" t="str">
        <f ca="1">IF(AND(J10="completed"),"Deliverable Completed","DELIVERABLE STILL IN PROGRESS")</f>
        <v>DELIVERABLE STILL IN PROGRESS</v>
      </c>
      <c r="K9" s="343"/>
    </row>
    <row r="10" spans="1:65" ht="13.9" customHeight="1" x14ac:dyDescent="0.25">
      <c r="A10" s="499"/>
      <c r="B10" s="316"/>
      <c r="C10" s="344"/>
      <c r="D10" s="266"/>
      <c r="E10" s="275"/>
      <c r="F10" s="231">
        <f ca="1">IF(ISBLANK(G10),IF(ISERROR(DAYS360(TODAY(),E10))," ",(DAYS360(TODAY(),E10))),E10-G10)</f>
        <v>-43388</v>
      </c>
      <c r="G10" s="275"/>
      <c r="H10" s="276"/>
      <c r="I10" s="87"/>
      <c r="J10" s="105" t="str">
        <f ca="1">IF(G10&gt;0,"COMPLETED",(IF(I10&gt;0,"ISSUE IDENTIFIED",(IF(TODAY()&gt;E10,"OVERDUE","In Progress")))))</f>
        <v>OVERDUE</v>
      </c>
      <c r="K10" s="345"/>
    </row>
    <row r="11" spans="1:65" ht="13.9" customHeight="1" x14ac:dyDescent="0.2">
      <c r="A11" s="500"/>
      <c r="B11" s="403" t="s">
        <v>757</v>
      </c>
      <c r="C11" s="173"/>
      <c r="D11" s="408"/>
      <c r="E11" s="408"/>
      <c r="F11" s="409">
        <f ca="1">IF(ISBLANK(G11),IF(ISERROR(DAYS360(TODAY(),E11))," ",(DAYS360(TODAY(),E11))),E11-G11)</f>
        <v>-43388</v>
      </c>
      <c r="G11" s="267"/>
      <c r="H11" s="173"/>
      <c r="I11" s="145"/>
      <c r="J11" s="138" t="str">
        <f ca="1">IF(AND(J12="completed",J13="completed",J14="completed",J15="completed",J16="completed",J17="completed"),"Deliverable Completed","DELIVERABLE STILL IN PROGRESS")</f>
        <v>DELIVERABLE STILL IN PROGRESS</v>
      </c>
      <c r="K11" s="346"/>
    </row>
    <row r="12" spans="1:65" s="119" customFormat="1" ht="13.9" customHeight="1" x14ac:dyDescent="0.2">
      <c r="A12" s="500"/>
      <c r="B12" s="146" t="s">
        <v>758</v>
      </c>
      <c r="C12" s="33"/>
      <c r="D12" s="200"/>
      <c r="E12" s="220"/>
      <c r="F12" s="231">
        <f ca="1">IF(ISBLANK(G12),IF(ISERROR(DAYS360(TODAY(),E12))," ",(DAYS360(TODAY(),E12))),E12-G12)</f>
        <v>-43388</v>
      </c>
      <c r="G12" s="220"/>
      <c r="H12" s="116"/>
      <c r="I12" s="81"/>
      <c r="J12" s="40" t="str">
        <f t="shared" ref="J12:J17" ca="1" si="0">IF(G12&gt;0,"COMPLETED",(IF(I12&gt;0,"ISSUE IDENTIFIED",(IF(TODAY()&gt;E12,"OVERDUE","In Progress")))))</f>
        <v>OVERDUE</v>
      </c>
      <c r="K12" s="343"/>
    </row>
    <row r="13" spans="1:65" ht="13.9" customHeight="1" x14ac:dyDescent="0.2">
      <c r="A13" s="500"/>
      <c r="B13" s="146" t="s">
        <v>759</v>
      </c>
      <c r="C13" s="33"/>
      <c r="D13" s="200"/>
      <c r="E13" s="220"/>
      <c r="F13" s="231">
        <f t="shared" ref="F13:F16" ca="1" si="1">IF(ISBLANK(G13),IF(ISERROR(DAYS360(TODAY(),E13))," ",(DAYS360(TODAY(),E13))),E13-G13)</f>
        <v>-43388</v>
      </c>
      <c r="G13" s="220"/>
      <c r="H13" s="116"/>
      <c r="I13" s="81"/>
      <c r="J13" s="40" t="str">
        <f t="shared" ca="1" si="0"/>
        <v>OVERDUE</v>
      </c>
      <c r="K13" s="343"/>
    </row>
    <row r="14" spans="1:65" ht="13.9" customHeight="1" x14ac:dyDescent="0.2">
      <c r="A14" s="500"/>
      <c r="B14" s="146" t="s">
        <v>760</v>
      </c>
      <c r="C14" s="33"/>
      <c r="D14" s="200"/>
      <c r="E14" s="220"/>
      <c r="F14" s="231">
        <f t="shared" ca="1" si="1"/>
        <v>-43388</v>
      </c>
      <c r="G14" s="220"/>
      <c r="H14" s="116"/>
      <c r="I14" s="81"/>
      <c r="J14" s="40" t="str">
        <f t="shared" ca="1" si="0"/>
        <v>OVERDUE</v>
      </c>
      <c r="K14" s="343"/>
    </row>
    <row r="15" spans="1:65" ht="13.9" customHeight="1" x14ac:dyDescent="0.2">
      <c r="A15" s="500"/>
      <c r="B15" s="146" t="s">
        <v>761</v>
      </c>
      <c r="C15" s="33"/>
      <c r="D15" s="200"/>
      <c r="E15" s="220"/>
      <c r="F15" s="231">
        <f t="shared" ca="1" si="1"/>
        <v>-43388</v>
      </c>
      <c r="G15" s="220"/>
      <c r="H15" s="116"/>
      <c r="I15" s="81"/>
      <c r="J15" s="40" t="str">
        <f t="shared" ca="1" si="0"/>
        <v>OVERDUE</v>
      </c>
      <c r="K15" s="343"/>
    </row>
    <row r="16" spans="1:65" ht="13.9" customHeight="1" x14ac:dyDescent="0.2">
      <c r="A16" s="500"/>
      <c r="B16" s="146" t="s">
        <v>762</v>
      </c>
      <c r="C16" s="33"/>
      <c r="D16" s="200"/>
      <c r="E16" s="220"/>
      <c r="F16" s="231">
        <f t="shared" ca="1" si="1"/>
        <v>-43388</v>
      </c>
      <c r="G16" s="220"/>
      <c r="H16" s="116"/>
      <c r="I16" s="81"/>
      <c r="J16" s="40" t="str">
        <f t="shared" ca="1" si="0"/>
        <v>OVERDUE</v>
      </c>
      <c r="K16" s="343"/>
    </row>
    <row r="17" spans="1:11" ht="13.9" customHeight="1" x14ac:dyDescent="0.2">
      <c r="A17" s="500"/>
      <c r="B17" s="160" t="s">
        <v>763</v>
      </c>
      <c r="C17" s="274"/>
      <c r="D17" s="219"/>
      <c r="E17" s="292"/>
      <c r="F17" s="410">
        <f ca="1">IF(ISBLANK(G17),IF(ISERROR(DAYS360(TODAY(),E17))," ",(DAYS360(TODAY(),E17))),E17-G17)</f>
        <v>-43388</v>
      </c>
      <c r="G17" s="292"/>
      <c r="H17" s="293"/>
      <c r="I17" s="294"/>
      <c r="J17" s="153" t="str">
        <f t="shared" ca="1" si="0"/>
        <v>OVERDUE</v>
      </c>
      <c r="K17" s="347"/>
    </row>
    <row r="18" spans="1:11" ht="13.9" customHeight="1" x14ac:dyDescent="0.2">
      <c r="A18" s="500"/>
      <c r="B18" s="403" t="s">
        <v>764</v>
      </c>
      <c r="C18" s="173"/>
      <c r="D18" s="408"/>
      <c r="E18" s="408"/>
      <c r="F18" s="409">
        <f t="shared" ref="F18:F29" ca="1" si="2">IF(ISBLANK(G18),IF(ISERROR(DAYS360(TODAY(),E18))," ",(DAYS360(TODAY(),E18))),E18-G18)</f>
        <v>-43388</v>
      </c>
      <c r="G18" s="267"/>
      <c r="H18" s="173"/>
      <c r="I18" s="145"/>
      <c r="J18" s="138" t="str">
        <f ca="1">IF(AND(J19="completed",J20="completed",J21="completed",J22="completed"),"Deliverable Completed","DELIVERABLE STILL IN PROGRESS")</f>
        <v>DELIVERABLE STILL IN PROGRESS</v>
      </c>
      <c r="K18" s="346"/>
    </row>
    <row r="19" spans="1:11" ht="13.9" customHeight="1" x14ac:dyDescent="0.2">
      <c r="A19" s="500"/>
      <c r="B19" s="146" t="s">
        <v>1039</v>
      </c>
      <c r="C19" s="39"/>
      <c r="D19" s="200"/>
      <c r="E19" s="220"/>
      <c r="F19" s="231">
        <f t="shared" ca="1" si="2"/>
        <v>-43388</v>
      </c>
      <c r="G19" s="220"/>
      <c r="H19" s="116"/>
      <c r="I19" s="81"/>
      <c r="J19" s="40" t="str">
        <f t="shared" ref="J19:J29" ca="1" si="3">IF(G19&gt;0,"COMPLETED",(IF(I19&gt;0,"ISSUE IDENTIFIED",(IF(TODAY()&gt;E19,"OVERDUE","In Progress")))))</f>
        <v>OVERDUE</v>
      </c>
      <c r="K19" s="343"/>
    </row>
    <row r="20" spans="1:11" ht="13.9" customHeight="1" x14ac:dyDescent="0.2">
      <c r="A20" s="500"/>
      <c r="B20" s="146" t="s">
        <v>1039</v>
      </c>
      <c r="C20" s="39"/>
      <c r="D20" s="200"/>
      <c r="E20" s="220"/>
      <c r="F20" s="231">
        <f t="shared" ca="1" si="2"/>
        <v>-43388</v>
      </c>
      <c r="G20" s="220"/>
      <c r="H20" s="116"/>
      <c r="I20" s="81"/>
      <c r="J20" s="40" t="str">
        <f t="shared" ca="1" si="3"/>
        <v>OVERDUE</v>
      </c>
      <c r="K20" s="343"/>
    </row>
    <row r="21" spans="1:11" ht="13.9" customHeight="1" x14ac:dyDescent="0.2">
      <c r="A21" s="500"/>
      <c r="B21" s="146" t="s">
        <v>1039</v>
      </c>
      <c r="C21" s="39"/>
      <c r="D21" s="200"/>
      <c r="E21" s="220"/>
      <c r="F21" s="231">
        <f t="shared" ca="1" si="2"/>
        <v>-43388</v>
      </c>
      <c r="G21" s="220"/>
      <c r="H21" s="116"/>
      <c r="I21" s="81"/>
      <c r="J21" s="40" t="str">
        <f t="shared" ca="1" si="3"/>
        <v>OVERDUE</v>
      </c>
      <c r="K21" s="343"/>
    </row>
    <row r="22" spans="1:11" s="119" customFormat="1" ht="13.9" customHeight="1" x14ac:dyDescent="0.2">
      <c r="A22" s="500"/>
      <c r="B22" s="160" t="s">
        <v>1039</v>
      </c>
      <c r="C22" s="152"/>
      <c r="D22" s="219"/>
      <c r="E22" s="292"/>
      <c r="F22" s="410">
        <f t="shared" ca="1" si="2"/>
        <v>-43388</v>
      </c>
      <c r="G22" s="292"/>
      <c r="H22" s="293"/>
      <c r="I22" s="294"/>
      <c r="J22" s="153" t="str">
        <f t="shared" ca="1" si="3"/>
        <v>OVERDUE</v>
      </c>
      <c r="K22" s="347"/>
    </row>
    <row r="23" spans="1:11" s="119" customFormat="1" ht="13.9" customHeight="1" x14ac:dyDescent="0.2">
      <c r="A23" s="500"/>
      <c r="B23" s="404" t="s">
        <v>765</v>
      </c>
      <c r="C23" s="173"/>
      <c r="D23" s="408"/>
      <c r="E23" s="408"/>
      <c r="F23" s="411">
        <f t="shared" ca="1" si="2"/>
        <v>-43388</v>
      </c>
      <c r="G23" s="220"/>
      <c r="H23" s="116"/>
      <c r="I23" s="81"/>
      <c r="J23" s="141" t="str">
        <f ca="1">IF(AND(J24="completed",J25="completed",J26="completed",J27="completed",J28="completed",J29="completed"),"Deliverable Completed","DELIVERABLE STILL IN PROGRESS")</f>
        <v>DELIVERABLE STILL IN PROGRESS</v>
      </c>
      <c r="K23" s="348"/>
    </row>
    <row r="24" spans="1:11" s="119" customFormat="1" ht="13.9" customHeight="1" x14ac:dyDescent="0.2">
      <c r="A24" s="500"/>
      <c r="B24" s="146"/>
      <c r="C24" s="33"/>
      <c r="D24" s="200"/>
      <c r="E24" s="220"/>
      <c r="F24" s="231">
        <f t="shared" ca="1" si="2"/>
        <v>-43388</v>
      </c>
      <c r="G24" s="220"/>
      <c r="H24" s="116"/>
      <c r="I24" s="81"/>
      <c r="J24" s="40" t="str">
        <f ca="1">IF(G24&gt;0,"COMPLETED",(IF(I24&gt;0,"ISSUE IDENTIFIED",(IF(TODAY()&gt;E24,"OVERDUE","In Progress")))))</f>
        <v>OVERDUE</v>
      </c>
      <c r="K24" s="343"/>
    </row>
    <row r="25" spans="1:11" s="119" customFormat="1" ht="13.9" customHeight="1" x14ac:dyDescent="0.2">
      <c r="A25" s="500"/>
      <c r="B25" s="146"/>
      <c r="C25" s="33"/>
      <c r="D25" s="200"/>
      <c r="E25" s="220"/>
      <c r="F25" s="231">
        <f t="shared" ca="1" si="2"/>
        <v>-43388</v>
      </c>
      <c r="G25" s="220"/>
      <c r="H25" s="116"/>
      <c r="I25" s="81"/>
      <c r="J25" s="40" t="str">
        <f t="shared" ca="1" si="3"/>
        <v>OVERDUE</v>
      </c>
      <c r="K25" s="343"/>
    </row>
    <row r="26" spans="1:11" s="119" customFormat="1" ht="13.9" customHeight="1" x14ac:dyDescent="0.2">
      <c r="A26" s="500"/>
      <c r="B26" s="146"/>
      <c r="C26" s="33"/>
      <c r="D26" s="200"/>
      <c r="E26" s="220"/>
      <c r="F26" s="231">
        <f t="shared" ca="1" si="2"/>
        <v>-43388</v>
      </c>
      <c r="G26" s="220"/>
      <c r="H26" s="116"/>
      <c r="I26" s="81"/>
      <c r="J26" s="40" t="str">
        <f t="shared" ca="1" si="3"/>
        <v>OVERDUE</v>
      </c>
      <c r="K26" s="343"/>
    </row>
    <row r="27" spans="1:11" s="119" customFormat="1" ht="13.9" customHeight="1" x14ac:dyDescent="0.2">
      <c r="A27" s="500"/>
      <c r="B27" s="146"/>
      <c r="C27" s="33"/>
      <c r="D27" s="200"/>
      <c r="E27" s="220"/>
      <c r="F27" s="231">
        <f t="shared" ca="1" si="2"/>
        <v>-43388</v>
      </c>
      <c r="G27" s="220"/>
      <c r="H27" s="116"/>
      <c r="I27" s="81"/>
      <c r="J27" s="40" t="str">
        <f t="shared" ca="1" si="3"/>
        <v>OVERDUE</v>
      </c>
      <c r="K27" s="343"/>
    </row>
    <row r="28" spans="1:11" s="119" customFormat="1" ht="13.9" customHeight="1" x14ac:dyDescent="0.2">
      <c r="A28" s="500"/>
      <c r="B28" s="146"/>
      <c r="C28" s="33"/>
      <c r="D28" s="200"/>
      <c r="E28" s="220"/>
      <c r="F28" s="231">
        <f t="shared" ca="1" si="2"/>
        <v>-43388</v>
      </c>
      <c r="G28" s="220"/>
      <c r="H28" s="116"/>
      <c r="I28" s="81"/>
      <c r="J28" s="40" t="str">
        <f t="shared" ca="1" si="3"/>
        <v>OVERDUE</v>
      </c>
      <c r="K28" s="343"/>
    </row>
    <row r="29" spans="1:11" s="119" customFormat="1" ht="15.75" thickBot="1" x14ac:dyDescent="0.25">
      <c r="A29" s="503"/>
      <c r="B29" s="349"/>
      <c r="C29" s="298"/>
      <c r="D29" s="295"/>
      <c r="E29" s="295"/>
      <c r="F29" s="296">
        <f t="shared" ca="1" si="2"/>
        <v>-43388</v>
      </c>
      <c r="G29" s="295"/>
      <c r="H29" s="297"/>
      <c r="I29" s="298"/>
      <c r="J29" s="74" t="str">
        <f t="shared" ca="1" si="3"/>
        <v>OVERDUE</v>
      </c>
      <c r="K29" s="299"/>
    </row>
    <row r="30" spans="1:11" s="119" customFormat="1" x14ac:dyDescent="0.2">
      <c r="A30" s="34"/>
      <c r="B30" s="115"/>
      <c r="C30" s="115"/>
      <c r="D30" s="300"/>
      <c r="E30" s="300"/>
      <c r="F30" s="350"/>
      <c r="G30" s="300"/>
      <c r="H30" s="114"/>
      <c r="I30" s="115"/>
      <c r="J30" s="276"/>
      <c r="K30" s="115"/>
    </row>
    <row r="31" spans="1:11" s="119" customFormat="1" x14ac:dyDescent="0.2">
      <c r="A31" s="34"/>
      <c r="B31" s="115"/>
      <c r="C31" s="115"/>
      <c r="D31" s="300"/>
      <c r="E31" s="300"/>
      <c r="F31" s="350"/>
      <c r="G31" s="300"/>
      <c r="H31" s="114"/>
      <c r="I31" s="115"/>
      <c r="J31" s="276"/>
      <c r="K31" s="115"/>
    </row>
    <row r="32" spans="1:11" s="119" customFormat="1" x14ac:dyDescent="0.2">
      <c r="A32" s="34"/>
      <c r="B32" s="115"/>
      <c r="C32" s="115"/>
      <c r="D32" s="300"/>
      <c r="E32" s="300"/>
      <c r="F32" s="350"/>
      <c r="G32" s="300"/>
      <c r="H32" s="114"/>
      <c r="I32" s="115"/>
      <c r="J32" s="276"/>
      <c r="K32" s="115"/>
    </row>
    <row r="33" spans="1:11" s="119" customFormat="1" x14ac:dyDescent="0.2">
      <c r="A33" s="34"/>
      <c r="B33" s="115"/>
      <c r="C33" s="115"/>
      <c r="D33" s="300"/>
      <c r="E33" s="300"/>
      <c r="F33" s="350"/>
      <c r="G33" s="300"/>
      <c r="H33" s="114"/>
      <c r="I33" s="115"/>
      <c r="J33" s="276"/>
      <c r="K33" s="115"/>
    </row>
    <row r="34" spans="1:11" s="119" customFormat="1" x14ac:dyDescent="0.2">
      <c r="A34" s="34"/>
      <c r="B34" s="115"/>
      <c r="C34" s="115"/>
      <c r="D34" s="300"/>
      <c r="E34" s="300"/>
      <c r="F34" s="350"/>
      <c r="G34" s="300"/>
      <c r="H34" s="114"/>
      <c r="I34" s="115"/>
      <c r="J34" s="276"/>
      <c r="K34" s="115"/>
    </row>
    <row r="35" spans="1:11" s="119" customFormat="1" x14ac:dyDescent="0.2">
      <c r="A35" s="34"/>
      <c r="B35" s="115"/>
      <c r="C35" s="115"/>
      <c r="D35" s="300"/>
      <c r="E35" s="300"/>
      <c r="F35" s="350"/>
      <c r="G35" s="300"/>
      <c r="H35" s="114"/>
      <c r="I35" s="115"/>
      <c r="J35" s="276"/>
      <c r="K35" s="115"/>
    </row>
    <row r="36" spans="1:11" s="119" customFormat="1" x14ac:dyDescent="0.2">
      <c r="A36" s="34"/>
      <c r="B36" s="115"/>
      <c r="C36" s="115"/>
      <c r="D36" s="300"/>
      <c r="E36" s="300"/>
      <c r="F36" s="350"/>
      <c r="G36" s="300"/>
      <c r="H36" s="114"/>
      <c r="I36" s="115"/>
      <c r="J36" s="276"/>
      <c r="K36" s="115"/>
    </row>
    <row r="37" spans="1:11" s="119" customFormat="1" x14ac:dyDescent="0.2">
      <c r="A37" s="34"/>
      <c r="B37" s="115"/>
      <c r="C37" s="115"/>
      <c r="D37" s="300"/>
      <c r="E37" s="300"/>
      <c r="F37" s="350"/>
      <c r="G37" s="300"/>
      <c r="H37" s="114"/>
      <c r="I37" s="115"/>
      <c r="J37" s="276"/>
      <c r="K37" s="115"/>
    </row>
    <row r="38" spans="1:11" s="119" customFormat="1" x14ac:dyDescent="0.2">
      <c r="A38" s="34"/>
      <c r="B38" s="115"/>
      <c r="C38" s="115"/>
      <c r="D38" s="300"/>
      <c r="E38" s="300"/>
      <c r="F38" s="350"/>
      <c r="G38" s="300"/>
      <c r="H38" s="114"/>
      <c r="I38" s="115"/>
      <c r="J38" s="276"/>
      <c r="K38" s="115"/>
    </row>
    <row r="39" spans="1:11" s="119" customFormat="1" x14ac:dyDescent="0.2">
      <c r="A39" s="34"/>
      <c r="B39" s="115"/>
      <c r="C39" s="115"/>
      <c r="D39" s="300"/>
      <c r="E39" s="300"/>
      <c r="F39" s="350"/>
      <c r="G39" s="300"/>
      <c r="H39" s="114"/>
      <c r="I39" s="115"/>
      <c r="J39" s="276"/>
      <c r="K39" s="115"/>
    </row>
    <row r="40" spans="1:11" s="119" customFormat="1" x14ac:dyDescent="0.2">
      <c r="A40" s="34"/>
      <c r="B40" s="115"/>
      <c r="C40" s="115"/>
      <c r="D40" s="300"/>
      <c r="E40" s="300"/>
      <c r="F40" s="350"/>
      <c r="G40" s="300"/>
      <c r="H40" s="114"/>
      <c r="I40" s="115"/>
      <c r="J40" s="276"/>
      <c r="K40" s="115"/>
    </row>
    <row r="41" spans="1:11" s="119" customFormat="1" x14ac:dyDescent="0.2">
      <c r="A41" s="34"/>
      <c r="B41" s="115"/>
      <c r="C41" s="115"/>
      <c r="D41" s="300"/>
      <c r="E41" s="300"/>
      <c r="F41" s="350"/>
      <c r="G41" s="300"/>
      <c r="H41" s="114"/>
      <c r="I41" s="115"/>
      <c r="J41" s="276"/>
      <c r="K41" s="115"/>
    </row>
    <row r="42" spans="1:11" s="119" customFormat="1" x14ac:dyDescent="0.2">
      <c r="A42" s="34"/>
      <c r="B42" s="115"/>
      <c r="C42" s="115"/>
      <c r="D42" s="300"/>
      <c r="E42" s="300"/>
      <c r="F42" s="350"/>
      <c r="G42" s="300"/>
      <c r="H42" s="114"/>
      <c r="I42" s="115"/>
      <c r="J42" s="276"/>
      <c r="K42" s="115"/>
    </row>
    <row r="43" spans="1:11" s="119" customFormat="1" x14ac:dyDescent="0.2">
      <c r="A43" s="34"/>
      <c r="B43" s="115"/>
      <c r="C43" s="115"/>
      <c r="D43" s="300"/>
      <c r="E43" s="300"/>
      <c r="F43" s="350"/>
      <c r="G43" s="300"/>
      <c r="H43" s="114"/>
      <c r="I43" s="115"/>
      <c r="J43" s="276"/>
      <c r="K43" s="115"/>
    </row>
    <row r="44" spans="1:11" s="119" customFormat="1" x14ac:dyDescent="0.2">
      <c r="A44" s="34"/>
      <c r="B44" s="115"/>
      <c r="C44" s="115"/>
      <c r="D44" s="300"/>
      <c r="E44" s="300"/>
      <c r="F44" s="350"/>
      <c r="G44" s="300"/>
      <c r="H44" s="114"/>
      <c r="I44" s="115"/>
      <c r="J44" s="276"/>
      <c r="K44" s="115"/>
    </row>
    <row r="45" spans="1:11" s="119" customFormat="1" x14ac:dyDescent="0.2">
      <c r="A45" s="34"/>
      <c r="B45" s="115"/>
      <c r="C45" s="115"/>
      <c r="D45" s="300"/>
      <c r="E45" s="300"/>
      <c r="F45" s="350"/>
      <c r="G45" s="300"/>
      <c r="H45" s="114"/>
      <c r="I45" s="115"/>
      <c r="J45" s="276"/>
      <c r="K45" s="115"/>
    </row>
    <row r="46" spans="1:11" s="119" customFormat="1" x14ac:dyDescent="0.2">
      <c r="A46" s="34"/>
      <c r="B46" s="115"/>
      <c r="C46" s="115"/>
      <c r="D46" s="300"/>
      <c r="E46" s="300"/>
      <c r="F46" s="350"/>
      <c r="G46" s="300"/>
      <c r="H46" s="114"/>
      <c r="I46" s="115"/>
      <c r="J46" s="276"/>
      <c r="K46" s="115"/>
    </row>
    <row r="47" spans="1:11" s="119" customFormat="1" x14ac:dyDescent="0.2">
      <c r="A47" s="34"/>
      <c r="B47" s="115"/>
      <c r="C47" s="115"/>
      <c r="D47" s="300"/>
      <c r="E47" s="300"/>
      <c r="F47" s="350"/>
      <c r="G47" s="300"/>
      <c r="H47" s="114"/>
      <c r="I47" s="115"/>
      <c r="J47" s="276"/>
      <c r="K47" s="115"/>
    </row>
    <row r="48" spans="1:11" s="119" customFormat="1" x14ac:dyDescent="0.2">
      <c r="A48" s="34"/>
      <c r="B48" s="115"/>
      <c r="C48" s="115"/>
      <c r="D48" s="300"/>
      <c r="E48" s="300"/>
      <c r="F48" s="350"/>
      <c r="G48" s="300"/>
      <c r="H48" s="114"/>
      <c r="I48" s="115"/>
      <c r="J48" s="276"/>
      <c r="K48" s="115"/>
    </row>
    <row r="49" spans="1:11" s="119" customFormat="1" x14ac:dyDescent="0.2">
      <c r="A49" s="34"/>
      <c r="B49" s="115"/>
      <c r="C49" s="115"/>
      <c r="D49" s="300"/>
      <c r="E49" s="300"/>
      <c r="F49" s="350"/>
      <c r="G49" s="300"/>
      <c r="H49" s="114"/>
      <c r="I49" s="115"/>
      <c r="J49" s="276"/>
      <c r="K49" s="115"/>
    </row>
    <row r="50" spans="1:11" s="119" customFormat="1" x14ac:dyDescent="0.2">
      <c r="A50" s="34"/>
      <c r="B50" s="115"/>
      <c r="C50" s="115"/>
      <c r="D50" s="300"/>
      <c r="E50" s="300"/>
      <c r="F50" s="350"/>
      <c r="G50" s="300"/>
      <c r="H50" s="114"/>
      <c r="I50" s="115"/>
      <c r="J50" s="276"/>
      <c r="K50" s="115"/>
    </row>
    <row r="51" spans="1:11" s="119" customFormat="1" x14ac:dyDescent="0.2">
      <c r="A51" s="34"/>
      <c r="B51" s="115"/>
      <c r="C51" s="115"/>
      <c r="D51" s="300"/>
      <c r="E51" s="300"/>
      <c r="F51" s="350"/>
      <c r="G51" s="114"/>
      <c r="H51" s="114"/>
      <c r="I51" s="115"/>
      <c r="J51" s="276"/>
      <c r="K51" s="115"/>
    </row>
    <row r="52" spans="1:11" s="119" customFormat="1" x14ac:dyDescent="0.2">
      <c r="A52" s="34"/>
      <c r="B52" s="115"/>
      <c r="C52" s="115"/>
      <c r="D52" s="300"/>
      <c r="E52" s="300"/>
      <c r="F52" s="350"/>
      <c r="G52" s="300"/>
      <c r="H52" s="114"/>
      <c r="I52" s="115"/>
      <c r="J52" s="276"/>
      <c r="K52" s="115"/>
    </row>
    <row r="53" spans="1:11" s="119" customFormat="1" ht="15" x14ac:dyDescent="0.2">
      <c r="A53" s="34"/>
      <c r="B53" s="351"/>
      <c r="C53" s="115"/>
      <c r="D53" s="300"/>
      <c r="E53" s="300"/>
      <c r="F53" s="350"/>
      <c r="G53" s="300"/>
      <c r="H53" s="114"/>
      <c r="I53" s="115"/>
      <c r="J53" s="276"/>
      <c r="K53" s="115"/>
    </row>
    <row r="54" spans="1:11" s="119" customFormat="1" x14ac:dyDescent="0.2">
      <c r="A54" s="34"/>
      <c r="B54" s="115"/>
      <c r="C54" s="115"/>
      <c r="D54" s="300"/>
      <c r="E54" s="300"/>
      <c r="F54" s="350"/>
      <c r="G54" s="300"/>
      <c r="H54" s="114"/>
      <c r="I54" s="115"/>
      <c r="J54" s="276"/>
      <c r="K54" s="115"/>
    </row>
    <row r="55" spans="1:11" s="119" customFormat="1" x14ac:dyDescent="0.2">
      <c r="A55" s="34"/>
      <c r="B55" s="115"/>
      <c r="C55" s="115"/>
      <c r="D55" s="300"/>
      <c r="E55" s="300"/>
      <c r="F55" s="350"/>
      <c r="G55" s="300"/>
      <c r="H55" s="114"/>
      <c r="I55" s="115"/>
      <c r="J55" s="276"/>
      <c r="K55" s="115"/>
    </row>
    <row r="56" spans="1:11" s="119" customFormat="1" x14ac:dyDescent="0.2">
      <c r="A56" s="34"/>
      <c r="B56" s="115"/>
      <c r="C56" s="115"/>
      <c r="D56" s="300"/>
      <c r="E56" s="300"/>
      <c r="F56" s="350"/>
      <c r="G56" s="300"/>
      <c r="H56" s="114"/>
      <c r="I56" s="115"/>
      <c r="J56" s="276"/>
      <c r="K56" s="115"/>
    </row>
    <row r="57" spans="1:11" s="119" customFormat="1" x14ac:dyDescent="0.2">
      <c r="A57" s="34"/>
      <c r="B57" s="115"/>
      <c r="C57" s="115"/>
      <c r="D57" s="300"/>
      <c r="E57" s="300"/>
      <c r="F57" s="350"/>
      <c r="G57" s="300"/>
      <c r="H57" s="114"/>
      <c r="I57" s="115"/>
      <c r="J57" s="276"/>
      <c r="K57" s="301"/>
    </row>
    <row r="58" spans="1:11" s="119" customFormat="1" x14ac:dyDescent="0.2">
      <c r="A58" s="34"/>
      <c r="B58" s="115"/>
      <c r="C58" s="115"/>
      <c r="D58" s="300"/>
      <c r="E58" s="300"/>
      <c r="F58" s="350"/>
      <c r="G58" s="300"/>
      <c r="H58" s="114"/>
      <c r="I58" s="115"/>
      <c r="J58" s="276"/>
      <c r="K58" s="115"/>
    </row>
    <row r="59" spans="1:11" s="119" customFormat="1" x14ac:dyDescent="0.2">
      <c r="A59" s="34"/>
      <c r="B59" s="115"/>
      <c r="C59" s="115"/>
      <c r="D59" s="300"/>
      <c r="E59" s="300"/>
      <c r="F59" s="350"/>
      <c r="G59" s="300"/>
      <c r="H59" s="114"/>
      <c r="I59" s="115"/>
      <c r="J59" s="276"/>
      <c r="K59" s="115"/>
    </row>
    <row r="60" spans="1:11" s="119" customFormat="1" x14ac:dyDescent="0.2">
      <c r="A60" s="34"/>
      <c r="B60" s="115"/>
      <c r="C60" s="115"/>
      <c r="D60" s="300"/>
      <c r="E60" s="300"/>
      <c r="F60" s="350"/>
      <c r="G60" s="300"/>
      <c r="H60" s="114"/>
      <c r="I60" s="115"/>
      <c r="J60" s="276"/>
      <c r="K60" s="115"/>
    </row>
    <row r="61" spans="1:11" s="119" customFormat="1" x14ac:dyDescent="0.2">
      <c r="A61" s="34"/>
      <c r="B61" s="115"/>
      <c r="C61" s="115"/>
      <c r="D61" s="300"/>
      <c r="E61" s="300"/>
      <c r="F61" s="350"/>
      <c r="G61" s="300"/>
      <c r="H61" s="114"/>
      <c r="I61" s="115"/>
      <c r="J61" s="276"/>
      <c r="K61" s="115"/>
    </row>
    <row r="62" spans="1:11" s="119" customFormat="1" x14ac:dyDescent="0.2">
      <c r="A62" s="34"/>
      <c r="B62" s="115"/>
      <c r="C62" s="115"/>
      <c r="D62" s="300"/>
      <c r="E62" s="300"/>
      <c r="F62" s="350"/>
      <c r="G62" s="300"/>
      <c r="H62" s="114"/>
      <c r="I62" s="115"/>
      <c r="J62" s="276"/>
      <c r="K62" s="115"/>
    </row>
    <row r="63" spans="1:11" s="119" customFormat="1" x14ac:dyDescent="0.2">
      <c r="A63" s="34"/>
      <c r="B63" s="115"/>
      <c r="C63" s="115"/>
      <c r="D63" s="300"/>
      <c r="E63" s="300"/>
      <c r="F63" s="350"/>
      <c r="G63" s="300"/>
      <c r="H63" s="114"/>
      <c r="I63" s="115"/>
      <c r="J63" s="276"/>
      <c r="K63" s="115"/>
    </row>
    <row r="64" spans="1:11" s="119" customFormat="1" x14ac:dyDescent="0.2">
      <c r="A64" s="34"/>
      <c r="B64" s="115"/>
      <c r="C64" s="115"/>
      <c r="D64" s="300"/>
      <c r="E64" s="300"/>
      <c r="F64" s="350"/>
      <c r="G64" s="300"/>
      <c r="H64" s="114"/>
      <c r="I64" s="115"/>
      <c r="J64" s="276"/>
      <c r="K64" s="115"/>
    </row>
    <row r="65" spans="1:65" s="119" customFormat="1" x14ac:dyDescent="0.2">
      <c r="A65" s="34"/>
      <c r="B65" s="115"/>
      <c r="C65" s="115"/>
      <c r="D65" s="300"/>
      <c r="E65" s="300"/>
      <c r="F65" s="350"/>
      <c r="G65" s="300"/>
      <c r="H65" s="114"/>
      <c r="I65" s="115"/>
      <c r="J65" s="276"/>
      <c r="K65" s="115"/>
    </row>
    <row r="66" spans="1:65" s="119" customFormat="1" x14ac:dyDescent="0.2">
      <c r="A66" s="34"/>
      <c r="B66" s="117"/>
      <c r="C66" s="117"/>
      <c r="D66" s="60"/>
      <c r="E66" s="60"/>
      <c r="F66" s="80"/>
      <c r="G66" s="60"/>
      <c r="H66" s="60"/>
      <c r="I66" s="117"/>
      <c r="J66" s="36"/>
      <c r="K66" s="117"/>
    </row>
    <row r="67" spans="1:65" s="119" customFormat="1" x14ac:dyDescent="0.2">
      <c r="A67" s="34"/>
      <c r="B67" s="115"/>
      <c r="C67" s="115"/>
      <c r="D67" s="300"/>
      <c r="E67" s="300"/>
      <c r="F67" s="350"/>
      <c r="G67" s="114"/>
      <c r="H67" s="114"/>
      <c r="I67" s="115"/>
      <c r="J67" s="276"/>
      <c r="K67" s="115"/>
    </row>
    <row r="68" spans="1:65" s="119" customFormat="1" x14ac:dyDescent="0.2">
      <c r="A68" s="34"/>
      <c r="B68" s="117"/>
      <c r="C68" s="115"/>
      <c r="D68" s="251"/>
      <c r="E68" s="300"/>
      <c r="F68" s="350"/>
      <c r="G68" s="60"/>
      <c r="H68" s="60"/>
      <c r="I68" s="117"/>
      <c r="J68" s="276"/>
      <c r="K68" s="117"/>
    </row>
    <row r="69" spans="1:65" s="119" customFormat="1" x14ac:dyDescent="0.2">
      <c r="A69" s="34"/>
      <c r="B69" s="41"/>
      <c r="C69" s="87"/>
      <c r="D69" s="36"/>
      <c r="E69" s="36"/>
      <c r="F69" s="43"/>
      <c r="G69" s="36"/>
      <c r="H69" s="36"/>
      <c r="I69" s="37"/>
      <c r="J69" s="36"/>
      <c r="K69" s="41"/>
    </row>
    <row r="70" spans="1:65" s="41" customFormat="1" x14ac:dyDescent="0.2">
      <c r="A70" s="34"/>
      <c r="C70" s="37"/>
      <c r="D70" s="36"/>
      <c r="E70" s="36"/>
      <c r="F70" s="43"/>
      <c r="G70" s="36"/>
      <c r="H70" s="36"/>
      <c r="I70" s="37"/>
      <c r="J70" s="36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119"/>
      <c r="BF70" s="119"/>
      <c r="BG70" s="119"/>
      <c r="BH70" s="119"/>
      <c r="BI70" s="119"/>
      <c r="BJ70" s="119"/>
      <c r="BK70" s="119"/>
      <c r="BL70" s="119"/>
      <c r="BM70" s="119"/>
    </row>
    <row r="71" spans="1:65" s="41" customFormat="1" x14ac:dyDescent="0.2">
      <c r="A71" s="34"/>
      <c r="C71" s="37"/>
      <c r="D71" s="36"/>
      <c r="E71" s="36"/>
      <c r="F71" s="43"/>
      <c r="G71" s="36"/>
      <c r="H71" s="36"/>
      <c r="I71" s="37"/>
      <c r="J71" s="36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  <c r="AA71" s="119"/>
      <c r="AB71" s="119"/>
      <c r="AC71" s="119"/>
      <c r="AD71" s="119"/>
      <c r="AE71" s="119"/>
      <c r="AF71" s="119"/>
      <c r="AG71" s="119"/>
      <c r="AH71" s="119"/>
      <c r="AI71" s="119"/>
      <c r="AJ71" s="119"/>
      <c r="AK71" s="119"/>
      <c r="AL71" s="119"/>
      <c r="AM71" s="119"/>
      <c r="AN71" s="119"/>
      <c r="AO71" s="119"/>
      <c r="AP71" s="119"/>
      <c r="AQ71" s="119"/>
      <c r="AR71" s="119"/>
      <c r="AS71" s="119"/>
      <c r="AT71" s="119"/>
      <c r="AU71" s="119"/>
      <c r="AV71" s="119"/>
      <c r="AW71" s="119"/>
      <c r="AX71" s="119"/>
      <c r="AY71" s="119"/>
      <c r="AZ71" s="119"/>
      <c r="BA71" s="119"/>
      <c r="BB71" s="119"/>
      <c r="BC71" s="119"/>
      <c r="BD71" s="119"/>
      <c r="BE71" s="119"/>
      <c r="BF71" s="119"/>
      <c r="BG71" s="119"/>
      <c r="BH71" s="119"/>
      <c r="BI71" s="119"/>
      <c r="BJ71" s="119"/>
      <c r="BK71" s="119"/>
      <c r="BL71" s="119"/>
      <c r="BM71" s="119"/>
    </row>
    <row r="72" spans="1:65" s="41" customFormat="1" x14ac:dyDescent="0.2">
      <c r="A72" s="34"/>
      <c r="C72" s="37"/>
      <c r="D72" s="36"/>
      <c r="E72" s="36"/>
      <c r="F72" s="43"/>
      <c r="G72" s="36"/>
      <c r="H72" s="36"/>
      <c r="I72" s="37"/>
      <c r="J72" s="36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  <c r="AA72" s="119"/>
      <c r="AB72" s="119"/>
      <c r="AC72" s="119"/>
      <c r="AD72" s="119"/>
      <c r="AE72" s="119"/>
      <c r="AF72" s="119"/>
      <c r="AG72" s="119"/>
      <c r="AH72" s="119"/>
      <c r="AI72" s="119"/>
      <c r="AJ72" s="119"/>
      <c r="AK72" s="119"/>
      <c r="AL72" s="119"/>
      <c r="AM72" s="119"/>
      <c r="AN72" s="119"/>
      <c r="AO72" s="119"/>
      <c r="AP72" s="119"/>
      <c r="AQ72" s="119"/>
      <c r="AR72" s="119"/>
      <c r="AS72" s="119"/>
      <c r="AT72" s="119"/>
      <c r="AU72" s="119"/>
      <c r="AV72" s="119"/>
      <c r="AW72" s="119"/>
      <c r="AX72" s="119"/>
      <c r="AY72" s="119"/>
      <c r="AZ72" s="119"/>
      <c r="BA72" s="119"/>
      <c r="BB72" s="119"/>
      <c r="BC72" s="119"/>
      <c r="BD72" s="119"/>
      <c r="BE72" s="119"/>
      <c r="BF72" s="119"/>
      <c r="BG72" s="119"/>
      <c r="BH72" s="119"/>
      <c r="BI72" s="119"/>
      <c r="BJ72" s="119"/>
      <c r="BK72" s="119"/>
      <c r="BL72" s="119"/>
      <c r="BM72" s="119"/>
    </row>
    <row r="73" spans="1:65" s="41" customFormat="1" x14ac:dyDescent="0.2">
      <c r="A73" s="34"/>
      <c r="C73" s="37"/>
      <c r="D73" s="36"/>
      <c r="E73" s="36"/>
      <c r="F73" s="43"/>
      <c r="G73" s="36"/>
      <c r="H73" s="36"/>
      <c r="I73" s="37"/>
      <c r="J73" s="36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119"/>
      <c r="BF73" s="119"/>
      <c r="BG73" s="119"/>
      <c r="BH73" s="119"/>
      <c r="BI73" s="119"/>
      <c r="BJ73" s="119"/>
      <c r="BK73" s="119"/>
      <c r="BL73" s="119"/>
      <c r="BM73" s="119"/>
    </row>
    <row r="74" spans="1:65" s="41" customFormat="1" x14ac:dyDescent="0.2">
      <c r="A74" s="34"/>
      <c r="C74" s="37"/>
      <c r="D74" s="36"/>
      <c r="E74" s="36"/>
      <c r="F74" s="43"/>
      <c r="G74" s="36"/>
      <c r="H74" s="36"/>
      <c r="I74" s="37"/>
      <c r="J74" s="36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119"/>
      <c r="BF74" s="119"/>
      <c r="BG74" s="119"/>
      <c r="BH74" s="119"/>
      <c r="BI74" s="119"/>
      <c r="BJ74" s="119"/>
      <c r="BK74" s="119"/>
      <c r="BL74" s="119"/>
      <c r="BM74" s="119"/>
    </row>
    <row r="75" spans="1:65" s="41" customFormat="1" x14ac:dyDescent="0.2">
      <c r="A75" s="34"/>
      <c r="C75" s="37"/>
      <c r="D75" s="36"/>
      <c r="E75" s="36"/>
      <c r="F75" s="43"/>
      <c r="G75" s="36"/>
      <c r="H75" s="36"/>
      <c r="I75" s="37"/>
      <c r="J75" s="36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  <c r="AA75" s="119"/>
      <c r="AB75" s="119"/>
      <c r="AC75" s="119"/>
      <c r="AD75" s="119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19"/>
      <c r="BA75" s="119"/>
      <c r="BB75" s="119"/>
      <c r="BC75" s="119"/>
      <c r="BD75" s="119"/>
      <c r="BE75" s="119"/>
      <c r="BF75" s="119"/>
      <c r="BG75" s="119"/>
      <c r="BH75" s="119"/>
      <c r="BI75" s="119"/>
      <c r="BJ75" s="119"/>
      <c r="BK75" s="119"/>
      <c r="BL75" s="119"/>
      <c r="BM75" s="119"/>
    </row>
    <row r="76" spans="1:65" s="41" customFormat="1" x14ac:dyDescent="0.2">
      <c r="A76" s="34"/>
      <c r="C76" s="37"/>
      <c r="D76" s="36"/>
      <c r="E76" s="36"/>
      <c r="F76" s="43"/>
      <c r="G76" s="36"/>
      <c r="H76" s="36"/>
      <c r="I76" s="37"/>
      <c r="J76" s="36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119"/>
      <c r="BF76" s="119"/>
      <c r="BG76" s="119"/>
      <c r="BH76" s="119"/>
      <c r="BI76" s="119"/>
      <c r="BJ76" s="119"/>
      <c r="BK76" s="119"/>
      <c r="BL76" s="119"/>
      <c r="BM76" s="119"/>
    </row>
    <row r="77" spans="1:65" s="41" customFormat="1" x14ac:dyDescent="0.2">
      <c r="A77" s="34"/>
      <c r="C77" s="37"/>
      <c r="D77" s="36"/>
      <c r="E77" s="36"/>
      <c r="F77" s="43"/>
      <c r="G77" s="36"/>
      <c r="H77" s="36"/>
      <c r="I77" s="37"/>
      <c r="J77" s="36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119"/>
      <c r="AD77" s="119"/>
      <c r="AE77" s="119"/>
      <c r="AF77" s="119"/>
      <c r="AG77" s="119"/>
      <c r="AH77" s="119"/>
      <c r="AI77" s="119"/>
      <c r="AJ77" s="119"/>
      <c r="AK77" s="119"/>
      <c r="AL77" s="119"/>
      <c r="AM77" s="119"/>
      <c r="AN77" s="119"/>
      <c r="AO77" s="119"/>
      <c r="AP77" s="119"/>
      <c r="AQ77" s="119"/>
      <c r="AR77" s="119"/>
      <c r="AS77" s="119"/>
      <c r="AT77" s="119"/>
      <c r="AU77" s="119"/>
      <c r="AV77" s="119"/>
      <c r="AW77" s="119"/>
      <c r="AX77" s="119"/>
      <c r="AY77" s="119"/>
      <c r="AZ77" s="119"/>
      <c r="BA77" s="119"/>
      <c r="BB77" s="119"/>
      <c r="BC77" s="119"/>
      <c r="BD77" s="119"/>
      <c r="BE77" s="119"/>
      <c r="BF77" s="119"/>
      <c r="BG77" s="119"/>
      <c r="BH77" s="119"/>
      <c r="BI77" s="119"/>
      <c r="BJ77" s="119"/>
      <c r="BK77" s="119"/>
      <c r="BL77" s="119"/>
      <c r="BM77" s="119"/>
    </row>
    <row r="78" spans="1:65" s="41" customFormat="1" x14ac:dyDescent="0.2">
      <c r="A78" s="34"/>
      <c r="C78" s="37"/>
      <c r="D78" s="36"/>
      <c r="E78" s="36"/>
      <c r="F78" s="43"/>
      <c r="G78" s="36"/>
      <c r="H78" s="36"/>
      <c r="I78" s="37"/>
      <c r="J78" s="36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119"/>
      <c r="BF78" s="119"/>
      <c r="BG78" s="119"/>
      <c r="BH78" s="119"/>
      <c r="BI78" s="119"/>
      <c r="BJ78" s="119"/>
      <c r="BK78" s="119"/>
      <c r="BL78" s="119"/>
      <c r="BM78" s="119"/>
    </row>
  </sheetData>
  <sheetProtection algorithmName="SHA-512" hashValue="TRGehNoXEsAhyfG6EqNeNyf5GLYaFA0cEFkYHOKmRC0/k016r0CfAnDxh9t9eNFBBM8PB3NFUMMyN9CJVfTu2A==" saltValue="+uv3QED8sT2lh2u1H9pq2Q==" spinCount="100000" sheet="1" insertRows="0" deleteRows="0" sort="0" autoFilter="0"/>
  <mergeCells count="1">
    <mergeCell ref="A1:K1"/>
  </mergeCells>
  <conditionalFormatting sqref="J9:J100">
    <cfRule type="containsText" dxfId="48" priority="5" operator="containsText" text="DELIVERABLE STILL IN PROGRESS">
      <formula>NOT(ISERROR(SEARCH("DELIVERABLE STILL IN PROGRESS",J9)))</formula>
    </cfRule>
    <cfRule type="containsText" dxfId="47" priority="6" operator="containsText" text="DELIVERABLE COMPLETED">
      <formula>NOT(ISERROR(SEARCH("DELIVERABLE COMPLETED",J9)))</formula>
    </cfRule>
    <cfRule type="cellIs" dxfId="46" priority="7" stopIfTrue="1" operator="equal">
      <formula>"OVERDUE"</formula>
    </cfRule>
    <cfRule type="cellIs" dxfId="45" priority="8" stopIfTrue="1" operator="equal">
      <formula>"COMPLETED"</formula>
    </cfRule>
    <cfRule type="cellIs" dxfId="44" priority="46" stopIfTrue="1" operator="equal">
      <formula>"ISSUE IDENTIFIED"</formula>
    </cfRule>
  </conditionalFormatting>
  <conditionalFormatting sqref="F9:F100">
    <cfRule type="cellIs" dxfId="43" priority="2" operator="lessThan">
      <formula>-1000</formula>
    </cfRule>
  </conditionalFormatting>
  <conditionalFormatting sqref="D9:E29">
    <cfRule type="cellIs" dxfId="42" priority="1" operator="equal">
      <formula>0</formula>
    </cfRule>
  </conditionalFormatting>
  <printOptions horizontalCentered="1"/>
  <pageMargins left="0.25" right="0.25" top="0.5" bottom="0.75" header="0.25" footer="0.5"/>
  <pageSetup scale="42" fitToHeight="2" orientation="landscape" r:id="rId1"/>
  <headerFooter alignWithMargins="0">
    <oddFooter>&amp;L&amp;K0C3964&amp;F, &amp;A Worksheet, &amp;D&amp;C&amp;"-,Bold Italic"&amp;14&amp;KC85532Confidential&amp;11&amp;K0C3964
&amp;R&amp;G</oddFooter>
  </headerFooter>
  <legacy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C85532"/>
    <pageSetUpPr fitToPage="1"/>
  </sheetPr>
  <dimension ref="A1:K39"/>
  <sheetViews>
    <sheetView showGridLines="0" zoomScaleNormal="100" workbookViewId="0">
      <selection sqref="A1:XFD1"/>
    </sheetView>
  </sheetViews>
  <sheetFormatPr defaultRowHeight="12.75" x14ac:dyDescent="0.2"/>
  <cols>
    <col min="1" max="1" width="11.85546875" style="9" bestFit="1" customWidth="1"/>
    <col min="2" max="2" width="36.28515625" style="10" customWidth="1"/>
    <col min="3" max="3" width="17.42578125" style="9" bestFit="1" customWidth="1"/>
    <col min="4" max="4" width="17.42578125" style="11" bestFit="1" customWidth="1"/>
    <col min="5" max="6" width="11.7109375" style="9" customWidth="1"/>
    <col min="7" max="7" width="24.7109375" style="9" bestFit="1" customWidth="1"/>
    <col min="8" max="8" width="9.42578125" style="9" bestFit="1" customWidth="1"/>
    <col min="9" max="9" width="34.5703125" style="10" customWidth="1"/>
    <col min="10" max="10" width="15.5703125" style="9" customWidth="1"/>
    <col min="11" max="256" width="9.140625" style="9"/>
    <col min="257" max="257" width="10.7109375" style="9" customWidth="1"/>
    <col min="258" max="258" width="50.7109375" style="9" customWidth="1"/>
    <col min="259" max="259" width="15.5703125" style="9" customWidth="1"/>
    <col min="260" max="260" width="13.140625" style="9" customWidth="1"/>
    <col min="261" max="263" width="10.7109375" style="9" customWidth="1"/>
    <col min="264" max="264" width="15.7109375" style="9" customWidth="1"/>
    <col min="265" max="265" width="40.7109375" style="9" customWidth="1"/>
    <col min="266" max="266" width="15.5703125" style="9" customWidth="1"/>
    <col min="267" max="512" width="9.140625" style="9"/>
    <col min="513" max="513" width="10.7109375" style="9" customWidth="1"/>
    <col min="514" max="514" width="50.7109375" style="9" customWidth="1"/>
    <col min="515" max="515" width="15.5703125" style="9" customWidth="1"/>
    <col min="516" max="516" width="13.140625" style="9" customWidth="1"/>
    <col min="517" max="519" width="10.7109375" style="9" customWidth="1"/>
    <col min="520" max="520" width="15.7109375" style="9" customWidth="1"/>
    <col min="521" max="521" width="40.7109375" style="9" customWidth="1"/>
    <col min="522" max="522" width="15.5703125" style="9" customWidth="1"/>
    <col min="523" max="768" width="9.140625" style="9"/>
    <col min="769" max="769" width="10.7109375" style="9" customWidth="1"/>
    <col min="770" max="770" width="50.7109375" style="9" customWidth="1"/>
    <col min="771" max="771" width="15.5703125" style="9" customWidth="1"/>
    <col min="772" max="772" width="13.140625" style="9" customWidth="1"/>
    <col min="773" max="775" width="10.7109375" style="9" customWidth="1"/>
    <col min="776" max="776" width="15.7109375" style="9" customWidth="1"/>
    <col min="777" max="777" width="40.7109375" style="9" customWidth="1"/>
    <col min="778" max="778" width="15.5703125" style="9" customWidth="1"/>
    <col min="779" max="1024" width="9.140625" style="9"/>
    <col min="1025" max="1025" width="10.7109375" style="9" customWidth="1"/>
    <col min="1026" max="1026" width="50.7109375" style="9" customWidth="1"/>
    <col min="1027" max="1027" width="15.5703125" style="9" customWidth="1"/>
    <col min="1028" max="1028" width="13.140625" style="9" customWidth="1"/>
    <col min="1029" max="1031" width="10.7109375" style="9" customWidth="1"/>
    <col min="1032" max="1032" width="15.7109375" style="9" customWidth="1"/>
    <col min="1033" max="1033" width="40.7109375" style="9" customWidth="1"/>
    <col min="1034" max="1034" width="15.5703125" style="9" customWidth="1"/>
    <col min="1035" max="1280" width="9.140625" style="9"/>
    <col min="1281" max="1281" width="10.7109375" style="9" customWidth="1"/>
    <col min="1282" max="1282" width="50.7109375" style="9" customWidth="1"/>
    <col min="1283" max="1283" width="15.5703125" style="9" customWidth="1"/>
    <col min="1284" max="1284" width="13.140625" style="9" customWidth="1"/>
    <col min="1285" max="1287" width="10.7109375" style="9" customWidth="1"/>
    <col min="1288" max="1288" width="15.7109375" style="9" customWidth="1"/>
    <col min="1289" max="1289" width="40.7109375" style="9" customWidth="1"/>
    <col min="1290" max="1290" width="15.5703125" style="9" customWidth="1"/>
    <col min="1291" max="1536" width="9.140625" style="9"/>
    <col min="1537" max="1537" width="10.7109375" style="9" customWidth="1"/>
    <col min="1538" max="1538" width="50.7109375" style="9" customWidth="1"/>
    <col min="1539" max="1539" width="15.5703125" style="9" customWidth="1"/>
    <col min="1540" max="1540" width="13.140625" style="9" customWidth="1"/>
    <col min="1541" max="1543" width="10.7109375" style="9" customWidth="1"/>
    <col min="1544" max="1544" width="15.7109375" style="9" customWidth="1"/>
    <col min="1545" max="1545" width="40.7109375" style="9" customWidth="1"/>
    <col min="1546" max="1546" width="15.5703125" style="9" customWidth="1"/>
    <col min="1547" max="1792" width="9.140625" style="9"/>
    <col min="1793" max="1793" width="10.7109375" style="9" customWidth="1"/>
    <col min="1794" max="1794" width="50.7109375" style="9" customWidth="1"/>
    <col min="1795" max="1795" width="15.5703125" style="9" customWidth="1"/>
    <col min="1796" max="1796" width="13.140625" style="9" customWidth="1"/>
    <col min="1797" max="1799" width="10.7109375" style="9" customWidth="1"/>
    <col min="1800" max="1800" width="15.7109375" style="9" customWidth="1"/>
    <col min="1801" max="1801" width="40.7109375" style="9" customWidth="1"/>
    <col min="1802" max="1802" width="15.5703125" style="9" customWidth="1"/>
    <col min="1803" max="2048" width="9.140625" style="9"/>
    <col min="2049" max="2049" width="10.7109375" style="9" customWidth="1"/>
    <col min="2050" max="2050" width="50.7109375" style="9" customWidth="1"/>
    <col min="2051" max="2051" width="15.5703125" style="9" customWidth="1"/>
    <col min="2052" max="2052" width="13.140625" style="9" customWidth="1"/>
    <col min="2053" max="2055" width="10.7109375" style="9" customWidth="1"/>
    <col min="2056" max="2056" width="15.7109375" style="9" customWidth="1"/>
    <col min="2057" max="2057" width="40.7109375" style="9" customWidth="1"/>
    <col min="2058" max="2058" width="15.5703125" style="9" customWidth="1"/>
    <col min="2059" max="2304" width="9.140625" style="9"/>
    <col min="2305" max="2305" width="10.7109375" style="9" customWidth="1"/>
    <col min="2306" max="2306" width="50.7109375" style="9" customWidth="1"/>
    <col min="2307" max="2307" width="15.5703125" style="9" customWidth="1"/>
    <col min="2308" max="2308" width="13.140625" style="9" customWidth="1"/>
    <col min="2309" max="2311" width="10.7109375" style="9" customWidth="1"/>
    <col min="2312" max="2312" width="15.7109375" style="9" customWidth="1"/>
    <col min="2313" max="2313" width="40.7109375" style="9" customWidth="1"/>
    <col min="2314" max="2314" width="15.5703125" style="9" customWidth="1"/>
    <col min="2315" max="2560" width="9.140625" style="9"/>
    <col min="2561" max="2561" width="10.7109375" style="9" customWidth="1"/>
    <col min="2562" max="2562" width="50.7109375" style="9" customWidth="1"/>
    <col min="2563" max="2563" width="15.5703125" style="9" customWidth="1"/>
    <col min="2564" max="2564" width="13.140625" style="9" customWidth="1"/>
    <col min="2565" max="2567" width="10.7109375" style="9" customWidth="1"/>
    <col min="2568" max="2568" width="15.7109375" style="9" customWidth="1"/>
    <col min="2569" max="2569" width="40.7109375" style="9" customWidth="1"/>
    <col min="2570" max="2570" width="15.5703125" style="9" customWidth="1"/>
    <col min="2571" max="2816" width="9.140625" style="9"/>
    <col min="2817" max="2817" width="10.7109375" style="9" customWidth="1"/>
    <col min="2818" max="2818" width="50.7109375" style="9" customWidth="1"/>
    <col min="2819" max="2819" width="15.5703125" style="9" customWidth="1"/>
    <col min="2820" max="2820" width="13.140625" style="9" customWidth="1"/>
    <col min="2821" max="2823" width="10.7109375" style="9" customWidth="1"/>
    <col min="2824" max="2824" width="15.7109375" style="9" customWidth="1"/>
    <col min="2825" max="2825" width="40.7109375" style="9" customWidth="1"/>
    <col min="2826" max="2826" width="15.5703125" style="9" customWidth="1"/>
    <col min="2827" max="3072" width="9.140625" style="9"/>
    <col min="3073" max="3073" width="10.7109375" style="9" customWidth="1"/>
    <col min="3074" max="3074" width="50.7109375" style="9" customWidth="1"/>
    <col min="3075" max="3075" width="15.5703125" style="9" customWidth="1"/>
    <col min="3076" max="3076" width="13.140625" style="9" customWidth="1"/>
    <col min="3077" max="3079" width="10.7109375" style="9" customWidth="1"/>
    <col min="3080" max="3080" width="15.7109375" style="9" customWidth="1"/>
    <col min="3081" max="3081" width="40.7109375" style="9" customWidth="1"/>
    <col min="3082" max="3082" width="15.5703125" style="9" customWidth="1"/>
    <col min="3083" max="3328" width="9.140625" style="9"/>
    <col min="3329" max="3329" width="10.7109375" style="9" customWidth="1"/>
    <col min="3330" max="3330" width="50.7109375" style="9" customWidth="1"/>
    <col min="3331" max="3331" width="15.5703125" style="9" customWidth="1"/>
    <col min="3332" max="3332" width="13.140625" style="9" customWidth="1"/>
    <col min="3333" max="3335" width="10.7109375" style="9" customWidth="1"/>
    <col min="3336" max="3336" width="15.7109375" style="9" customWidth="1"/>
    <col min="3337" max="3337" width="40.7109375" style="9" customWidth="1"/>
    <col min="3338" max="3338" width="15.5703125" style="9" customWidth="1"/>
    <col min="3339" max="3584" width="9.140625" style="9"/>
    <col min="3585" max="3585" width="10.7109375" style="9" customWidth="1"/>
    <col min="3586" max="3586" width="50.7109375" style="9" customWidth="1"/>
    <col min="3587" max="3587" width="15.5703125" style="9" customWidth="1"/>
    <col min="3588" max="3588" width="13.140625" style="9" customWidth="1"/>
    <col min="3589" max="3591" width="10.7109375" style="9" customWidth="1"/>
    <col min="3592" max="3592" width="15.7109375" style="9" customWidth="1"/>
    <col min="3593" max="3593" width="40.7109375" style="9" customWidth="1"/>
    <col min="3594" max="3594" width="15.5703125" style="9" customWidth="1"/>
    <col min="3595" max="3840" width="9.140625" style="9"/>
    <col min="3841" max="3841" width="10.7109375" style="9" customWidth="1"/>
    <col min="3842" max="3842" width="50.7109375" style="9" customWidth="1"/>
    <col min="3843" max="3843" width="15.5703125" style="9" customWidth="1"/>
    <col min="3844" max="3844" width="13.140625" style="9" customWidth="1"/>
    <col min="3845" max="3847" width="10.7109375" style="9" customWidth="1"/>
    <col min="3848" max="3848" width="15.7109375" style="9" customWidth="1"/>
    <col min="3849" max="3849" width="40.7109375" style="9" customWidth="1"/>
    <col min="3850" max="3850" width="15.5703125" style="9" customWidth="1"/>
    <col min="3851" max="4096" width="9.140625" style="9"/>
    <col min="4097" max="4097" width="10.7109375" style="9" customWidth="1"/>
    <col min="4098" max="4098" width="50.7109375" style="9" customWidth="1"/>
    <col min="4099" max="4099" width="15.5703125" style="9" customWidth="1"/>
    <col min="4100" max="4100" width="13.140625" style="9" customWidth="1"/>
    <col min="4101" max="4103" width="10.7109375" style="9" customWidth="1"/>
    <col min="4104" max="4104" width="15.7109375" style="9" customWidth="1"/>
    <col min="4105" max="4105" width="40.7109375" style="9" customWidth="1"/>
    <col min="4106" max="4106" width="15.5703125" style="9" customWidth="1"/>
    <col min="4107" max="4352" width="9.140625" style="9"/>
    <col min="4353" max="4353" width="10.7109375" style="9" customWidth="1"/>
    <col min="4354" max="4354" width="50.7109375" style="9" customWidth="1"/>
    <col min="4355" max="4355" width="15.5703125" style="9" customWidth="1"/>
    <col min="4356" max="4356" width="13.140625" style="9" customWidth="1"/>
    <col min="4357" max="4359" width="10.7109375" style="9" customWidth="1"/>
    <col min="4360" max="4360" width="15.7109375" style="9" customWidth="1"/>
    <col min="4361" max="4361" width="40.7109375" style="9" customWidth="1"/>
    <col min="4362" max="4362" width="15.5703125" style="9" customWidth="1"/>
    <col min="4363" max="4608" width="9.140625" style="9"/>
    <col min="4609" max="4609" width="10.7109375" style="9" customWidth="1"/>
    <col min="4610" max="4610" width="50.7109375" style="9" customWidth="1"/>
    <col min="4611" max="4611" width="15.5703125" style="9" customWidth="1"/>
    <col min="4612" max="4612" width="13.140625" style="9" customWidth="1"/>
    <col min="4613" max="4615" width="10.7109375" style="9" customWidth="1"/>
    <col min="4616" max="4616" width="15.7109375" style="9" customWidth="1"/>
    <col min="4617" max="4617" width="40.7109375" style="9" customWidth="1"/>
    <col min="4618" max="4618" width="15.5703125" style="9" customWidth="1"/>
    <col min="4619" max="4864" width="9.140625" style="9"/>
    <col min="4865" max="4865" width="10.7109375" style="9" customWidth="1"/>
    <col min="4866" max="4866" width="50.7109375" style="9" customWidth="1"/>
    <col min="4867" max="4867" width="15.5703125" style="9" customWidth="1"/>
    <col min="4868" max="4868" width="13.140625" style="9" customWidth="1"/>
    <col min="4869" max="4871" width="10.7109375" style="9" customWidth="1"/>
    <col min="4872" max="4872" width="15.7109375" style="9" customWidth="1"/>
    <col min="4873" max="4873" width="40.7109375" style="9" customWidth="1"/>
    <col min="4874" max="4874" width="15.5703125" style="9" customWidth="1"/>
    <col min="4875" max="5120" width="9.140625" style="9"/>
    <col min="5121" max="5121" width="10.7109375" style="9" customWidth="1"/>
    <col min="5122" max="5122" width="50.7109375" style="9" customWidth="1"/>
    <col min="5123" max="5123" width="15.5703125" style="9" customWidth="1"/>
    <col min="5124" max="5124" width="13.140625" style="9" customWidth="1"/>
    <col min="5125" max="5127" width="10.7109375" style="9" customWidth="1"/>
    <col min="5128" max="5128" width="15.7109375" style="9" customWidth="1"/>
    <col min="5129" max="5129" width="40.7109375" style="9" customWidth="1"/>
    <col min="5130" max="5130" width="15.5703125" style="9" customWidth="1"/>
    <col min="5131" max="5376" width="9.140625" style="9"/>
    <col min="5377" max="5377" width="10.7109375" style="9" customWidth="1"/>
    <col min="5378" max="5378" width="50.7109375" style="9" customWidth="1"/>
    <col min="5379" max="5379" width="15.5703125" style="9" customWidth="1"/>
    <col min="5380" max="5380" width="13.140625" style="9" customWidth="1"/>
    <col min="5381" max="5383" width="10.7109375" style="9" customWidth="1"/>
    <col min="5384" max="5384" width="15.7109375" style="9" customWidth="1"/>
    <col min="5385" max="5385" width="40.7109375" style="9" customWidth="1"/>
    <col min="5386" max="5386" width="15.5703125" style="9" customWidth="1"/>
    <col min="5387" max="5632" width="9.140625" style="9"/>
    <col min="5633" max="5633" width="10.7109375" style="9" customWidth="1"/>
    <col min="5634" max="5634" width="50.7109375" style="9" customWidth="1"/>
    <col min="5635" max="5635" width="15.5703125" style="9" customWidth="1"/>
    <col min="5636" max="5636" width="13.140625" style="9" customWidth="1"/>
    <col min="5637" max="5639" width="10.7109375" style="9" customWidth="1"/>
    <col min="5640" max="5640" width="15.7109375" style="9" customWidth="1"/>
    <col min="5641" max="5641" width="40.7109375" style="9" customWidth="1"/>
    <col min="5642" max="5642" width="15.5703125" style="9" customWidth="1"/>
    <col min="5643" max="5888" width="9.140625" style="9"/>
    <col min="5889" max="5889" width="10.7109375" style="9" customWidth="1"/>
    <col min="5890" max="5890" width="50.7109375" style="9" customWidth="1"/>
    <col min="5891" max="5891" width="15.5703125" style="9" customWidth="1"/>
    <col min="5892" max="5892" width="13.140625" style="9" customWidth="1"/>
    <col min="5893" max="5895" width="10.7109375" style="9" customWidth="1"/>
    <col min="5896" max="5896" width="15.7109375" style="9" customWidth="1"/>
    <col min="5897" max="5897" width="40.7109375" style="9" customWidth="1"/>
    <col min="5898" max="5898" width="15.5703125" style="9" customWidth="1"/>
    <col min="5899" max="6144" width="9.140625" style="9"/>
    <col min="6145" max="6145" width="10.7109375" style="9" customWidth="1"/>
    <col min="6146" max="6146" width="50.7109375" style="9" customWidth="1"/>
    <col min="6147" max="6147" width="15.5703125" style="9" customWidth="1"/>
    <col min="6148" max="6148" width="13.140625" style="9" customWidth="1"/>
    <col min="6149" max="6151" width="10.7109375" style="9" customWidth="1"/>
    <col min="6152" max="6152" width="15.7109375" style="9" customWidth="1"/>
    <col min="6153" max="6153" width="40.7109375" style="9" customWidth="1"/>
    <col min="6154" max="6154" width="15.5703125" style="9" customWidth="1"/>
    <col min="6155" max="6400" width="9.140625" style="9"/>
    <col min="6401" max="6401" width="10.7109375" style="9" customWidth="1"/>
    <col min="6402" max="6402" width="50.7109375" style="9" customWidth="1"/>
    <col min="6403" max="6403" width="15.5703125" style="9" customWidth="1"/>
    <col min="6404" max="6404" width="13.140625" style="9" customWidth="1"/>
    <col min="6405" max="6407" width="10.7109375" style="9" customWidth="1"/>
    <col min="6408" max="6408" width="15.7109375" style="9" customWidth="1"/>
    <col min="6409" max="6409" width="40.7109375" style="9" customWidth="1"/>
    <col min="6410" max="6410" width="15.5703125" style="9" customWidth="1"/>
    <col min="6411" max="6656" width="9.140625" style="9"/>
    <col min="6657" max="6657" width="10.7109375" style="9" customWidth="1"/>
    <col min="6658" max="6658" width="50.7109375" style="9" customWidth="1"/>
    <col min="6659" max="6659" width="15.5703125" style="9" customWidth="1"/>
    <col min="6660" max="6660" width="13.140625" style="9" customWidth="1"/>
    <col min="6661" max="6663" width="10.7109375" style="9" customWidth="1"/>
    <col min="6664" max="6664" width="15.7109375" style="9" customWidth="1"/>
    <col min="6665" max="6665" width="40.7109375" style="9" customWidth="1"/>
    <col min="6666" max="6666" width="15.5703125" style="9" customWidth="1"/>
    <col min="6667" max="6912" width="9.140625" style="9"/>
    <col min="6913" max="6913" width="10.7109375" style="9" customWidth="1"/>
    <col min="6914" max="6914" width="50.7109375" style="9" customWidth="1"/>
    <col min="6915" max="6915" width="15.5703125" style="9" customWidth="1"/>
    <col min="6916" max="6916" width="13.140625" style="9" customWidth="1"/>
    <col min="6917" max="6919" width="10.7109375" style="9" customWidth="1"/>
    <col min="6920" max="6920" width="15.7109375" style="9" customWidth="1"/>
    <col min="6921" max="6921" width="40.7109375" style="9" customWidth="1"/>
    <col min="6922" max="6922" width="15.5703125" style="9" customWidth="1"/>
    <col min="6923" max="7168" width="9.140625" style="9"/>
    <col min="7169" max="7169" width="10.7109375" style="9" customWidth="1"/>
    <col min="7170" max="7170" width="50.7109375" style="9" customWidth="1"/>
    <col min="7171" max="7171" width="15.5703125" style="9" customWidth="1"/>
    <col min="7172" max="7172" width="13.140625" style="9" customWidth="1"/>
    <col min="7173" max="7175" width="10.7109375" style="9" customWidth="1"/>
    <col min="7176" max="7176" width="15.7109375" style="9" customWidth="1"/>
    <col min="7177" max="7177" width="40.7109375" style="9" customWidth="1"/>
    <col min="7178" max="7178" width="15.5703125" style="9" customWidth="1"/>
    <col min="7179" max="7424" width="9.140625" style="9"/>
    <col min="7425" max="7425" width="10.7109375" style="9" customWidth="1"/>
    <col min="7426" max="7426" width="50.7109375" style="9" customWidth="1"/>
    <col min="7427" max="7427" width="15.5703125" style="9" customWidth="1"/>
    <col min="7428" max="7428" width="13.140625" style="9" customWidth="1"/>
    <col min="7429" max="7431" width="10.7109375" style="9" customWidth="1"/>
    <col min="7432" max="7432" width="15.7109375" style="9" customWidth="1"/>
    <col min="7433" max="7433" width="40.7109375" style="9" customWidth="1"/>
    <col min="7434" max="7434" width="15.5703125" style="9" customWidth="1"/>
    <col min="7435" max="7680" width="9.140625" style="9"/>
    <col min="7681" max="7681" width="10.7109375" style="9" customWidth="1"/>
    <col min="7682" max="7682" width="50.7109375" style="9" customWidth="1"/>
    <col min="7683" max="7683" width="15.5703125" style="9" customWidth="1"/>
    <col min="7684" max="7684" width="13.140625" style="9" customWidth="1"/>
    <col min="7685" max="7687" width="10.7109375" style="9" customWidth="1"/>
    <col min="7688" max="7688" width="15.7109375" style="9" customWidth="1"/>
    <col min="7689" max="7689" width="40.7109375" style="9" customWidth="1"/>
    <col min="7690" max="7690" width="15.5703125" style="9" customWidth="1"/>
    <col min="7691" max="7936" width="9.140625" style="9"/>
    <col min="7937" max="7937" width="10.7109375" style="9" customWidth="1"/>
    <col min="7938" max="7938" width="50.7109375" style="9" customWidth="1"/>
    <col min="7939" max="7939" width="15.5703125" style="9" customWidth="1"/>
    <col min="7940" max="7940" width="13.140625" style="9" customWidth="1"/>
    <col min="7941" max="7943" width="10.7109375" style="9" customWidth="1"/>
    <col min="7944" max="7944" width="15.7109375" style="9" customWidth="1"/>
    <col min="7945" max="7945" width="40.7109375" style="9" customWidth="1"/>
    <col min="7946" max="7946" width="15.5703125" style="9" customWidth="1"/>
    <col min="7947" max="8192" width="9.140625" style="9"/>
    <col min="8193" max="8193" width="10.7109375" style="9" customWidth="1"/>
    <col min="8194" max="8194" width="50.7109375" style="9" customWidth="1"/>
    <col min="8195" max="8195" width="15.5703125" style="9" customWidth="1"/>
    <col min="8196" max="8196" width="13.140625" style="9" customWidth="1"/>
    <col min="8197" max="8199" width="10.7109375" style="9" customWidth="1"/>
    <col min="8200" max="8200" width="15.7109375" style="9" customWidth="1"/>
    <col min="8201" max="8201" width="40.7109375" style="9" customWidth="1"/>
    <col min="8202" max="8202" width="15.5703125" style="9" customWidth="1"/>
    <col min="8203" max="8448" width="9.140625" style="9"/>
    <col min="8449" max="8449" width="10.7109375" style="9" customWidth="1"/>
    <col min="8450" max="8450" width="50.7109375" style="9" customWidth="1"/>
    <col min="8451" max="8451" width="15.5703125" style="9" customWidth="1"/>
    <col min="8452" max="8452" width="13.140625" style="9" customWidth="1"/>
    <col min="8453" max="8455" width="10.7109375" style="9" customWidth="1"/>
    <col min="8456" max="8456" width="15.7109375" style="9" customWidth="1"/>
    <col min="8457" max="8457" width="40.7109375" style="9" customWidth="1"/>
    <col min="8458" max="8458" width="15.5703125" style="9" customWidth="1"/>
    <col min="8459" max="8704" width="9.140625" style="9"/>
    <col min="8705" max="8705" width="10.7109375" style="9" customWidth="1"/>
    <col min="8706" max="8706" width="50.7109375" style="9" customWidth="1"/>
    <col min="8707" max="8707" width="15.5703125" style="9" customWidth="1"/>
    <col min="8708" max="8708" width="13.140625" style="9" customWidth="1"/>
    <col min="8709" max="8711" width="10.7109375" style="9" customWidth="1"/>
    <col min="8712" max="8712" width="15.7109375" style="9" customWidth="1"/>
    <col min="8713" max="8713" width="40.7109375" style="9" customWidth="1"/>
    <col min="8714" max="8714" width="15.5703125" style="9" customWidth="1"/>
    <col min="8715" max="8960" width="9.140625" style="9"/>
    <col min="8961" max="8961" width="10.7109375" style="9" customWidth="1"/>
    <col min="8962" max="8962" width="50.7109375" style="9" customWidth="1"/>
    <col min="8963" max="8963" width="15.5703125" style="9" customWidth="1"/>
    <col min="8964" max="8964" width="13.140625" style="9" customWidth="1"/>
    <col min="8965" max="8967" width="10.7109375" style="9" customWidth="1"/>
    <col min="8968" max="8968" width="15.7109375" style="9" customWidth="1"/>
    <col min="8969" max="8969" width="40.7109375" style="9" customWidth="1"/>
    <col min="8970" max="8970" width="15.5703125" style="9" customWidth="1"/>
    <col min="8971" max="9216" width="9.140625" style="9"/>
    <col min="9217" max="9217" width="10.7109375" style="9" customWidth="1"/>
    <col min="9218" max="9218" width="50.7109375" style="9" customWidth="1"/>
    <col min="9219" max="9219" width="15.5703125" style="9" customWidth="1"/>
    <col min="9220" max="9220" width="13.140625" style="9" customWidth="1"/>
    <col min="9221" max="9223" width="10.7109375" style="9" customWidth="1"/>
    <col min="9224" max="9224" width="15.7109375" style="9" customWidth="1"/>
    <col min="9225" max="9225" width="40.7109375" style="9" customWidth="1"/>
    <col min="9226" max="9226" width="15.5703125" style="9" customWidth="1"/>
    <col min="9227" max="9472" width="9.140625" style="9"/>
    <col min="9473" max="9473" width="10.7109375" style="9" customWidth="1"/>
    <col min="9474" max="9474" width="50.7109375" style="9" customWidth="1"/>
    <col min="9475" max="9475" width="15.5703125" style="9" customWidth="1"/>
    <col min="9476" max="9476" width="13.140625" style="9" customWidth="1"/>
    <col min="9477" max="9479" width="10.7109375" style="9" customWidth="1"/>
    <col min="9480" max="9480" width="15.7109375" style="9" customWidth="1"/>
    <col min="9481" max="9481" width="40.7109375" style="9" customWidth="1"/>
    <col min="9482" max="9482" width="15.5703125" style="9" customWidth="1"/>
    <col min="9483" max="9728" width="9.140625" style="9"/>
    <col min="9729" max="9729" width="10.7109375" style="9" customWidth="1"/>
    <col min="9730" max="9730" width="50.7109375" style="9" customWidth="1"/>
    <col min="9731" max="9731" width="15.5703125" style="9" customWidth="1"/>
    <col min="9732" max="9732" width="13.140625" style="9" customWidth="1"/>
    <col min="9733" max="9735" width="10.7109375" style="9" customWidth="1"/>
    <col min="9736" max="9736" width="15.7109375" style="9" customWidth="1"/>
    <col min="9737" max="9737" width="40.7109375" style="9" customWidth="1"/>
    <col min="9738" max="9738" width="15.5703125" style="9" customWidth="1"/>
    <col min="9739" max="9984" width="9.140625" style="9"/>
    <col min="9985" max="9985" width="10.7109375" style="9" customWidth="1"/>
    <col min="9986" max="9986" width="50.7109375" style="9" customWidth="1"/>
    <col min="9987" max="9987" width="15.5703125" style="9" customWidth="1"/>
    <col min="9988" max="9988" width="13.140625" style="9" customWidth="1"/>
    <col min="9989" max="9991" width="10.7109375" style="9" customWidth="1"/>
    <col min="9992" max="9992" width="15.7109375" style="9" customWidth="1"/>
    <col min="9993" max="9993" width="40.7109375" style="9" customWidth="1"/>
    <col min="9994" max="9994" width="15.5703125" style="9" customWidth="1"/>
    <col min="9995" max="10240" width="9.140625" style="9"/>
    <col min="10241" max="10241" width="10.7109375" style="9" customWidth="1"/>
    <col min="10242" max="10242" width="50.7109375" style="9" customWidth="1"/>
    <col min="10243" max="10243" width="15.5703125" style="9" customWidth="1"/>
    <col min="10244" max="10244" width="13.140625" style="9" customWidth="1"/>
    <col min="10245" max="10247" width="10.7109375" style="9" customWidth="1"/>
    <col min="10248" max="10248" width="15.7109375" style="9" customWidth="1"/>
    <col min="10249" max="10249" width="40.7109375" style="9" customWidth="1"/>
    <col min="10250" max="10250" width="15.5703125" style="9" customWidth="1"/>
    <col min="10251" max="10496" width="9.140625" style="9"/>
    <col min="10497" max="10497" width="10.7109375" style="9" customWidth="1"/>
    <col min="10498" max="10498" width="50.7109375" style="9" customWidth="1"/>
    <col min="10499" max="10499" width="15.5703125" style="9" customWidth="1"/>
    <col min="10500" max="10500" width="13.140625" style="9" customWidth="1"/>
    <col min="10501" max="10503" width="10.7109375" style="9" customWidth="1"/>
    <col min="10504" max="10504" width="15.7109375" style="9" customWidth="1"/>
    <col min="10505" max="10505" width="40.7109375" style="9" customWidth="1"/>
    <col min="10506" max="10506" width="15.5703125" style="9" customWidth="1"/>
    <col min="10507" max="10752" width="9.140625" style="9"/>
    <col min="10753" max="10753" width="10.7109375" style="9" customWidth="1"/>
    <col min="10754" max="10754" width="50.7109375" style="9" customWidth="1"/>
    <col min="10755" max="10755" width="15.5703125" style="9" customWidth="1"/>
    <col min="10756" max="10756" width="13.140625" style="9" customWidth="1"/>
    <col min="10757" max="10759" width="10.7109375" style="9" customWidth="1"/>
    <col min="10760" max="10760" width="15.7109375" style="9" customWidth="1"/>
    <col min="10761" max="10761" width="40.7109375" style="9" customWidth="1"/>
    <col min="10762" max="10762" width="15.5703125" style="9" customWidth="1"/>
    <col min="10763" max="11008" width="9.140625" style="9"/>
    <col min="11009" max="11009" width="10.7109375" style="9" customWidth="1"/>
    <col min="11010" max="11010" width="50.7109375" style="9" customWidth="1"/>
    <col min="11011" max="11011" width="15.5703125" style="9" customWidth="1"/>
    <col min="11012" max="11012" width="13.140625" style="9" customWidth="1"/>
    <col min="11013" max="11015" width="10.7109375" style="9" customWidth="1"/>
    <col min="11016" max="11016" width="15.7109375" style="9" customWidth="1"/>
    <col min="11017" max="11017" width="40.7109375" style="9" customWidth="1"/>
    <col min="11018" max="11018" width="15.5703125" style="9" customWidth="1"/>
    <col min="11019" max="11264" width="9.140625" style="9"/>
    <col min="11265" max="11265" width="10.7109375" style="9" customWidth="1"/>
    <col min="11266" max="11266" width="50.7109375" style="9" customWidth="1"/>
    <col min="11267" max="11267" width="15.5703125" style="9" customWidth="1"/>
    <col min="11268" max="11268" width="13.140625" style="9" customWidth="1"/>
    <col min="11269" max="11271" width="10.7109375" style="9" customWidth="1"/>
    <col min="11272" max="11272" width="15.7109375" style="9" customWidth="1"/>
    <col min="11273" max="11273" width="40.7109375" style="9" customWidth="1"/>
    <col min="11274" max="11274" width="15.5703125" style="9" customWidth="1"/>
    <col min="11275" max="11520" width="9.140625" style="9"/>
    <col min="11521" max="11521" width="10.7109375" style="9" customWidth="1"/>
    <col min="11522" max="11522" width="50.7109375" style="9" customWidth="1"/>
    <col min="11523" max="11523" width="15.5703125" style="9" customWidth="1"/>
    <col min="11524" max="11524" width="13.140625" style="9" customWidth="1"/>
    <col min="11525" max="11527" width="10.7109375" style="9" customWidth="1"/>
    <col min="11528" max="11528" width="15.7109375" style="9" customWidth="1"/>
    <col min="11529" max="11529" width="40.7109375" style="9" customWidth="1"/>
    <col min="11530" max="11530" width="15.5703125" style="9" customWidth="1"/>
    <col min="11531" max="11776" width="9.140625" style="9"/>
    <col min="11777" max="11777" width="10.7109375" style="9" customWidth="1"/>
    <col min="11778" max="11778" width="50.7109375" style="9" customWidth="1"/>
    <col min="11779" max="11779" width="15.5703125" style="9" customWidth="1"/>
    <col min="11780" max="11780" width="13.140625" style="9" customWidth="1"/>
    <col min="11781" max="11783" width="10.7109375" style="9" customWidth="1"/>
    <col min="11784" max="11784" width="15.7109375" style="9" customWidth="1"/>
    <col min="11785" max="11785" width="40.7109375" style="9" customWidth="1"/>
    <col min="11786" max="11786" width="15.5703125" style="9" customWidth="1"/>
    <col min="11787" max="12032" width="9.140625" style="9"/>
    <col min="12033" max="12033" width="10.7109375" style="9" customWidth="1"/>
    <col min="12034" max="12034" width="50.7109375" style="9" customWidth="1"/>
    <col min="12035" max="12035" width="15.5703125" style="9" customWidth="1"/>
    <col min="12036" max="12036" width="13.140625" style="9" customWidth="1"/>
    <col min="12037" max="12039" width="10.7109375" style="9" customWidth="1"/>
    <col min="12040" max="12040" width="15.7109375" style="9" customWidth="1"/>
    <col min="12041" max="12041" width="40.7109375" style="9" customWidth="1"/>
    <col min="12042" max="12042" width="15.5703125" style="9" customWidth="1"/>
    <col min="12043" max="12288" width="9.140625" style="9"/>
    <col min="12289" max="12289" width="10.7109375" style="9" customWidth="1"/>
    <col min="12290" max="12290" width="50.7109375" style="9" customWidth="1"/>
    <col min="12291" max="12291" width="15.5703125" style="9" customWidth="1"/>
    <col min="12292" max="12292" width="13.140625" style="9" customWidth="1"/>
    <col min="12293" max="12295" width="10.7109375" style="9" customWidth="1"/>
    <col min="12296" max="12296" width="15.7109375" style="9" customWidth="1"/>
    <col min="12297" max="12297" width="40.7109375" style="9" customWidth="1"/>
    <col min="12298" max="12298" width="15.5703125" style="9" customWidth="1"/>
    <col min="12299" max="12544" width="9.140625" style="9"/>
    <col min="12545" max="12545" width="10.7109375" style="9" customWidth="1"/>
    <col min="12546" max="12546" width="50.7109375" style="9" customWidth="1"/>
    <col min="12547" max="12547" width="15.5703125" style="9" customWidth="1"/>
    <col min="12548" max="12548" width="13.140625" style="9" customWidth="1"/>
    <col min="12549" max="12551" width="10.7109375" style="9" customWidth="1"/>
    <col min="12552" max="12552" width="15.7109375" style="9" customWidth="1"/>
    <col min="12553" max="12553" width="40.7109375" style="9" customWidth="1"/>
    <col min="12554" max="12554" width="15.5703125" style="9" customWidth="1"/>
    <col min="12555" max="12800" width="9.140625" style="9"/>
    <col min="12801" max="12801" width="10.7109375" style="9" customWidth="1"/>
    <col min="12802" max="12802" width="50.7109375" style="9" customWidth="1"/>
    <col min="12803" max="12803" width="15.5703125" style="9" customWidth="1"/>
    <col min="12804" max="12804" width="13.140625" style="9" customWidth="1"/>
    <col min="12805" max="12807" width="10.7109375" style="9" customWidth="1"/>
    <col min="12808" max="12808" width="15.7109375" style="9" customWidth="1"/>
    <col min="12809" max="12809" width="40.7109375" style="9" customWidth="1"/>
    <col min="12810" max="12810" width="15.5703125" style="9" customWidth="1"/>
    <col min="12811" max="13056" width="9.140625" style="9"/>
    <col min="13057" max="13057" width="10.7109375" style="9" customWidth="1"/>
    <col min="13058" max="13058" width="50.7109375" style="9" customWidth="1"/>
    <col min="13059" max="13059" width="15.5703125" style="9" customWidth="1"/>
    <col min="13060" max="13060" width="13.140625" style="9" customWidth="1"/>
    <col min="13061" max="13063" width="10.7109375" style="9" customWidth="1"/>
    <col min="13064" max="13064" width="15.7109375" style="9" customWidth="1"/>
    <col min="13065" max="13065" width="40.7109375" style="9" customWidth="1"/>
    <col min="13066" max="13066" width="15.5703125" style="9" customWidth="1"/>
    <col min="13067" max="13312" width="9.140625" style="9"/>
    <col min="13313" max="13313" width="10.7109375" style="9" customWidth="1"/>
    <col min="13314" max="13314" width="50.7109375" style="9" customWidth="1"/>
    <col min="13315" max="13315" width="15.5703125" style="9" customWidth="1"/>
    <col min="13316" max="13316" width="13.140625" style="9" customWidth="1"/>
    <col min="13317" max="13319" width="10.7109375" style="9" customWidth="1"/>
    <col min="13320" max="13320" width="15.7109375" style="9" customWidth="1"/>
    <col min="13321" max="13321" width="40.7109375" style="9" customWidth="1"/>
    <col min="13322" max="13322" width="15.5703125" style="9" customWidth="1"/>
    <col min="13323" max="13568" width="9.140625" style="9"/>
    <col min="13569" max="13569" width="10.7109375" style="9" customWidth="1"/>
    <col min="13570" max="13570" width="50.7109375" style="9" customWidth="1"/>
    <col min="13571" max="13571" width="15.5703125" style="9" customWidth="1"/>
    <col min="13572" max="13572" width="13.140625" style="9" customWidth="1"/>
    <col min="13573" max="13575" width="10.7109375" style="9" customWidth="1"/>
    <col min="13576" max="13576" width="15.7109375" style="9" customWidth="1"/>
    <col min="13577" max="13577" width="40.7109375" style="9" customWidth="1"/>
    <col min="13578" max="13578" width="15.5703125" style="9" customWidth="1"/>
    <col min="13579" max="13824" width="9.140625" style="9"/>
    <col min="13825" max="13825" width="10.7109375" style="9" customWidth="1"/>
    <col min="13826" max="13826" width="50.7109375" style="9" customWidth="1"/>
    <col min="13827" max="13827" width="15.5703125" style="9" customWidth="1"/>
    <col min="13828" max="13828" width="13.140625" style="9" customWidth="1"/>
    <col min="13829" max="13831" width="10.7109375" style="9" customWidth="1"/>
    <col min="13832" max="13832" width="15.7109375" style="9" customWidth="1"/>
    <col min="13833" max="13833" width="40.7109375" style="9" customWidth="1"/>
    <col min="13834" max="13834" width="15.5703125" style="9" customWidth="1"/>
    <col min="13835" max="14080" width="9.140625" style="9"/>
    <col min="14081" max="14081" width="10.7109375" style="9" customWidth="1"/>
    <col min="14082" max="14082" width="50.7109375" style="9" customWidth="1"/>
    <col min="14083" max="14083" width="15.5703125" style="9" customWidth="1"/>
    <col min="14084" max="14084" width="13.140625" style="9" customWidth="1"/>
    <col min="14085" max="14087" width="10.7109375" style="9" customWidth="1"/>
    <col min="14088" max="14088" width="15.7109375" style="9" customWidth="1"/>
    <col min="14089" max="14089" width="40.7109375" style="9" customWidth="1"/>
    <col min="14090" max="14090" width="15.5703125" style="9" customWidth="1"/>
    <col min="14091" max="14336" width="9.140625" style="9"/>
    <col min="14337" max="14337" width="10.7109375" style="9" customWidth="1"/>
    <col min="14338" max="14338" width="50.7109375" style="9" customWidth="1"/>
    <col min="14339" max="14339" width="15.5703125" style="9" customWidth="1"/>
    <col min="14340" max="14340" width="13.140625" style="9" customWidth="1"/>
    <col min="14341" max="14343" width="10.7109375" style="9" customWidth="1"/>
    <col min="14344" max="14344" width="15.7109375" style="9" customWidth="1"/>
    <col min="14345" max="14345" width="40.7109375" style="9" customWidth="1"/>
    <col min="14346" max="14346" width="15.5703125" style="9" customWidth="1"/>
    <col min="14347" max="14592" width="9.140625" style="9"/>
    <col min="14593" max="14593" width="10.7109375" style="9" customWidth="1"/>
    <col min="14594" max="14594" width="50.7109375" style="9" customWidth="1"/>
    <col min="14595" max="14595" width="15.5703125" style="9" customWidth="1"/>
    <col min="14596" max="14596" width="13.140625" style="9" customWidth="1"/>
    <col min="14597" max="14599" width="10.7109375" style="9" customWidth="1"/>
    <col min="14600" max="14600" width="15.7109375" style="9" customWidth="1"/>
    <col min="14601" max="14601" width="40.7109375" style="9" customWidth="1"/>
    <col min="14602" max="14602" width="15.5703125" style="9" customWidth="1"/>
    <col min="14603" max="14848" width="9.140625" style="9"/>
    <col min="14849" max="14849" width="10.7109375" style="9" customWidth="1"/>
    <col min="14850" max="14850" width="50.7109375" style="9" customWidth="1"/>
    <col min="14851" max="14851" width="15.5703125" style="9" customWidth="1"/>
    <col min="14852" max="14852" width="13.140625" style="9" customWidth="1"/>
    <col min="14853" max="14855" width="10.7109375" style="9" customWidth="1"/>
    <col min="14856" max="14856" width="15.7109375" style="9" customWidth="1"/>
    <col min="14857" max="14857" width="40.7109375" style="9" customWidth="1"/>
    <col min="14858" max="14858" width="15.5703125" style="9" customWidth="1"/>
    <col min="14859" max="15104" width="9.140625" style="9"/>
    <col min="15105" max="15105" width="10.7109375" style="9" customWidth="1"/>
    <col min="15106" max="15106" width="50.7109375" style="9" customWidth="1"/>
    <col min="15107" max="15107" width="15.5703125" style="9" customWidth="1"/>
    <col min="15108" max="15108" width="13.140625" style="9" customWidth="1"/>
    <col min="15109" max="15111" width="10.7109375" style="9" customWidth="1"/>
    <col min="15112" max="15112" width="15.7109375" style="9" customWidth="1"/>
    <col min="15113" max="15113" width="40.7109375" style="9" customWidth="1"/>
    <col min="15114" max="15114" width="15.5703125" style="9" customWidth="1"/>
    <col min="15115" max="15360" width="9.140625" style="9"/>
    <col min="15361" max="15361" width="10.7109375" style="9" customWidth="1"/>
    <col min="15362" max="15362" width="50.7109375" style="9" customWidth="1"/>
    <col min="15363" max="15363" width="15.5703125" style="9" customWidth="1"/>
    <col min="15364" max="15364" width="13.140625" style="9" customWidth="1"/>
    <col min="15365" max="15367" width="10.7109375" style="9" customWidth="1"/>
    <col min="15368" max="15368" width="15.7109375" style="9" customWidth="1"/>
    <col min="15369" max="15369" width="40.7109375" style="9" customWidth="1"/>
    <col min="15370" max="15370" width="15.5703125" style="9" customWidth="1"/>
    <col min="15371" max="15616" width="9.140625" style="9"/>
    <col min="15617" max="15617" width="10.7109375" style="9" customWidth="1"/>
    <col min="15618" max="15618" width="50.7109375" style="9" customWidth="1"/>
    <col min="15619" max="15619" width="15.5703125" style="9" customWidth="1"/>
    <col min="15620" max="15620" width="13.140625" style="9" customWidth="1"/>
    <col min="15621" max="15623" width="10.7109375" style="9" customWidth="1"/>
    <col min="15624" max="15624" width="15.7109375" style="9" customWidth="1"/>
    <col min="15625" max="15625" width="40.7109375" style="9" customWidth="1"/>
    <col min="15626" max="15626" width="15.5703125" style="9" customWidth="1"/>
    <col min="15627" max="15872" width="9.140625" style="9"/>
    <col min="15873" max="15873" width="10.7109375" style="9" customWidth="1"/>
    <col min="15874" max="15874" width="50.7109375" style="9" customWidth="1"/>
    <col min="15875" max="15875" width="15.5703125" style="9" customWidth="1"/>
    <col min="15876" max="15876" width="13.140625" style="9" customWidth="1"/>
    <col min="15877" max="15879" width="10.7109375" style="9" customWidth="1"/>
    <col min="15880" max="15880" width="15.7109375" style="9" customWidth="1"/>
    <col min="15881" max="15881" width="40.7109375" style="9" customWidth="1"/>
    <col min="15882" max="15882" width="15.5703125" style="9" customWidth="1"/>
    <col min="15883" max="16128" width="9.140625" style="9"/>
    <col min="16129" max="16129" width="10.7109375" style="9" customWidth="1"/>
    <col min="16130" max="16130" width="50.7109375" style="9" customWidth="1"/>
    <col min="16131" max="16131" width="15.5703125" style="9" customWidth="1"/>
    <col min="16132" max="16132" width="13.140625" style="9" customWidth="1"/>
    <col min="16133" max="16135" width="10.7109375" style="9" customWidth="1"/>
    <col min="16136" max="16136" width="15.7109375" style="9" customWidth="1"/>
    <col min="16137" max="16137" width="40.7109375" style="9" customWidth="1"/>
    <col min="16138" max="16138" width="15.5703125" style="9" customWidth="1"/>
    <col min="16139" max="16384" width="9.140625" style="9"/>
  </cols>
  <sheetData>
    <row r="1" spans="1:11" ht="69.95" customHeight="1" x14ac:dyDescent="0.2">
      <c r="A1" s="1004" t="s">
        <v>766</v>
      </c>
      <c r="B1" s="1005"/>
      <c r="C1" s="1005"/>
      <c r="D1" s="1005"/>
      <c r="E1" s="1005"/>
      <c r="F1" s="1005"/>
      <c r="G1" s="1005"/>
      <c r="H1" s="1005"/>
      <c r="I1" s="1006"/>
      <c r="J1" s="8"/>
    </row>
    <row r="2" spans="1:11" s="10" customFormat="1" ht="30" customHeight="1" x14ac:dyDescent="0.25">
      <c r="A2" s="317" t="s">
        <v>47</v>
      </c>
      <c r="B2" s="317" t="s">
        <v>767</v>
      </c>
      <c r="C2" s="318" t="s">
        <v>774</v>
      </c>
      <c r="D2" s="319" t="s">
        <v>775</v>
      </c>
      <c r="E2" s="319" t="s">
        <v>768</v>
      </c>
      <c r="F2" s="319" t="s">
        <v>769</v>
      </c>
      <c r="G2" s="319" t="s">
        <v>770</v>
      </c>
      <c r="H2" s="317" t="s">
        <v>55</v>
      </c>
      <c r="I2" s="317" t="s">
        <v>56</v>
      </c>
    </row>
    <row r="3" spans="1:11" x14ac:dyDescent="0.2">
      <c r="A3" s="330"/>
      <c r="B3" s="331"/>
      <c r="C3" s="331"/>
      <c r="D3" s="332"/>
      <c r="E3" s="335"/>
      <c r="F3" s="333"/>
      <c r="G3" s="332"/>
      <c r="H3" s="334"/>
      <c r="I3" s="334"/>
      <c r="K3" s="10"/>
    </row>
    <row r="4" spans="1:11" x14ac:dyDescent="0.2">
      <c r="A4" s="320"/>
      <c r="B4" s="321"/>
      <c r="C4" s="322"/>
      <c r="D4" s="323"/>
      <c r="E4" s="336"/>
      <c r="F4" s="327"/>
      <c r="G4" s="323"/>
      <c r="H4" s="324"/>
      <c r="I4" s="324"/>
      <c r="K4" s="10"/>
    </row>
    <row r="5" spans="1:11" x14ac:dyDescent="0.2">
      <c r="A5" s="330"/>
      <c r="B5" s="331"/>
      <c r="C5" s="331"/>
      <c r="D5" s="332"/>
      <c r="E5" s="335"/>
      <c r="F5" s="333"/>
      <c r="G5" s="332"/>
      <c r="H5" s="334"/>
      <c r="I5" s="334"/>
    </row>
    <row r="6" spans="1:11" x14ac:dyDescent="0.2">
      <c r="A6" s="320"/>
      <c r="B6" s="321"/>
      <c r="C6" s="322"/>
      <c r="D6" s="323"/>
      <c r="E6" s="336"/>
      <c r="F6" s="327"/>
      <c r="G6" s="323"/>
      <c r="H6" s="324"/>
      <c r="I6" s="324"/>
    </row>
    <row r="7" spans="1:11" x14ac:dyDescent="0.2">
      <c r="A7" s="330"/>
      <c r="B7" s="331"/>
      <c r="C7" s="331"/>
      <c r="D7" s="332"/>
      <c r="E7" s="335"/>
      <c r="F7" s="333"/>
      <c r="G7" s="332"/>
      <c r="H7" s="334"/>
      <c r="I7" s="334"/>
    </row>
    <row r="8" spans="1:11" x14ac:dyDescent="0.2">
      <c r="A8" s="320"/>
      <c r="B8" s="321"/>
      <c r="C8" s="322"/>
      <c r="D8" s="323"/>
      <c r="E8" s="336"/>
      <c r="F8" s="327"/>
      <c r="G8" s="323"/>
      <c r="H8" s="324"/>
      <c r="I8" s="324"/>
    </row>
    <row r="9" spans="1:11" x14ac:dyDescent="0.2">
      <c r="A9" s="330"/>
      <c r="B9" s="331"/>
      <c r="C9" s="331"/>
      <c r="D9" s="332"/>
      <c r="E9" s="335"/>
      <c r="F9" s="333"/>
      <c r="G9" s="332"/>
      <c r="H9" s="334"/>
      <c r="I9" s="334"/>
    </row>
    <row r="10" spans="1:11" x14ac:dyDescent="0.2">
      <c r="A10" s="320"/>
      <c r="B10" s="321"/>
      <c r="C10" s="322"/>
      <c r="D10" s="323"/>
      <c r="E10" s="336"/>
      <c r="F10" s="327"/>
      <c r="G10" s="323"/>
      <c r="H10" s="324"/>
      <c r="I10" s="324"/>
    </row>
    <row r="11" spans="1:11" x14ac:dyDescent="0.2">
      <c r="A11" s="330"/>
      <c r="B11" s="331"/>
      <c r="C11" s="331"/>
      <c r="D11" s="332"/>
      <c r="E11" s="335"/>
      <c r="F11" s="333"/>
      <c r="G11" s="332"/>
      <c r="H11" s="334"/>
      <c r="I11" s="334"/>
    </row>
    <row r="12" spans="1:11" x14ac:dyDescent="0.2">
      <c r="A12" s="325"/>
      <c r="B12" s="12"/>
      <c r="C12" s="325"/>
      <c r="D12" s="326"/>
      <c r="E12" s="328"/>
      <c r="F12" s="329"/>
      <c r="G12" s="325"/>
      <c r="H12" s="325"/>
      <c r="I12" s="12"/>
    </row>
    <row r="13" spans="1:11" x14ac:dyDescent="0.2">
      <c r="A13" s="330"/>
      <c r="B13" s="331"/>
      <c r="C13" s="331"/>
      <c r="D13" s="332"/>
      <c r="E13" s="335"/>
      <c r="F13" s="333"/>
      <c r="G13" s="332"/>
      <c r="H13" s="334"/>
      <c r="I13" s="334"/>
    </row>
    <row r="14" spans="1:11" x14ac:dyDescent="0.2">
      <c r="A14" s="325"/>
      <c r="B14" s="12"/>
      <c r="C14" s="325"/>
      <c r="D14" s="326"/>
      <c r="E14" s="328"/>
      <c r="F14" s="329"/>
      <c r="G14" s="325"/>
      <c r="H14" s="325"/>
      <c r="I14" s="12"/>
    </row>
    <row r="15" spans="1:11" x14ac:dyDescent="0.2">
      <c r="A15" s="330"/>
      <c r="B15" s="331"/>
      <c r="C15" s="331"/>
      <c r="D15" s="332"/>
      <c r="E15" s="335"/>
      <c r="F15" s="333"/>
      <c r="G15" s="332"/>
      <c r="H15" s="334"/>
      <c r="I15" s="334"/>
    </row>
    <row r="16" spans="1:11" x14ac:dyDescent="0.2">
      <c r="A16" s="325"/>
      <c r="B16" s="12"/>
      <c r="C16" s="325"/>
      <c r="D16" s="326"/>
      <c r="E16" s="328"/>
      <c r="F16" s="329"/>
      <c r="G16" s="325"/>
      <c r="H16" s="325"/>
      <c r="I16" s="12"/>
    </row>
    <row r="17" spans="1:9" x14ac:dyDescent="0.2">
      <c r="A17" s="330"/>
      <c r="B17" s="331"/>
      <c r="C17" s="331"/>
      <c r="D17" s="332"/>
      <c r="E17" s="335"/>
      <c r="F17" s="333"/>
      <c r="G17" s="332"/>
      <c r="H17" s="334"/>
      <c r="I17" s="334"/>
    </row>
    <row r="18" spans="1:9" x14ac:dyDescent="0.2">
      <c r="A18" s="325"/>
      <c r="B18" s="12"/>
      <c r="C18" s="325"/>
      <c r="D18" s="326"/>
      <c r="E18" s="328"/>
      <c r="F18" s="329"/>
      <c r="G18" s="325"/>
      <c r="H18" s="325"/>
      <c r="I18" s="12"/>
    </row>
    <row r="19" spans="1:9" x14ac:dyDescent="0.2">
      <c r="A19" s="330"/>
      <c r="B19" s="331"/>
      <c r="C19" s="331"/>
      <c r="D19" s="332"/>
      <c r="E19" s="335"/>
      <c r="F19" s="333"/>
      <c r="G19" s="332"/>
      <c r="H19" s="334"/>
      <c r="I19" s="334"/>
    </row>
    <row r="20" spans="1:9" x14ac:dyDescent="0.2">
      <c r="A20" s="325"/>
      <c r="B20" s="12"/>
      <c r="C20" s="325"/>
      <c r="D20" s="326"/>
      <c r="E20" s="328"/>
      <c r="F20" s="329"/>
      <c r="G20" s="325"/>
      <c r="H20" s="325"/>
      <c r="I20" s="12"/>
    </row>
    <row r="21" spans="1:9" x14ac:dyDescent="0.2">
      <c r="A21" s="330"/>
      <c r="B21" s="331"/>
      <c r="C21" s="331"/>
      <c r="D21" s="332"/>
      <c r="E21" s="335"/>
      <c r="F21" s="333"/>
      <c r="G21" s="332"/>
      <c r="H21" s="334"/>
      <c r="I21" s="334"/>
    </row>
    <row r="22" spans="1:9" x14ac:dyDescent="0.2">
      <c r="A22" s="325"/>
      <c r="B22" s="12"/>
      <c r="C22" s="325"/>
      <c r="D22" s="326"/>
      <c r="E22" s="328"/>
      <c r="F22" s="329"/>
      <c r="G22" s="325"/>
      <c r="H22" s="325"/>
      <c r="I22" s="12"/>
    </row>
    <row r="23" spans="1:9" x14ac:dyDescent="0.2">
      <c r="A23" s="330"/>
      <c r="B23" s="331"/>
      <c r="C23" s="331"/>
      <c r="D23" s="332"/>
      <c r="E23" s="335"/>
      <c r="F23" s="333"/>
      <c r="G23" s="332"/>
      <c r="H23" s="334"/>
      <c r="I23" s="334"/>
    </row>
    <row r="24" spans="1:9" x14ac:dyDescent="0.2">
      <c r="A24" s="325"/>
      <c r="B24" s="12"/>
      <c r="C24" s="325"/>
      <c r="D24" s="326"/>
      <c r="E24" s="328"/>
      <c r="F24" s="329"/>
      <c r="G24" s="325"/>
      <c r="H24" s="325"/>
      <c r="I24" s="12"/>
    </row>
    <row r="25" spans="1:9" x14ac:dyDescent="0.2">
      <c r="A25" s="330"/>
      <c r="B25" s="331"/>
      <c r="C25" s="331"/>
      <c r="D25" s="332"/>
      <c r="E25" s="335"/>
      <c r="F25" s="333"/>
      <c r="G25" s="332"/>
      <c r="H25" s="334"/>
      <c r="I25" s="334"/>
    </row>
    <row r="26" spans="1:9" x14ac:dyDescent="0.2">
      <c r="A26" s="325"/>
      <c r="B26" s="12"/>
      <c r="C26" s="325"/>
      <c r="D26" s="326"/>
      <c r="E26" s="328"/>
      <c r="F26" s="329"/>
      <c r="G26" s="325"/>
      <c r="H26" s="325"/>
      <c r="I26" s="12"/>
    </row>
    <row r="27" spans="1:9" x14ac:dyDescent="0.2">
      <c r="A27" s="330"/>
      <c r="B27" s="331"/>
      <c r="C27" s="331"/>
      <c r="D27" s="332"/>
      <c r="E27" s="335"/>
      <c r="F27" s="333"/>
      <c r="G27" s="332"/>
      <c r="H27" s="334"/>
      <c r="I27" s="334"/>
    </row>
    <row r="28" spans="1:9" x14ac:dyDescent="0.2">
      <c r="A28" s="325"/>
      <c r="B28" s="12"/>
      <c r="C28" s="325"/>
      <c r="D28" s="326"/>
      <c r="E28" s="328"/>
      <c r="F28" s="329"/>
      <c r="G28" s="325"/>
      <c r="H28" s="325"/>
      <c r="I28" s="12"/>
    </row>
    <row r="29" spans="1:9" x14ac:dyDescent="0.2">
      <c r="A29" s="330"/>
      <c r="B29" s="331"/>
      <c r="C29" s="331"/>
      <c r="D29" s="332"/>
      <c r="E29" s="335"/>
      <c r="F29" s="333"/>
      <c r="G29" s="332"/>
      <c r="H29" s="334"/>
      <c r="I29" s="334"/>
    </row>
    <row r="30" spans="1:9" x14ac:dyDescent="0.2">
      <c r="A30" s="325"/>
      <c r="B30" s="12"/>
      <c r="C30" s="325"/>
      <c r="D30" s="326"/>
      <c r="E30" s="328"/>
      <c r="F30" s="329"/>
      <c r="G30" s="325"/>
      <c r="H30" s="325"/>
      <c r="I30" s="12"/>
    </row>
    <row r="31" spans="1:9" x14ac:dyDescent="0.2">
      <c r="A31" s="330"/>
      <c r="B31" s="331"/>
      <c r="C31" s="331"/>
      <c r="D31" s="332"/>
      <c r="E31" s="335"/>
      <c r="F31" s="333"/>
      <c r="G31" s="332"/>
      <c r="H31" s="334"/>
      <c r="I31" s="334"/>
    </row>
    <row r="32" spans="1:9" x14ac:dyDescent="0.2">
      <c r="A32" s="325"/>
      <c r="B32" s="12"/>
      <c r="C32" s="325"/>
      <c r="D32" s="326"/>
      <c r="E32" s="328"/>
      <c r="F32" s="329"/>
      <c r="G32" s="325"/>
      <c r="H32" s="325"/>
      <c r="I32" s="12"/>
    </row>
    <row r="33" spans="1:9" x14ac:dyDescent="0.2">
      <c r="A33" s="330"/>
      <c r="B33" s="331"/>
      <c r="C33" s="331"/>
      <c r="D33" s="332"/>
      <c r="E33" s="335"/>
      <c r="F33" s="333"/>
      <c r="G33" s="332"/>
      <c r="H33" s="334"/>
      <c r="I33" s="334"/>
    </row>
    <row r="34" spans="1:9" x14ac:dyDescent="0.2">
      <c r="A34" s="325"/>
      <c r="B34" s="12"/>
      <c r="C34" s="325"/>
      <c r="D34" s="326"/>
      <c r="E34" s="328"/>
      <c r="F34" s="329"/>
      <c r="G34" s="325"/>
      <c r="H34" s="325"/>
      <c r="I34" s="12"/>
    </row>
    <row r="35" spans="1:9" x14ac:dyDescent="0.2">
      <c r="A35" s="330"/>
      <c r="B35" s="331"/>
      <c r="C35" s="331"/>
      <c r="D35" s="332"/>
      <c r="E35" s="335"/>
      <c r="F35" s="333"/>
      <c r="G35" s="332"/>
      <c r="H35" s="334"/>
      <c r="I35" s="334"/>
    </row>
    <row r="36" spans="1:9" x14ac:dyDescent="0.2">
      <c r="A36" s="325"/>
      <c r="B36" s="12"/>
      <c r="C36" s="325"/>
      <c r="D36" s="326"/>
      <c r="E36" s="328"/>
      <c r="F36" s="329"/>
      <c r="G36" s="325"/>
      <c r="H36" s="325"/>
      <c r="I36" s="12"/>
    </row>
    <row r="37" spans="1:9" x14ac:dyDescent="0.2">
      <c r="A37" s="330"/>
      <c r="B37" s="331"/>
      <c r="C37" s="331"/>
      <c r="D37" s="332"/>
      <c r="E37" s="335"/>
      <c r="F37" s="333"/>
      <c r="G37" s="332"/>
      <c r="H37" s="334"/>
      <c r="I37" s="334"/>
    </row>
    <row r="38" spans="1:9" x14ac:dyDescent="0.2">
      <c r="A38" s="325"/>
      <c r="B38" s="12"/>
      <c r="C38" s="325"/>
      <c r="D38" s="326"/>
      <c r="E38" s="328"/>
      <c r="F38" s="329"/>
      <c r="G38" s="325"/>
      <c r="H38" s="325"/>
      <c r="I38" s="12"/>
    </row>
    <row r="39" spans="1:9" x14ac:dyDescent="0.2">
      <c r="A39" s="330"/>
      <c r="B39" s="331"/>
      <c r="C39" s="331"/>
      <c r="D39" s="332"/>
      <c r="E39" s="335"/>
      <c r="F39" s="333"/>
      <c r="G39" s="332"/>
      <c r="H39" s="334"/>
      <c r="I39" s="334"/>
    </row>
  </sheetData>
  <mergeCells count="1">
    <mergeCell ref="A1:I1"/>
  </mergeCells>
  <conditionalFormatting sqref="H12 H2 H14 H16 H18 H20 H22 H24 H26 H28 H30 H32 H34 H36 H38 H40:H65535">
    <cfRule type="cellIs" dxfId="41" priority="20" stopIfTrue="1" operator="equal">
      <formula>"OVERDUE"</formula>
    </cfRule>
    <cfRule type="cellIs" dxfId="40" priority="21" stopIfTrue="1" operator="equal">
      <formula>"COMPLETED"</formula>
    </cfRule>
    <cfRule type="cellIs" dxfId="39" priority="22" stopIfTrue="1" operator="equal">
      <formula>"ISSUE IDENTIFIED"</formula>
    </cfRule>
  </conditionalFormatting>
  <conditionalFormatting sqref="F3:F4 F6 F8 F10">
    <cfRule type="cellIs" dxfId="38" priority="19" stopIfTrue="1" operator="lessThan">
      <formula>-1000</formula>
    </cfRule>
  </conditionalFormatting>
  <conditionalFormatting sqref="F5">
    <cfRule type="cellIs" dxfId="37" priority="18" stopIfTrue="1" operator="lessThan">
      <formula>-1000</formula>
    </cfRule>
  </conditionalFormatting>
  <conditionalFormatting sqref="F7">
    <cfRule type="cellIs" dxfId="36" priority="17" stopIfTrue="1" operator="lessThan">
      <formula>-1000</formula>
    </cfRule>
  </conditionalFormatting>
  <conditionalFormatting sqref="F9">
    <cfRule type="cellIs" dxfId="35" priority="16" stopIfTrue="1" operator="lessThan">
      <formula>-1000</formula>
    </cfRule>
  </conditionalFormatting>
  <conditionalFormatting sqref="F11">
    <cfRule type="cellIs" dxfId="34" priority="15" stopIfTrue="1" operator="lessThan">
      <formula>-1000</formula>
    </cfRule>
  </conditionalFormatting>
  <conditionalFormatting sqref="F13">
    <cfRule type="cellIs" dxfId="33" priority="14" stopIfTrue="1" operator="lessThan">
      <formula>-1000</formula>
    </cfRule>
  </conditionalFormatting>
  <conditionalFormatting sqref="F15">
    <cfRule type="cellIs" dxfId="32" priority="13" stopIfTrue="1" operator="lessThan">
      <formula>-1000</formula>
    </cfRule>
  </conditionalFormatting>
  <conditionalFormatting sqref="F17">
    <cfRule type="cellIs" dxfId="31" priority="12" stopIfTrue="1" operator="lessThan">
      <formula>-1000</formula>
    </cfRule>
  </conditionalFormatting>
  <conditionalFormatting sqref="F19">
    <cfRule type="cellIs" dxfId="30" priority="11" stopIfTrue="1" operator="lessThan">
      <formula>-1000</formula>
    </cfRule>
  </conditionalFormatting>
  <conditionalFormatting sqref="F21">
    <cfRule type="cellIs" dxfId="29" priority="10" stopIfTrue="1" operator="lessThan">
      <formula>-1000</formula>
    </cfRule>
  </conditionalFormatting>
  <conditionalFormatting sqref="F23">
    <cfRule type="cellIs" dxfId="28" priority="9" stopIfTrue="1" operator="lessThan">
      <formula>-1000</formula>
    </cfRule>
  </conditionalFormatting>
  <conditionalFormatting sqref="F25">
    <cfRule type="cellIs" dxfId="27" priority="8" stopIfTrue="1" operator="lessThan">
      <formula>-1000</formula>
    </cfRule>
  </conditionalFormatting>
  <conditionalFormatting sqref="F27">
    <cfRule type="cellIs" dxfId="26" priority="7" stopIfTrue="1" operator="lessThan">
      <formula>-1000</formula>
    </cfRule>
  </conditionalFormatting>
  <conditionalFormatting sqref="F29">
    <cfRule type="cellIs" dxfId="25" priority="6" stopIfTrue="1" operator="lessThan">
      <formula>-1000</formula>
    </cfRule>
  </conditionalFormatting>
  <conditionalFormatting sqref="F31">
    <cfRule type="cellIs" dxfId="24" priority="5" stopIfTrue="1" operator="lessThan">
      <formula>-1000</formula>
    </cfRule>
  </conditionalFormatting>
  <conditionalFormatting sqref="F33">
    <cfRule type="cellIs" dxfId="23" priority="4" stopIfTrue="1" operator="lessThan">
      <formula>-1000</formula>
    </cfRule>
  </conditionalFormatting>
  <conditionalFormatting sqref="F35">
    <cfRule type="cellIs" dxfId="22" priority="3" stopIfTrue="1" operator="lessThan">
      <formula>-1000</formula>
    </cfRule>
  </conditionalFormatting>
  <conditionalFormatting sqref="F37">
    <cfRule type="cellIs" dxfId="21" priority="2" stopIfTrue="1" operator="lessThan">
      <formula>-1000</formula>
    </cfRule>
  </conditionalFormatting>
  <conditionalFormatting sqref="F39">
    <cfRule type="cellIs" dxfId="20" priority="1" stopIfTrue="1" operator="lessThan">
      <formula>-1000</formula>
    </cfRule>
  </conditionalFormatting>
  <printOptions horizontalCentered="1"/>
  <pageMargins left="0.5" right="0.5" top="0.75" bottom="0.75" header="0.5" footer="0.5"/>
  <pageSetup scale="72" orientation="landscape" r:id="rId1"/>
  <headerFooter alignWithMargins="0">
    <oddFooter>&amp;L&amp;K0C3964&amp;A Worksheet&amp;C&amp;"-,Bold Italic"&amp;14&amp;KC85532Confidential&amp;11&amp;K0C3964
&amp;D
&amp;R&amp;G</oddFooter>
  </headerFooter>
  <legacyDrawing r:id="rId2"/>
  <legacyDrawingHF r:id="rId3"/>
  <tableParts count="1"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>
    <tabColor rgb="FFC85532"/>
    <pageSetUpPr fitToPage="1"/>
  </sheetPr>
  <dimension ref="A1:F16"/>
  <sheetViews>
    <sheetView showGridLines="0" zoomScaleNormal="100" workbookViewId="0">
      <selection activeCell="F4" sqref="F4"/>
    </sheetView>
  </sheetViews>
  <sheetFormatPr defaultRowHeight="12.75" x14ac:dyDescent="0.2"/>
  <cols>
    <col min="1" max="1" width="13.140625" style="9" bestFit="1" customWidth="1"/>
    <col min="2" max="2" width="20.28515625" style="9" bestFit="1" customWidth="1"/>
    <col min="3" max="3" width="15.7109375" style="9" bestFit="1" customWidth="1"/>
    <col min="4" max="4" width="25.28515625" style="9" bestFit="1" customWidth="1"/>
    <col min="5" max="5" width="47.42578125" style="10" bestFit="1" customWidth="1"/>
    <col min="6" max="6" width="40.7109375" style="10" customWidth="1"/>
    <col min="7" max="256" width="9.140625" style="9"/>
    <col min="257" max="257" width="23" style="9" customWidth="1"/>
    <col min="258" max="258" width="22.28515625" style="9" customWidth="1"/>
    <col min="259" max="259" width="22.85546875" style="9" customWidth="1"/>
    <col min="260" max="262" width="40.7109375" style="9" customWidth="1"/>
    <col min="263" max="512" width="9.140625" style="9"/>
    <col min="513" max="513" width="23" style="9" customWidth="1"/>
    <col min="514" max="514" width="22.28515625" style="9" customWidth="1"/>
    <col min="515" max="515" width="22.85546875" style="9" customWidth="1"/>
    <col min="516" max="518" width="40.7109375" style="9" customWidth="1"/>
    <col min="519" max="768" width="9.140625" style="9"/>
    <col min="769" max="769" width="23" style="9" customWidth="1"/>
    <col min="770" max="770" width="22.28515625" style="9" customWidth="1"/>
    <col min="771" max="771" width="22.85546875" style="9" customWidth="1"/>
    <col min="772" max="774" width="40.7109375" style="9" customWidth="1"/>
    <col min="775" max="1024" width="9.140625" style="9"/>
    <col min="1025" max="1025" width="23" style="9" customWidth="1"/>
    <col min="1026" max="1026" width="22.28515625" style="9" customWidth="1"/>
    <col min="1027" max="1027" width="22.85546875" style="9" customWidth="1"/>
    <col min="1028" max="1030" width="40.7109375" style="9" customWidth="1"/>
    <col min="1031" max="1280" width="9.140625" style="9"/>
    <col min="1281" max="1281" width="23" style="9" customWidth="1"/>
    <col min="1282" max="1282" width="22.28515625" style="9" customWidth="1"/>
    <col min="1283" max="1283" width="22.85546875" style="9" customWidth="1"/>
    <col min="1284" max="1286" width="40.7109375" style="9" customWidth="1"/>
    <col min="1287" max="1536" width="9.140625" style="9"/>
    <col min="1537" max="1537" width="23" style="9" customWidth="1"/>
    <col min="1538" max="1538" width="22.28515625" style="9" customWidth="1"/>
    <col min="1539" max="1539" width="22.85546875" style="9" customWidth="1"/>
    <col min="1540" max="1542" width="40.7109375" style="9" customWidth="1"/>
    <col min="1543" max="1792" width="9.140625" style="9"/>
    <col min="1793" max="1793" width="23" style="9" customWidth="1"/>
    <col min="1794" max="1794" width="22.28515625" style="9" customWidth="1"/>
    <col min="1795" max="1795" width="22.85546875" style="9" customWidth="1"/>
    <col min="1796" max="1798" width="40.7109375" style="9" customWidth="1"/>
    <col min="1799" max="2048" width="9.140625" style="9"/>
    <col min="2049" max="2049" width="23" style="9" customWidth="1"/>
    <col min="2050" max="2050" width="22.28515625" style="9" customWidth="1"/>
    <col min="2051" max="2051" width="22.85546875" style="9" customWidth="1"/>
    <col min="2052" max="2054" width="40.7109375" style="9" customWidth="1"/>
    <col min="2055" max="2304" width="9.140625" style="9"/>
    <col min="2305" max="2305" width="23" style="9" customWidth="1"/>
    <col min="2306" max="2306" width="22.28515625" style="9" customWidth="1"/>
    <col min="2307" max="2307" width="22.85546875" style="9" customWidth="1"/>
    <col min="2308" max="2310" width="40.7109375" style="9" customWidth="1"/>
    <col min="2311" max="2560" width="9.140625" style="9"/>
    <col min="2561" max="2561" width="23" style="9" customWidth="1"/>
    <col min="2562" max="2562" width="22.28515625" style="9" customWidth="1"/>
    <col min="2563" max="2563" width="22.85546875" style="9" customWidth="1"/>
    <col min="2564" max="2566" width="40.7109375" style="9" customWidth="1"/>
    <col min="2567" max="2816" width="9.140625" style="9"/>
    <col min="2817" max="2817" width="23" style="9" customWidth="1"/>
    <col min="2818" max="2818" width="22.28515625" style="9" customWidth="1"/>
    <col min="2819" max="2819" width="22.85546875" style="9" customWidth="1"/>
    <col min="2820" max="2822" width="40.7109375" style="9" customWidth="1"/>
    <col min="2823" max="3072" width="9.140625" style="9"/>
    <col min="3073" max="3073" width="23" style="9" customWidth="1"/>
    <col min="3074" max="3074" width="22.28515625" style="9" customWidth="1"/>
    <col min="3075" max="3075" width="22.85546875" style="9" customWidth="1"/>
    <col min="3076" max="3078" width="40.7109375" style="9" customWidth="1"/>
    <col min="3079" max="3328" width="9.140625" style="9"/>
    <col min="3329" max="3329" width="23" style="9" customWidth="1"/>
    <col min="3330" max="3330" width="22.28515625" style="9" customWidth="1"/>
    <col min="3331" max="3331" width="22.85546875" style="9" customWidth="1"/>
    <col min="3332" max="3334" width="40.7109375" style="9" customWidth="1"/>
    <col min="3335" max="3584" width="9.140625" style="9"/>
    <col min="3585" max="3585" width="23" style="9" customWidth="1"/>
    <col min="3586" max="3586" width="22.28515625" style="9" customWidth="1"/>
    <col min="3587" max="3587" width="22.85546875" style="9" customWidth="1"/>
    <col min="3588" max="3590" width="40.7109375" style="9" customWidth="1"/>
    <col min="3591" max="3840" width="9.140625" style="9"/>
    <col min="3841" max="3841" width="23" style="9" customWidth="1"/>
    <col min="3842" max="3842" width="22.28515625" style="9" customWidth="1"/>
    <col min="3843" max="3843" width="22.85546875" style="9" customWidth="1"/>
    <col min="3844" max="3846" width="40.7109375" style="9" customWidth="1"/>
    <col min="3847" max="4096" width="9.140625" style="9"/>
    <col min="4097" max="4097" width="23" style="9" customWidth="1"/>
    <col min="4098" max="4098" width="22.28515625" style="9" customWidth="1"/>
    <col min="4099" max="4099" width="22.85546875" style="9" customWidth="1"/>
    <col min="4100" max="4102" width="40.7109375" style="9" customWidth="1"/>
    <col min="4103" max="4352" width="9.140625" style="9"/>
    <col min="4353" max="4353" width="23" style="9" customWidth="1"/>
    <col min="4354" max="4354" width="22.28515625" style="9" customWidth="1"/>
    <col min="4355" max="4355" width="22.85546875" style="9" customWidth="1"/>
    <col min="4356" max="4358" width="40.7109375" style="9" customWidth="1"/>
    <col min="4359" max="4608" width="9.140625" style="9"/>
    <col min="4609" max="4609" width="23" style="9" customWidth="1"/>
    <col min="4610" max="4610" width="22.28515625" style="9" customWidth="1"/>
    <col min="4611" max="4611" width="22.85546875" style="9" customWidth="1"/>
    <col min="4612" max="4614" width="40.7109375" style="9" customWidth="1"/>
    <col min="4615" max="4864" width="9.140625" style="9"/>
    <col min="4865" max="4865" width="23" style="9" customWidth="1"/>
    <col min="4866" max="4866" width="22.28515625" style="9" customWidth="1"/>
    <col min="4867" max="4867" width="22.85546875" style="9" customWidth="1"/>
    <col min="4868" max="4870" width="40.7109375" style="9" customWidth="1"/>
    <col min="4871" max="5120" width="9.140625" style="9"/>
    <col min="5121" max="5121" width="23" style="9" customWidth="1"/>
    <col min="5122" max="5122" width="22.28515625" style="9" customWidth="1"/>
    <col min="5123" max="5123" width="22.85546875" style="9" customWidth="1"/>
    <col min="5124" max="5126" width="40.7109375" style="9" customWidth="1"/>
    <col min="5127" max="5376" width="9.140625" style="9"/>
    <col min="5377" max="5377" width="23" style="9" customWidth="1"/>
    <col min="5378" max="5378" width="22.28515625" style="9" customWidth="1"/>
    <col min="5379" max="5379" width="22.85546875" style="9" customWidth="1"/>
    <col min="5380" max="5382" width="40.7109375" style="9" customWidth="1"/>
    <col min="5383" max="5632" width="9.140625" style="9"/>
    <col min="5633" max="5633" width="23" style="9" customWidth="1"/>
    <col min="5634" max="5634" width="22.28515625" style="9" customWidth="1"/>
    <col min="5635" max="5635" width="22.85546875" style="9" customWidth="1"/>
    <col min="5636" max="5638" width="40.7109375" style="9" customWidth="1"/>
    <col min="5639" max="5888" width="9.140625" style="9"/>
    <col min="5889" max="5889" width="23" style="9" customWidth="1"/>
    <col min="5890" max="5890" width="22.28515625" style="9" customWidth="1"/>
    <col min="5891" max="5891" width="22.85546875" style="9" customWidth="1"/>
    <col min="5892" max="5894" width="40.7109375" style="9" customWidth="1"/>
    <col min="5895" max="6144" width="9.140625" style="9"/>
    <col min="6145" max="6145" width="23" style="9" customWidth="1"/>
    <col min="6146" max="6146" width="22.28515625" style="9" customWidth="1"/>
    <col min="6147" max="6147" width="22.85546875" style="9" customWidth="1"/>
    <col min="6148" max="6150" width="40.7109375" style="9" customWidth="1"/>
    <col min="6151" max="6400" width="9.140625" style="9"/>
    <col min="6401" max="6401" width="23" style="9" customWidth="1"/>
    <col min="6402" max="6402" width="22.28515625" style="9" customWidth="1"/>
    <col min="6403" max="6403" width="22.85546875" style="9" customWidth="1"/>
    <col min="6404" max="6406" width="40.7109375" style="9" customWidth="1"/>
    <col min="6407" max="6656" width="9.140625" style="9"/>
    <col min="6657" max="6657" width="23" style="9" customWidth="1"/>
    <col min="6658" max="6658" width="22.28515625" style="9" customWidth="1"/>
    <col min="6659" max="6659" width="22.85546875" style="9" customWidth="1"/>
    <col min="6660" max="6662" width="40.7109375" style="9" customWidth="1"/>
    <col min="6663" max="6912" width="9.140625" style="9"/>
    <col min="6913" max="6913" width="23" style="9" customWidth="1"/>
    <col min="6914" max="6914" width="22.28515625" style="9" customWidth="1"/>
    <col min="6915" max="6915" width="22.85546875" style="9" customWidth="1"/>
    <col min="6916" max="6918" width="40.7109375" style="9" customWidth="1"/>
    <col min="6919" max="7168" width="9.140625" style="9"/>
    <col min="7169" max="7169" width="23" style="9" customWidth="1"/>
    <col min="7170" max="7170" width="22.28515625" style="9" customWidth="1"/>
    <col min="7171" max="7171" width="22.85546875" style="9" customWidth="1"/>
    <col min="7172" max="7174" width="40.7109375" style="9" customWidth="1"/>
    <col min="7175" max="7424" width="9.140625" style="9"/>
    <col min="7425" max="7425" width="23" style="9" customWidth="1"/>
    <col min="7426" max="7426" width="22.28515625" style="9" customWidth="1"/>
    <col min="7427" max="7427" width="22.85546875" style="9" customWidth="1"/>
    <col min="7428" max="7430" width="40.7109375" style="9" customWidth="1"/>
    <col min="7431" max="7680" width="9.140625" style="9"/>
    <col min="7681" max="7681" width="23" style="9" customWidth="1"/>
    <col min="7682" max="7682" width="22.28515625" style="9" customWidth="1"/>
    <col min="7683" max="7683" width="22.85546875" style="9" customWidth="1"/>
    <col min="7684" max="7686" width="40.7109375" style="9" customWidth="1"/>
    <col min="7687" max="7936" width="9.140625" style="9"/>
    <col min="7937" max="7937" width="23" style="9" customWidth="1"/>
    <col min="7938" max="7938" width="22.28515625" style="9" customWidth="1"/>
    <col min="7939" max="7939" width="22.85546875" style="9" customWidth="1"/>
    <col min="7940" max="7942" width="40.7109375" style="9" customWidth="1"/>
    <col min="7943" max="8192" width="9.140625" style="9"/>
    <col min="8193" max="8193" width="23" style="9" customWidth="1"/>
    <col min="8194" max="8194" width="22.28515625" style="9" customWidth="1"/>
    <col min="8195" max="8195" width="22.85546875" style="9" customWidth="1"/>
    <col min="8196" max="8198" width="40.7109375" style="9" customWidth="1"/>
    <col min="8199" max="8448" width="9.140625" style="9"/>
    <col min="8449" max="8449" width="23" style="9" customWidth="1"/>
    <col min="8450" max="8450" width="22.28515625" style="9" customWidth="1"/>
    <col min="8451" max="8451" width="22.85546875" style="9" customWidth="1"/>
    <col min="8452" max="8454" width="40.7109375" style="9" customWidth="1"/>
    <col min="8455" max="8704" width="9.140625" style="9"/>
    <col min="8705" max="8705" width="23" style="9" customWidth="1"/>
    <col min="8706" max="8706" width="22.28515625" style="9" customWidth="1"/>
    <col min="8707" max="8707" width="22.85546875" style="9" customWidth="1"/>
    <col min="8708" max="8710" width="40.7109375" style="9" customWidth="1"/>
    <col min="8711" max="8960" width="9.140625" style="9"/>
    <col min="8961" max="8961" width="23" style="9" customWidth="1"/>
    <col min="8962" max="8962" width="22.28515625" style="9" customWidth="1"/>
    <col min="8963" max="8963" width="22.85546875" style="9" customWidth="1"/>
    <col min="8964" max="8966" width="40.7109375" style="9" customWidth="1"/>
    <col min="8967" max="9216" width="9.140625" style="9"/>
    <col min="9217" max="9217" width="23" style="9" customWidth="1"/>
    <col min="9218" max="9218" width="22.28515625" style="9" customWidth="1"/>
    <col min="9219" max="9219" width="22.85546875" style="9" customWidth="1"/>
    <col min="9220" max="9222" width="40.7109375" style="9" customWidth="1"/>
    <col min="9223" max="9472" width="9.140625" style="9"/>
    <col min="9473" max="9473" width="23" style="9" customWidth="1"/>
    <col min="9474" max="9474" width="22.28515625" style="9" customWidth="1"/>
    <col min="9475" max="9475" width="22.85546875" style="9" customWidth="1"/>
    <col min="9476" max="9478" width="40.7109375" style="9" customWidth="1"/>
    <col min="9479" max="9728" width="9.140625" style="9"/>
    <col min="9729" max="9729" width="23" style="9" customWidth="1"/>
    <col min="9730" max="9730" width="22.28515625" style="9" customWidth="1"/>
    <col min="9731" max="9731" width="22.85546875" style="9" customWidth="1"/>
    <col min="9732" max="9734" width="40.7109375" style="9" customWidth="1"/>
    <col min="9735" max="9984" width="9.140625" style="9"/>
    <col min="9985" max="9985" width="23" style="9" customWidth="1"/>
    <col min="9986" max="9986" width="22.28515625" style="9" customWidth="1"/>
    <col min="9987" max="9987" width="22.85546875" style="9" customWidth="1"/>
    <col min="9988" max="9990" width="40.7109375" style="9" customWidth="1"/>
    <col min="9991" max="10240" width="9.140625" style="9"/>
    <col min="10241" max="10241" width="23" style="9" customWidth="1"/>
    <col min="10242" max="10242" width="22.28515625" style="9" customWidth="1"/>
    <col min="10243" max="10243" width="22.85546875" style="9" customWidth="1"/>
    <col min="10244" max="10246" width="40.7109375" style="9" customWidth="1"/>
    <col min="10247" max="10496" width="9.140625" style="9"/>
    <col min="10497" max="10497" width="23" style="9" customWidth="1"/>
    <col min="10498" max="10498" width="22.28515625" style="9" customWidth="1"/>
    <col min="10499" max="10499" width="22.85546875" style="9" customWidth="1"/>
    <col min="10500" max="10502" width="40.7109375" style="9" customWidth="1"/>
    <col min="10503" max="10752" width="9.140625" style="9"/>
    <col min="10753" max="10753" width="23" style="9" customWidth="1"/>
    <col min="10754" max="10754" width="22.28515625" style="9" customWidth="1"/>
    <col min="10755" max="10755" width="22.85546875" style="9" customWidth="1"/>
    <col min="10756" max="10758" width="40.7109375" style="9" customWidth="1"/>
    <col min="10759" max="11008" width="9.140625" style="9"/>
    <col min="11009" max="11009" width="23" style="9" customWidth="1"/>
    <col min="11010" max="11010" width="22.28515625" style="9" customWidth="1"/>
    <col min="11011" max="11011" width="22.85546875" style="9" customWidth="1"/>
    <col min="11012" max="11014" width="40.7109375" style="9" customWidth="1"/>
    <col min="11015" max="11264" width="9.140625" style="9"/>
    <col min="11265" max="11265" width="23" style="9" customWidth="1"/>
    <col min="11266" max="11266" width="22.28515625" style="9" customWidth="1"/>
    <col min="11267" max="11267" width="22.85546875" style="9" customWidth="1"/>
    <col min="11268" max="11270" width="40.7109375" style="9" customWidth="1"/>
    <col min="11271" max="11520" width="9.140625" style="9"/>
    <col min="11521" max="11521" width="23" style="9" customWidth="1"/>
    <col min="11522" max="11522" width="22.28515625" style="9" customWidth="1"/>
    <col min="11523" max="11523" width="22.85546875" style="9" customWidth="1"/>
    <col min="11524" max="11526" width="40.7109375" style="9" customWidth="1"/>
    <col min="11527" max="11776" width="9.140625" style="9"/>
    <col min="11777" max="11777" width="23" style="9" customWidth="1"/>
    <col min="11778" max="11778" width="22.28515625" style="9" customWidth="1"/>
    <col min="11779" max="11779" width="22.85546875" style="9" customWidth="1"/>
    <col min="11780" max="11782" width="40.7109375" style="9" customWidth="1"/>
    <col min="11783" max="12032" width="9.140625" style="9"/>
    <col min="12033" max="12033" width="23" style="9" customWidth="1"/>
    <col min="12034" max="12034" width="22.28515625" style="9" customWidth="1"/>
    <col min="12035" max="12035" width="22.85546875" style="9" customWidth="1"/>
    <col min="12036" max="12038" width="40.7109375" style="9" customWidth="1"/>
    <col min="12039" max="12288" width="9.140625" style="9"/>
    <col min="12289" max="12289" width="23" style="9" customWidth="1"/>
    <col min="12290" max="12290" width="22.28515625" style="9" customWidth="1"/>
    <col min="12291" max="12291" width="22.85546875" style="9" customWidth="1"/>
    <col min="12292" max="12294" width="40.7109375" style="9" customWidth="1"/>
    <col min="12295" max="12544" width="9.140625" style="9"/>
    <col min="12545" max="12545" width="23" style="9" customWidth="1"/>
    <col min="12546" max="12546" width="22.28515625" style="9" customWidth="1"/>
    <col min="12547" max="12547" width="22.85546875" style="9" customWidth="1"/>
    <col min="12548" max="12550" width="40.7109375" style="9" customWidth="1"/>
    <col min="12551" max="12800" width="9.140625" style="9"/>
    <col min="12801" max="12801" width="23" style="9" customWidth="1"/>
    <col min="12802" max="12802" width="22.28515625" style="9" customWidth="1"/>
    <col min="12803" max="12803" width="22.85546875" style="9" customWidth="1"/>
    <col min="12804" max="12806" width="40.7109375" style="9" customWidth="1"/>
    <col min="12807" max="13056" width="9.140625" style="9"/>
    <col min="13057" max="13057" width="23" style="9" customWidth="1"/>
    <col min="13058" max="13058" width="22.28515625" style="9" customWidth="1"/>
    <col min="13059" max="13059" width="22.85546875" style="9" customWidth="1"/>
    <col min="13060" max="13062" width="40.7109375" style="9" customWidth="1"/>
    <col min="13063" max="13312" width="9.140625" style="9"/>
    <col min="13313" max="13313" width="23" style="9" customWidth="1"/>
    <col min="13314" max="13314" width="22.28515625" style="9" customWidth="1"/>
    <col min="13315" max="13315" width="22.85546875" style="9" customWidth="1"/>
    <col min="13316" max="13318" width="40.7109375" style="9" customWidth="1"/>
    <col min="13319" max="13568" width="9.140625" style="9"/>
    <col min="13569" max="13569" width="23" style="9" customWidth="1"/>
    <col min="13570" max="13570" width="22.28515625" style="9" customWidth="1"/>
    <col min="13571" max="13571" width="22.85546875" style="9" customWidth="1"/>
    <col min="13572" max="13574" width="40.7109375" style="9" customWidth="1"/>
    <col min="13575" max="13824" width="9.140625" style="9"/>
    <col min="13825" max="13825" width="23" style="9" customWidth="1"/>
    <col min="13826" max="13826" width="22.28515625" style="9" customWidth="1"/>
    <col min="13827" max="13827" width="22.85546875" style="9" customWidth="1"/>
    <col min="13828" max="13830" width="40.7109375" style="9" customWidth="1"/>
    <col min="13831" max="14080" width="9.140625" style="9"/>
    <col min="14081" max="14081" width="23" style="9" customWidth="1"/>
    <col min="14082" max="14082" width="22.28515625" style="9" customWidth="1"/>
    <col min="14083" max="14083" width="22.85546875" style="9" customWidth="1"/>
    <col min="14084" max="14086" width="40.7109375" style="9" customWidth="1"/>
    <col min="14087" max="14336" width="9.140625" style="9"/>
    <col min="14337" max="14337" width="23" style="9" customWidth="1"/>
    <col min="14338" max="14338" width="22.28515625" style="9" customWidth="1"/>
    <col min="14339" max="14339" width="22.85546875" style="9" customWidth="1"/>
    <col min="14340" max="14342" width="40.7109375" style="9" customWidth="1"/>
    <col min="14343" max="14592" width="9.140625" style="9"/>
    <col min="14593" max="14593" width="23" style="9" customWidth="1"/>
    <col min="14594" max="14594" width="22.28515625" style="9" customWidth="1"/>
    <col min="14595" max="14595" width="22.85546875" style="9" customWidth="1"/>
    <col min="14596" max="14598" width="40.7109375" style="9" customWidth="1"/>
    <col min="14599" max="14848" width="9.140625" style="9"/>
    <col min="14849" max="14849" width="23" style="9" customWidth="1"/>
    <col min="14850" max="14850" width="22.28515625" style="9" customWidth="1"/>
    <col min="14851" max="14851" width="22.85546875" style="9" customWidth="1"/>
    <col min="14852" max="14854" width="40.7109375" style="9" customWidth="1"/>
    <col min="14855" max="15104" width="9.140625" style="9"/>
    <col min="15105" max="15105" width="23" style="9" customWidth="1"/>
    <col min="15106" max="15106" width="22.28515625" style="9" customWidth="1"/>
    <col min="15107" max="15107" width="22.85546875" style="9" customWidth="1"/>
    <col min="15108" max="15110" width="40.7109375" style="9" customWidth="1"/>
    <col min="15111" max="15360" width="9.140625" style="9"/>
    <col min="15361" max="15361" width="23" style="9" customWidth="1"/>
    <col min="15362" max="15362" width="22.28515625" style="9" customWidth="1"/>
    <col min="15363" max="15363" width="22.85546875" style="9" customWidth="1"/>
    <col min="15364" max="15366" width="40.7109375" style="9" customWidth="1"/>
    <col min="15367" max="15616" width="9.140625" style="9"/>
    <col min="15617" max="15617" width="23" style="9" customWidth="1"/>
    <col min="15618" max="15618" width="22.28515625" style="9" customWidth="1"/>
    <col min="15619" max="15619" width="22.85546875" style="9" customWidth="1"/>
    <col min="15620" max="15622" width="40.7109375" style="9" customWidth="1"/>
    <col min="15623" max="15872" width="9.140625" style="9"/>
    <col min="15873" max="15873" width="23" style="9" customWidth="1"/>
    <col min="15874" max="15874" width="22.28515625" style="9" customWidth="1"/>
    <col min="15875" max="15875" width="22.85546875" style="9" customWidth="1"/>
    <col min="15876" max="15878" width="40.7109375" style="9" customWidth="1"/>
    <col min="15879" max="16128" width="9.140625" style="9"/>
    <col min="16129" max="16129" width="23" style="9" customWidth="1"/>
    <col min="16130" max="16130" width="22.28515625" style="9" customWidth="1"/>
    <col min="16131" max="16131" width="22.85546875" style="9" customWidth="1"/>
    <col min="16132" max="16134" width="40.7109375" style="9" customWidth="1"/>
    <col min="16135" max="16384" width="9.140625" style="9"/>
  </cols>
  <sheetData>
    <row r="1" spans="1:6" ht="69.95" customHeight="1" x14ac:dyDescent="0.2">
      <c r="A1" s="1007" t="s">
        <v>771</v>
      </c>
      <c r="B1" s="1008"/>
      <c r="C1" s="1008"/>
      <c r="D1" s="1008"/>
      <c r="E1" s="1009"/>
      <c r="F1" s="58"/>
    </row>
    <row r="2" spans="1:6" s="130" customFormat="1" ht="25.9" customHeight="1" thickBot="1" x14ac:dyDescent="0.3">
      <c r="A2" s="337" t="s">
        <v>47</v>
      </c>
      <c r="B2" s="337" t="s">
        <v>48</v>
      </c>
      <c r="C2" s="337" t="s">
        <v>49</v>
      </c>
      <c r="D2" s="338" t="s">
        <v>772</v>
      </c>
      <c r="E2" s="338" t="s">
        <v>773</v>
      </c>
      <c r="F2" s="129"/>
    </row>
    <row r="3" spans="1:6" x14ac:dyDescent="0.2">
      <c r="A3" s="339"/>
      <c r="B3" s="339"/>
      <c r="C3" s="339"/>
      <c r="D3" s="341"/>
      <c r="E3" s="339"/>
      <c r="F3" s="12"/>
    </row>
    <row r="4" spans="1:6" ht="13.5" thickBot="1" x14ac:dyDescent="0.25">
      <c r="A4" s="340"/>
      <c r="B4" s="340"/>
      <c r="C4" s="340"/>
      <c r="D4" s="342"/>
      <c r="E4" s="340"/>
      <c r="F4" s="12"/>
    </row>
    <row r="5" spans="1:6" ht="12" customHeight="1" x14ac:dyDescent="0.2">
      <c r="A5" s="339"/>
      <c r="B5" s="339"/>
      <c r="C5" s="339"/>
      <c r="D5" s="341"/>
      <c r="E5" s="339"/>
      <c r="F5" s="12"/>
    </row>
    <row r="6" spans="1:6" ht="13.5" thickBot="1" x14ac:dyDescent="0.25">
      <c r="A6" s="340"/>
      <c r="B6" s="340"/>
      <c r="C6" s="340"/>
      <c r="D6" s="342"/>
      <c r="E6" s="340"/>
      <c r="F6" s="12"/>
    </row>
    <row r="7" spans="1:6" x14ac:dyDescent="0.2">
      <c r="A7" s="339"/>
      <c r="B7" s="339"/>
      <c r="C7" s="339"/>
      <c r="D7" s="341"/>
      <c r="E7" s="339"/>
      <c r="F7" s="12"/>
    </row>
    <row r="8" spans="1:6" ht="13.5" thickBot="1" x14ac:dyDescent="0.25">
      <c r="A8" s="340"/>
      <c r="B8" s="340"/>
      <c r="C8" s="340"/>
      <c r="D8" s="342"/>
      <c r="E8" s="340"/>
      <c r="F8" s="12"/>
    </row>
    <row r="9" spans="1:6" x14ac:dyDescent="0.2">
      <c r="A9" s="339"/>
      <c r="B9" s="339"/>
      <c r="C9" s="339"/>
      <c r="D9" s="341"/>
      <c r="E9" s="339"/>
      <c r="F9" s="12"/>
    </row>
    <row r="10" spans="1:6" ht="13.5" thickBot="1" x14ac:dyDescent="0.25">
      <c r="A10" s="340"/>
      <c r="B10" s="340"/>
      <c r="C10" s="340"/>
      <c r="D10" s="342"/>
      <c r="E10" s="340"/>
      <c r="F10" s="12"/>
    </row>
    <row r="11" spans="1:6" x14ac:dyDescent="0.2">
      <c r="A11" s="339"/>
      <c r="B11" s="339"/>
      <c r="C11" s="339"/>
      <c r="D11" s="341"/>
      <c r="E11" s="339"/>
      <c r="F11" s="12"/>
    </row>
    <row r="12" spans="1:6" ht="13.5" thickBot="1" x14ac:dyDescent="0.25">
      <c r="A12" s="340"/>
      <c r="B12" s="340"/>
      <c r="C12" s="340"/>
      <c r="D12" s="342"/>
      <c r="E12" s="340"/>
      <c r="F12" s="12"/>
    </row>
    <row r="13" spans="1:6" x14ac:dyDescent="0.2">
      <c r="A13" s="339"/>
      <c r="B13" s="339"/>
      <c r="C13" s="339"/>
      <c r="D13" s="341"/>
      <c r="E13" s="339"/>
      <c r="F13" s="12"/>
    </row>
    <row r="14" spans="1:6" ht="13.5" thickBot="1" x14ac:dyDescent="0.25">
      <c r="A14" s="340"/>
      <c r="B14" s="340"/>
      <c r="C14" s="340"/>
      <c r="D14" s="342"/>
      <c r="E14" s="340"/>
      <c r="F14" s="12"/>
    </row>
    <row r="15" spans="1:6" x14ac:dyDescent="0.2">
      <c r="A15" s="339"/>
      <c r="B15" s="339"/>
      <c r="C15" s="339"/>
      <c r="D15" s="341"/>
      <c r="E15" s="339"/>
      <c r="F15" s="12"/>
    </row>
    <row r="16" spans="1:6" x14ac:dyDescent="0.2">
      <c r="F16" s="12"/>
    </row>
  </sheetData>
  <mergeCells count="1">
    <mergeCell ref="A1:E1"/>
  </mergeCells>
  <printOptions horizontalCentered="1"/>
  <pageMargins left="0.45" right="0.45" top="0.75" bottom="0.75" header="0.3" footer="0.3"/>
  <pageSetup orientation="landscape" r:id="rId1"/>
  <headerFooter>
    <oddFooter>&amp;L&amp;K0C3964&amp;F, &amp;A Worksheet&amp;C&amp;"-,Bold Italic"&amp;14&amp;KC85532Confidential&amp;11&amp;K0C3964
&amp;D&amp;R&amp;G</oddFooter>
  </headerFooter>
  <legacyDrawing r:id="rId2"/>
  <legacyDrawingHF r:id="rId3"/>
  <tableParts count="1"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7D4AC-817B-4FDC-B46A-13B3146F4D91}">
  <sheetPr codeName="Sheet20">
    <tabColor rgb="FFC85532"/>
  </sheetPr>
  <dimension ref="A1"/>
  <sheetViews>
    <sheetView showGridLines="0" workbookViewId="0">
      <selection activeCell="S25" sqref="S2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3281874949F2944A8749E8617C67D3D" ma:contentTypeVersion="14" ma:contentTypeDescription="Create a new document." ma:contentTypeScope="" ma:versionID="cb73d25a5b538aa24adec6ab7780aaa2">
  <xsd:schema xmlns:xsd="http://www.w3.org/2001/XMLSchema" xmlns:xs="http://www.w3.org/2001/XMLSchema" xmlns:p="http://schemas.microsoft.com/office/2006/metadata/properties" xmlns:ns2="09d16179-aaf4-46f3-a187-1d24a41ea174" xmlns:ns3="07e8a1cb-7499-468e-9698-2c99fc7fc73b" targetNamespace="http://schemas.microsoft.com/office/2006/metadata/properties" ma:root="true" ma:fieldsID="d11a69e71b345ac8d0fe0f7c12fe532b" ns2:_="" ns3:_="">
    <xsd:import namespace="09d16179-aaf4-46f3-a187-1d24a41ea174"/>
    <xsd:import namespace="07e8a1cb-7499-468e-9698-2c99fc7fc73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16179-aaf4-46f3-a187-1d24a41ea17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e8a1cb-7499-468e-9698-2c99fc7fc7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6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DA2C2AAA-4D10-426F-84BE-B193D5A78B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d16179-aaf4-46f3-a187-1d24a41ea174"/>
    <ds:schemaRef ds:uri="07e8a1cb-7499-468e-9698-2c99fc7fc7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254C03C-1AD2-4325-86D0-0C6B2E1B0FDC}">
  <ds:schemaRefs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07e8a1cb-7499-468e-9698-2c99fc7fc73b"/>
    <ds:schemaRef ds:uri="http://www.w3.org/XML/1998/namespace"/>
    <ds:schemaRef ds:uri="http://purl.org/dc/dcmitype/"/>
    <ds:schemaRef ds:uri="http://schemas.openxmlformats.org/package/2006/metadata/core-properties"/>
    <ds:schemaRef ds:uri="09d16179-aaf4-46f3-a187-1d24a41ea174"/>
  </ds:schemaRefs>
</ds:datastoreItem>
</file>

<file path=customXml/itemProps3.xml><?xml version="1.0" encoding="utf-8"?>
<ds:datastoreItem xmlns:ds="http://schemas.openxmlformats.org/officeDocument/2006/customXml" ds:itemID="{C96D4E27-C5DA-44AF-8004-934C78E0C81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CBCB110-850A-4714-B47A-C54F2C6F4A7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9</vt:i4>
      </vt:variant>
    </vt:vector>
  </HeadingPairs>
  <TitlesOfParts>
    <vt:vector size="34" baseType="lpstr">
      <vt:lpstr>Instructions</vt:lpstr>
      <vt:lpstr>Cover Page</vt:lpstr>
      <vt:lpstr>Resources</vt:lpstr>
      <vt:lpstr>Cost Savings</vt:lpstr>
      <vt:lpstr>RACI-S</vt:lpstr>
      <vt:lpstr>Day 0 Compliance</vt:lpstr>
      <vt:lpstr>Transaction</vt:lpstr>
      <vt:lpstr>Change Management</vt:lpstr>
      <vt:lpstr>Communications</vt:lpstr>
      <vt:lpstr>Sales and Marketing</vt:lpstr>
      <vt:lpstr>Marketing</vt:lpstr>
      <vt:lpstr>Sales</vt:lpstr>
      <vt:lpstr>Supply Chain.Procurement</vt:lpstr>
      <vt:lpstr>Operations</vt:lpstr>
      <vt:lpstr>Finance</vt:lpstr>
      <vt:lpstr>Insurance and Property</vt:lpstr>
      <vt:lpstr>Legal</vt:lpstr>
      <vt:lpstr>Tax</vt:lpstr>
      <vt:lpstr>IT</vt:lpstr>
      <vt:lpstr>HR</vt:lpstr>
      <vt:lpstr>HSE</vt:lpstr>
      <vt:lpstr>Compliance</vt:lpstr>
      <vt:lpstr>Issue Log</vt:lpstr>
      <vt:lpstr>Feedback</vt:lpstr>
      <vt:lpstr>As-Is Org. Chart</vt:lpstr>
      <vt:lpstr>Instructions!Print_Area</vt:lpstr>
      <vt:lpstr>'RACI-S'!Print_Area</vt:lpstr>
      <vt:lpstr>Compliance!Print_Titles</vt:lpstr>
      <vt:lpstr>'Cover Page'!Print_Titles</vt:lpstr>
      <vt:lpstr>Finance!Print_Titles</vt:lpstr>
      <vt:lpstr>HR!Print_Titles</vt:lpstr>
      <vt:lpstr>HSE!Print_Titles</vt:lpstr>
      <vt:lpstr>IT!Print_Titles</vt:lpstr>
      <vt:lpstr>Operations!Print_Titles</vt:lpstr>
    </vt:vector>
  </TitlesOfParts>
  <Manager/>
  <Company>Racca Solutions Group, LLC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Stacy Racca;Keith Blaies</dc:creator>
  <cp:keywords/>
  <dc:description/>
  <cp:lastModifiedBy>Keith Blaies</cp:lastModifiedBy>
  <cp:revision/>
  <cp:lastPrinted>2020-06-16T19:38:57Z</cp:lastPrinted>
  <dcterms:created xsi:type="dcterms:W3CDTF">2014-04-08T15:38:15Z</dcterms:created>
  <dcterms:modified xsi:type="dcterms:W3CDTF">2020-07-08T20:24:59Z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0x01010003281874949F2944A8749E8617C67D3D</vt:lpwstr>
  </property>
</Properties>
</file>